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pivotCache/pivotCacheDefinition20.xml" ContentType="application/vnd.openxmlformats-officedocument.spreadsheetml.pivotCacheDefinition+xml"/>
  <Override PartName="/xl/pivotCache/pivotCacheRecords20.xml" ContentType="application/vnd.openxmlformats-officedocument.spreadsheetml.pivotCacheRecords+xml"/>
  <Override PartName="/xl/pivotCache/pivotCacheDefinition21.xml" ContentType="application/vnd.openxmlformats-officedocument.spreadsheetml.pivotCacheDefinition+xml"/>
  <Override PartName="/xl/pivotCache/pivotCacheRecords21.xml" ContentType="application/vnd.openxmlformats-officedocument.spreadsheetml.pivotCacheRecords+xml"/>
  <Override PartName="/xl/pivotCache/pivotCacheDefinition22.xml" ContentType="application/vnd.openxmlformats-officedocument.spreadsheetml.pivotCacheDefinition+xml"/>
  <Override PartName="/xl/pivotCache/pivotCacheRecords22.xml" ContentType="application/vnd.openxmlformats-officedocument.spreadsheetml.pivotCacheRecords+xml"/>
  <Override PartName="/xl/pivotCache/pivotCacheDefinition23.xml" ContentType="application/vnd.openxmlformats-officedocument.spreadsheetml.pivotCacheDefinition+xml"/>
  <Override PartName="/xl/pivotCache/pivotCacheRecords23.xml" ContentType="application/vnd.openxmlformats-officedocument.spreadsheetml.pivotCacheRecords+xml"/>
  <Override PartName="/xl/pivotCache/pivotCacheDefinition24.xml" ContentType="application/vnd.openxmlformats-officedocument.spreadsheetml.pivotCacheDefinition+xml"/>
  <Override PartName="/xl/pivotCache/pivotCacheRecords24.xml" ContentType="application/vnd.openxmlformats-officedocument.spreadsheetml.pivotCacheRecords+xml"/>
  <Override PartName="/xl/pivotCache/pivotCacheDefinition25.xml" ContentType="application/vnd.openxmlformats-officedocument.spreadsheetml.pivotCacheDefinition+xml"/>
  <Override PartName="/xl/pivotCache/pivotCacheRecords25.xml" ContentType="application/vnd.openxmlformats-officedocument.spreadsheetml.pivotCacheRecords+xml"/>
  <Override PartName="/xl/pivotCache/pivotCacheDefinition26.xml" ContentType="application/vnd.openxmlformats-officedocument.spreadsheetml.pivotCacheDefinition+xml"/>
  <Override PartName="/xl/pivotCache/pivotCacheRecords26.xml" ContentType="application/vnd.openxmlformats-officedocument.spreadsheetml.pivotCacheRecords+xml"/>
  <Override PartName="/xl/pivotCache/pivotCacheDefinition27.xml" ContentType="application/vnd.openxmlformats-officedocument.spreadsheetml.pivotCacheDefinition+xml"/>
  <Override PartName="/xl/pivotCache/pivotCacheRecords27.xml" ContentType="application/vnd.openxmlformats-officedocument.spreadsheetml.pivotCacheRecords+xml"/>
  <Override PartName="/xl/pivotCache/pivotCacheDefinition28.xml" ContentType="application/vnd.openxmlformats-officedocument.spreadsheetml.pivotCacheDefinition+xml"/>
  <Override PartName="/xl/pivotCache/pivotCacheRecords28.xml" ContentType="application/vnd.openxmlformats-officedocument.spreadsheetml.pivotCacheRecords+xml"/>
  <Override PartName="/xl/pivotCache/pivotCacheDefinition29.xml" ContentType="application/vnd.openxmlformats-officedocument.spreadsheetml.pivotCacheDefinition+xml"/>
  <Override PartName="/xl/pivotCache/pivotCacheRecords29.xml" ContentType="application/vnd.openxmlformats-officedocument.spreadsheetml.pivotCacheRecords+xml"/>
  <Override PartName="/xl/pivotCache/pivotCacheDefinition30.xml" ContentType="application/vnd.openxmlformats-officedocument.spreadsheetml.pivotCacheDefinition+xml"/>
  <Override PartName="/xl/pivotCache/pivotCacheRecords30.xml" ContentType="application/vnd.openxmlformats-officedocument.spreadsheetml.pivotCacheRecords+xml"/>
  <Override PartName="/xl/pivotCache/pivotCacheDefinition31.xml" ContentType="application/vnd.openxmlformats-officedocument.spreadsheetml.pivotCacheDefinition+xml"/>
  <Override PartName="/xl/pivotCache/pivotCacheRecords31.xml" ContentType="application/vnd.openxmlformats-officedocument.spreadsheetml.pivotCacheRecords+xml"/>
  <Override PartName="/xl/pivotCache/pivotCacheDefinition32.xml" ContentType="application/vnd.openxmlformats-officedocument.spreadsheetml.pivotCacheDefinition+xml"/>
  <Override PartName="/xl/pivotCache/pivotCacheRecords32.xml" ContentType="application/vnd.openxmlformats-officedocument.spreadsheetml.pivotCacheRecords+xml"/>
  <Override PartName="/xl/pivotCache/pivotCacheDefinition33.xml" ContentType="application/vnd.openxmlformats-officedocument.spreadsheetml.pivotCacheDefinition+xml"/>
  <Override PartName="/xl/pivotCache/pivotCacheRecords33.xml" ContentType="application/vnd.openxmlformats-officedocument.spreadsheetml.pivotCacheRecords+xml"/>
  <Override PartName="/xl/pivotCache/pivotCacheDefinition34.xml" ContentType="application/vnd.openxmlformats-officedocument.spreadsheetml.pivotCacheDefinition+xml"/>
  <Override PartName="/xl/pivotCache/pivotCacheRecords34.xml" ContentType="application/vnd.openxmlformats-officedocument.spreadsheetml.pivotCacheRecords+xml"/>
  <Override PartName="/xl/pivotCache/pivotCacheDefinition35.xml" ContentType="application/vnd.openxmlformats-officedocument.spreadsheetml.pivotCacheDefinition+xml"/>
  <Override PartName="/xl/pivotCache/pivotCacheRecords3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3.xml" ContentType="application/vnd.openxmlformats-officedocument.drawing+xml"/>
  <Override PartName="/xl/comments1.xml" ContentType="application/vnd.openxmlformats-officedocument.spreadsheetml.comments+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rawings/drawing4.xml" ContentType="application/vnd.openxmlformats-officedocument.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rawings/drawing5.xml" ContentType="application/vnd.openxmlformats-officedocument.drawing+xml"/>
  <Override PartName="/xl/comments2.xml" ContentType="application/vnd.openxmlformats-officedocument.spreadsheetml.comments+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rawings/drawing6.xml" ContentType="application/vnd.openxmlformats-officedocument.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7.xml" ContentType="application/vnd.openxmlformats-officedocument.drawing+xml"/>
  <Override PartName="/xl/diagrams/data8.xml" ContentType="application/vnd.openxmlformats-officedocument.drawingml.diagramData+xml"/>
  <Override PartName="/xl/diagrams/layout8.xml" ContentType="application/vnd.openxmlformats-officedocument.drawingml.diagramLayout+xml"/>
  <Override PartName="/xl/diagrams/quickStyle8.xml" ContentType="application/vnd.openxmlformats-officedocument.drawingml.diagramStyle+xml"/>
  <Override PartName="/xl/diagrams/colors8.xml" ContentType="application/vnd.openxmlformats-officedocument.drawingml.diagramColors+xml"/>
  <Override PartName="/xl/diagrams/drawing8.xml" ContentType="application/vnd.ms-office.drawingml.diagram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8.xml" ContentType="application/vnd.openxmlformats-officedocument.drawing+xml"/>
  <Override PartName="/xl/diagrams/data9.xml" ContentType="application/vnd.openxmlformats-officedocument.drawingml.diagramData+xml"/>
  <Override PartName="/xl/diagrams/layout9.xml" ContentType="application/vnd.openxmlformats-officedocument.drawingml.diagramLayout+xml"/>
  <Override PartName="/xl/diagrams/quickStyle9.xml" ContentType="application/vnd.openxmlformats-officedocument.drawingml.diagramStyle+xml"/>
  <Override PartName="/xl/diagrams/colors9.xml" ContentType="application/vnd.openxmlformats-officedocument.drawingml.diagramColors+xml"/>
  <Override PartName="/xl/diagrams/drawing9.xml" ContentType="application/vnd.ms-office.drawingml.diagramDrawing+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9.xml" ContentType="application/vnd.openxmlformats-officedocument.drawing+xml"/>
  <Override PartName="/xl/diagrams/data10.xml" ContentType="application/vnd.openxmlformats-officedocument.drawingml.diagramData+xml"/>
  <Override PartName="/xl/diagrams/layout10.xml" ContentType="application/vnd.openxmlformats-officedocument.drawingml.diagramLayout+xml"/>
  <Override PartName="/xl/diagrams/quickStyle10.xml" ContentType="application/vnd.openxmlformats-officedocument.drawingml.diagramStyle+xml"/>
  <Override PartName="/xl/diagrams/colors10.xml" ContentType="application/vnd.openxmlformats-officedocument.drawingml.diagramColors+xml"/>
  <Override PartName="/xl/diagrams/drawing10.xml" ContentType="application/vnd.ms-office.drawingml.diagramDrawing+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0.xml" ContentType="application/vnd.openxmlformats-officedocument.drawing+xml"/>
  <Override PartName="/xl/diagrams/data11.xml" ContentType="application/vnd.openxmlformats-officedocument.drawingml.diagramData+xml"/>
  <Override PartName="/xl/diagrams/layout11.xml" ContentType="application/vnd.openxmlformats-officedocument.drawingml.diagramLayout+xml"/>
  <Override PartName="/xl/diagrams/quickStyle11.xml" ContentType="application/vnd.openxmlformats-officedocument.drawingml.diagramStyle+xml"/>
  <Override PartName="/xl/diagrams/colors11.xml" ContentType="application/vnd.openxmlformats-officedocument.drawingml.diagramColors+xml"/>
  <Override PartName="/xl/diagrams/drawing11.xml" ContentType="application/vnd.ms-office.drawingml.diagramDrawing+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11.xml" ContentType="application/vnd.openxmlformats-officedocument.drawing+xml"/>
  <Override PartName="/xl/diagrams/data12.xml" ContentType="application/vnd.openxmlformats-officedocument.drawingml.diagramData+xml"/>
  <Override PartName="/xl/diagrams/layout12.xml" ContentType="application/vnd.openxmlformats-officedocument.drawingml.diagramLayout+xml"/>
  <Override PartName="/xl/diagrams/quickStyle12.xml" ContentType="application/vnd.openxmlformats-officedocument.drawingml.diagramStyle+xml"/>
  <Override PartName="/xl/diagrams/colors12.xml" ContentType="application/vnd.openxmlformats-officedocument.drawingml.diagramColors+xml"/>
  <Override PartName="/xl/diagrams/drawing12.xml" ContentType="application/vnd.ms-office.drawingml.diagramDrawing+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2.xml" ContentType="application/vnd.openxmlformats-officedocument.drawing+xml"/>
  <Override PartName="/xl/diagrams/data13.xml" ContentType="application/vnd.openxmlformats-officedocument.drawingml.diagramData+xml"/>
  <Override PartName="/xl/diagrams/layout13.xml" ContentType="application/vnd.openxmlformats-officedocument.drawingml.diagramLayout+xml"/>
  <Override PartName="/xl/diagrams/quickStyle13.xml" ContentType="application/vnd.openxmlformats-officedocument.drawingml.diagramStyle+xml"/>
  <Override PartName="/xl/diagrams/colors13.xml" ContentType="application/vnd.openxmlformats-officedocument.drawingml.diagramColors+xml"/>
  <Override PartName="/xl/diagrams/drawing13.xml" ContentType="application/vnd.ms-office.drawingml.diagramDrawing+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drawings/drawing13.xml" ContentType="application/vnd.openxmlformats-officedocument.drawing+xml"/>
  <Override PartName="/xl/diagrams/data14.xml" ContentType="application/vnd.openxmlformats-officedocument.drawingml.diagramData+xml"/>
  <Override PartName="/xl/diagrams/layout14.xml" ContentType="application/vnd.openxmlformats-officedocument.drawingml.diagramLayout+xml"/>
  <Override PartName="/xl/diagrams/quickStyle14.xml" ContentType="application/vnd.openxmlformats-officedocument.drawingml.diagramStyle+xml"/>
  <Override PartName="/xl/diagrams/colors14.xml" ContentType="application/vnd.openxmlformats-officedocument.drawingml.diagramColors+xml"/>
  <Override PartName="/xl/diagrams/drawing14.xml" ContentType="application/vnd.ms-office.drawingml.diagramDrawing+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drawings/drawing14.xml" ContentType="application/vnd.openxmlformats-officedocument.drawing+xml"/>
  <Override PartName="/xl/diagrams/data15.xml" ContentType="application/vnd.openxmlformats-officedocument.drawingml.diagramData+xml"/>
  <Override PartName="/xl/diagrams/layout15.xml" ContentType="application/vnd.openxmlformats-officedocument.drawingml.diagramLayout+xml"/>
  <Override PartName="/xl/diagrams/quickStyle15.xml" ContentType="application/vnd.openxmlformats-officedocument.drawingml.diagramStyle+xml"/>
  <Override PartName="/xl/diagrams/colors15.xml" ContentType="application/vnd.openxmlformats-officedocument.drawingml.diagramColors+xml"/>
  <Override PartName="/xl/diagrams/drawing15.xml" ContentType="application/vnd.ms-office.drawingml.diagramDrawing+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drawings/drawing15.xml" ContentType="application/vnd.openxmlformats-officedocument.drawing+xml"/>
  <Override PartName="/xl/diagrams/data16.xml" ContentType="application/vnd.openxmlformats-officedocument.drawingml.diagramData+xml"/>
  <Override PartName="/xl/diagrams/layout16.xml" ContentType="application/vnd.openxmlformats-officedocument.drawingml.diagramLayout+xml"/>
  <Override PartName="/xl/diagrams/quickStyle16.xml" ContentType="application/vnd.openxmlformats-officedocument.drawingml.diagramStyle+xml"/>
  <Override PartName="/xl/diagrams/colors16.xml" ContentType="application/vnd.openxmlformats-officedocument.drawingml.diagramColors+xml"/>
  <Override PartName="/xl/diagrams/drawing16.xml" ContentType="application/vnd.ms-office.drawingml.diagramDrawing+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drawings/drawing16.xml" ContentType="application/vnd.openxmlformats-officedocument.drawing+xml"/>
  <Override PartName="/xl/diagrams/data17.xml" ContentType="application/vnd.openxmlformats-officedocument.drawingml.diagramData+xml"/>
  <Override PartName="/xl/diagrams/layout17.xml" ContentType="application/vnd.openxmlformats-officedocument.drawingml.diagramLayout+xml"/>
  <Override PartName="/xl/diagrams/quickStyle17.xml" ContentType="application/vnd.openxmlformats-officedocument.drawingml.diagramStyle+xml"/>
  <Override PartName="/xl/diagrams/colors17.xml" ContentType="application/vnd.openxmlformats-officedocument.drawingml.diagramColors+xml"/>
  <Override PartName="/xl/diagrams/drawing17.xml" ContentType="application/vnd.ms-office.drawingml.diagram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filterPrivacy="1" codeName="ThisWorkbook" hidePivotFieldList="1" defaultThemeVersion="124226"/>
  <xr:revisionPtr revIDLastSave="0" documentId="13_ncr:1_{8F7A7BB7-88A4-4540-B2A2-022CD30320D0}" xr6:coauthVersionLast="47" xr6:coauthVersionMax="47" xr10:uidLastSave="{00000000-0000-0000-0000-000000000000}"/>
  <workbookProtection workbookAlgorithmName="SHA-512" workbookHashValue="vRfwe5KKY24NaoMl4G82UZWL19uEHfG85HMbR0qUY6hzcSkPgbNiub50b8nm7Wq3ES8Mku8msQcMw4oLkjzJNw==" workbookSaltValue="xvF/pg240M85lC681199Lw==" workbookSpinCount="100000" lockStructure="1"/>
  <bookViews>
    <workbookView xWindow="-108" yWindow="-108" windowWidth="23256" windowHeight="12456" activeTab="2" xr2:uid="{00000000-000D-0000-FFFF-FFFF00000000}"/>
  </bookViews>
  <sheets>
    <sheet name="Trang chủ" sheetId="28" r:id="rId1"/>
    <sheet name="HNGĐ" sheetId="21" r:id="rId2"/>
    <sheet name="DS" sheetId="9" r:id="rId3"/>
    <sheet name="KDTM" sheetId="22" r:id="rId4"/>
    <sheet name="LĐ" sheetId="23" r:id="rId5"/>
    <sheet name="HC" sheetId="20" r:id="rId6"/>
    <sheet name="Thống kê HNGĐ tháng" sheetId="30" r:id="rId7"/>
    <sheet name="Thống kê DS tháng" sheetId="31" r:id="rId8"/>
    <sheet name="Thống kê KDTM tháng" sheetId="32" r:id="rId9"/>
    <sheet name="Thống kê LĐ tháng" sheetId="33" r:id="rId10"/>
    <sheet name="Thống kê HC tháng" sheetId="34" r:id="rId11"/>
    <sheet name="Thống kê HNGĐ tuần" sheetId="35" r:id="rId12"/>
    <sheet name="Thống kê DS tuần" sheetId="36" r:id="rId13"/>
    <sheet name="Thống kê KDTM tuần" sheetId="37" r:id="rId14"/>
    <sheet name="Thống kê LĐ tuần" sheetId="38" r:id="rId15"/>
    <sheet name="Thống kê HC tuần" sheetId="39" r:id="rId16"/>
    <sheet name="Danh sách ngày nghỉ lễ" sheetId="27" r:id="rId17"/>
    <sheet name="Thời hạn" sheetId="17" r:id="rId18"/>
  </sheets>
  <definedNames>
    <definedName name="_xlnm._FilterDatabase" localSheetId="2" hidden="1">DS!$B$9:$W$278</definedName>
    <definedName name="_xlnm._FilterDatabase" localSheetId="5" hidden="1">HC!$B$9:$W$9</definedName>
    <definedName name="_xlnm._FilterDatabase" localSheetId="1" hidden="1">HNGĐ!$B$9:$W$300</definedName>
    <definedName name="_xlnm._FilterDatabase" localSheetId="3" hidden="1">KDTM!$B$9:$W$9</definedName>
    <definedName name="_xlnm._FilterDatabase" localSheetId="4" hidden="1">LĐ!$B$9:$W$9</definedName>
  </definedNames>
  <calcPr calcId="191029"/>
  <pivotCaches>
    <pivotCache cacheId="0" r:id="rId19"/>
    <pivotCache cacheId="1" r:id="rId20"/>
    <pivotCache cacheId="2" r:id="rId21"/>
    <pivotCache cacheId="3" r:id="rId22"/>
    <pivotCache cacheId="4" r:id="rId23"/>
    <pivotCache cacheId="5" r:id="rId24"/>
    <pivotCache cacheId="6" r:id="rId25"/>
    <pivotCache cacheId="7" r:id="rId26"/>
    <pivotCache cacheId="8" r:id="rId27"/>
    <pivotCache cacheId="9" r:id="rId28"/>
    <pivotCache cacheId="10" r:id="rId29"/>
    <pivotCache cacheId="11" r:id="rId30"/>
    <pivotCache cacheId="12" r:id="rId31"/>
    <pivotCache cacheId="13" r:id="rId32"/>
    <pivotCache cacheId="14" r:id="rId33"/>
    <pivotCache cacheId="15" r:id="rId34"/>
    <pivotCache cacheId="16" r:id="rId35"/>
    <pivotCache cacheId="17" r:id="rId36"/>
    <pivotCache cacheId="18" r:id="rId37"/>
    <pivotCache cacheId="19" r:id="rId38"/>
    <pivotCache cacheId="20" r:id="rId39"/>
    <pivotCache cacheId="21" r:id="rId40"/>
    <pivotCache cacheId="22" r:id="rId41"/>
    <pivotCache cacheId="23" r:id="rId42"/>
    <pivotCache cacheId="24" r:id="rId43"/>
    <pivotCache cacheId="25" r:id="rId44"/>
    <pivotCache cacheId="26" r:id="rId45"/>
    <pivotCache cacheId="27" r:id="rId46"/>
    <pivotCache cacheId="28" r:id="rId47"/>
    <pivotCache cacheId="29" r:id="rId48"/>
    <pivotCache cacheId="30" r:id="rId49"/>
    <pivotCache cacheId="31" r:id="rId50"/>
    <pivotCache cacheId="32" r:id="rId51"/>
    <pivotCache cacheId="33" r:id="rId52"/>
    <pivotCache cacheId="34" r:id="rId5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4" i="9" l="1"/>
  <c r="X65" i="9"/>
  <c r="X66" i="9"/>
  <c r="I65" i="9"/>
  <c r="I66" i="9"/>
  <c r="I67" i="9"/>
  <c r="I68" i="9"/>
  <c r="I69" i="9"/>
  <c r="I70" i="9"/>
  <c r="I71" i="9"/>
  <c r="I72" i="9"/>
  <c r="J65" i="9"/>
  <c r="J66" i="9"/>
  <c r="J67" i="9"/>
  <c r="I64" i="9"/>
  <c r="J64" i="9" s="1"/>
  <c r="E7" i="23"/>
  <c r="E7" i="22"/>
  <c r="E6" i="22"/>
  <c r="E7" i="9"/>
  <c r="E6" i="9"/>
  <c r="E6" i="21"/>
  <c r="E6" i="20"/>
  <c r="E7" i="20"/>
  <c r="E6" i="23"/>
  <c r="I12" i="9"/>
  <c r="J12" i="9" s="1"/>
  <c r="I214" i="20"/>
  <c r="J214" i="20"/>
  <c r="X214" i="20"/>
  <c r="Y214" i="20"/>
  <c r="I215" i="20"/>
  <c r="J215" i="20"/>
  <c r="X215" i="20"/>
  <c r="Y215" i="20"/>
  <c r="I216" i="20"/>
  <c r="J216" i="20"/>
  <c r="X216" i="20"/>
  <c r="Y216" i="20"/>
  <c r="I217" i="20"/>
  <c r="J217" i="20"/>
  <c r="X217" i="20"/>
  <c r="Y217" i="20"/>
  <c r="I218" i="20"/>
  <c r="J218" i="20"/>
  <c r="X218" i="20"/>
  <c r="Y218" i="20"/>
  <c r="I219" i="20"/>
  <c r="J219" i="20"/>
  <c r="X219" i="20"/>
  <c r="Y219" i="20"/>
  <c r="I220" i="20"/>
  <c r="J220" i="20"/>
  <c r="X220" i="20"/>
  <c r="Y220" i="20"/>
  <c r="I221" i="20"/>
  <c r="J221" i="20"/>
  <c r="X221" i="20"/>
  <c r="Y221" i="20"/>
  <c r="I222" i="20"/>
  <c r="J222" i="20"/>
  <c r="X222" i="20"/>
  <c r="Y222" i="20"/>
  <c r="I223" i="20"/>
  <c r="J223" i="20"/>
  <c r="X223" i="20"/>
  <c r="Y223" i="20"/>
  <c r="I224" i="20"/>
  <c r="J224" i="20"/>
  <c r="X224" i="20"/>
  <c r="Y224" i="20"/>
  <c r="I225" i="20"/>
  <c r="J225" i="20"/>
  <c r="X225" i="20"/>
  <c r="Y225" i="20"/>
  <c r="I226" i="20"/>
  <c r="J226" i="20"/>
  <c r="X226" i="20"/>
  <c r="Y226" i="20"/>
  <c r="I227" i="20"/>
  <c r="J227" i="20"/>
  <c r="X227" i="20"/>
  <c r="Y227" i="20"/>
  <c r="I228" i="20"/>
  <c r="J228" i="20"/>
  <c r="X228" i="20"/>
  <c r="Y228" i="20"/>
  <c r="I229" i="20"/>
  <c r="J229" i="20"/>
  <c r="X229" i="20"/>
  <c r="Y229" i="20"/>
  <c r="I230" i="20"/>
  <c r="J230" i="20"/>
  <c r="X230" i="20"/>
  <c r="Y230" i="20"/>
  <c r="I231" i="20"/>
  <c r="J231" i="20"/>
  <c r="X231" i="20"/>
  <c r="Y231" i="20"/>
  <c r="I232" i="20"/>
  <c r="J232" i="20"/>
  <c r="X232" i="20"/>
  <c r="Y232" i="20"/>
  <c r="I233" i="20"/>
  <c r="J233" i="20"/>
  <c r="X233" i="20"/>
  <c r="Y233" i="20"/>
  <c r="I234" i="20"/>
  <c r="J234" i="20"/>
  <c r="X234" i="20"/>
  <c r="Y234" i="20"/>
  <c r="I235" i="20"/>
  <c r="J235" i="20"/>
  <c r="X235" i="20"/>
  <c r="Y235" i="20"/>
  <c r="I236" i="20"/>
  <c r="J236" i="20"/>
  <c r="X236" i="20"/>
  <c r="Y236" i="20"/>
  <c r="I237" i="20"/>
  <c r="J237" i="20"/>
  <c r="X237" i="20"/>
  <c r="Y237" i="20"/>
  <c r="I238" i="20"/>
  <c r="J238" i="20"/>
  <c r="X238" i="20"/>
  <c r="Y238" i="20"/>
  <c r="I239" i="20"/>
  <c r="J239" i="20"/>
  <c r="X239" i="20"/>
  <c r="Y239" i="20"/>
  <c r="I240" i="20"/>
  <c r="J240" i="20"/>
  <c r="X240" i="20"/>
  <c r="Y240" i="20"/>
  <c r="I241" i="20"/>
  <c r="J241" i="20"/>
  <c r="X241" i="20"/>
  <c r="Y241" i="20"/>
  <c r="I242" i="20"/>
  <c r="J242" i="20"/>
  <c r="X242" i="20"/>
  <c r="Y242" i="20"/>
  <c r="I243" i="20"/>
  <c r="J243" i="20"/>
  <c r="X243" i="20"/>
  <c r="Y243" i="20"/>
  <c r="I244" i="20"/>
  <c r="J244" i="20"/>
  <c r="X244" i="20"/>
  <c r="Y244" i="20"/>
  <c r="I245" i="20"/>
  <c r="J245" i="20"/>
  <c r="X245" i="20"/>
  <c r="Y245" i="20"/>
  <c r="I246" i="20"/>
  <c r="J246" i="20"/>
  <c r="X246" i="20"/>
  <c r="Y246" i="20"/>
  <c r="I247" i="20"/>
  <c r="J247" i="20"/>
  <c r="X247" i="20"/>
  <c r="Y247" i="20"/>
  <c r="I248" i="20"/>
  <c r="J248" i="20"/>
  <c r="X248" i="20"/>
  <c r="Y248" i="20"/>
  <c r="I249" i="20"/>
  <c r="J249" i="20"/>
  <c r="X249" i="20"/>
  <c r="Y249" i="20"/>
  <c r="I250" i="20"/>
  <c r="J250" i="20"/>
  <c r="X250" i="20"/>
  <c r="Y250" i="20"/>
  <c r="I251" i="20"/>
  <c r="J251" i="20"/>
  <c r="X251" i="20"/>
  <c r="Y251" i="20"/>
  <c r="I252" i="20"/>
  <c r="J252" i="20"/>
  <c r="X252" i="20"/>
  <c r="Y252" i="20"/>
  <c r="I253" i="20"/>
  <c r="J253" i="20"/>
  <c r="X253" i="20"/>
  <c r="Y253" i="20"/>
  <c r="I254" i="20"/>
  <c r="J254" i="20"/>
  <c r="X254" i="20"/>
  <c r="Y254" i="20"/>
  <c r="I255" i="20"/>
  <c r="J255" i="20"/>
  <c r="X255" i="20"/>
  <c r="Y255" i="20"/>
  <c r="I256" i="20"/>
  <c r="J256" i="20"/>
  <c r="X256" i="20"/>
  <c r="Y256" i="20"/>
  <c r="I257" i="20"/>
  <c r="J257" i="20"/>
  <c r="X257" i="20"/>
  <c r="Y257" i="20"/>
  <c r="I258" i="20"/>
  <c r="J258" i="20"/>
  <c r="X258" i="20"/>
  <c r="Y258" i="20"/>
  <c r="I259" i="20"/>
  <c r="J259" i="20"/>
  <c r="X259" i="20"/>
  <c r="Y259" i="20"/>
  <c r="I260" i="20"/>
  <c r="J260" i="20"/>
  <c r="X260" i="20"/>
  <c r="Y260" i="20"/>
  <c r="I261" i="20"/>
  <c r="J261" i="20"/>
  <c r="X261" i="20"/>
  <c r="Y261" i="20"/>
  <c r="I262" i="20"/>
  <c r="J262" i="20"/>
  <c r="X262" i="20"/>
  <c r="Y262" i="20"/>
  <c r="I263" i="20"/>
  <c r="J263" i="20"/>
  <c r="X263" i="20"/>
  <c r="Y263" i="20"/>
  <c r="I264" i="20"/>
  <c r="J264" i="20"/>
  <c r="X264" i="20"/>
  <c r="Y264" i="20"/>
  <c r="I213" i="23"/>
  <c r="J213" i="23"/>
  <c r="X213" i="23"/>
  <c r="Y213" i="23"/>
  <c r="I214" i="23"/>
  <c r="J214" i="23"/>
  <c r="X214" i="23"/>
  <c r="Y214" i="23"/>
  <c r="I215" i="23"/>
  <c r="J215" i="23"/>
  <c r="X215" i="23"/>
  <c r="Y215" i="23"/>
  <c r="I216" i="23"/>
  <c r="J216" i="23"/>
  <c r="X216" i="23"/>
  <c r="Y216" i="23"/>
  <c r="I217" i="23"/>
  <c r="J217" i="23"/>
  <c r="X217" i="23"/>
  <c r="Y217" i="23"/>
  <c r="I218" i="23"/>
  <c r="J218" i="23"/>
  <c r="X218" i="23"/>
  <c r="Y218" i="23"/>
  <c r="I219" i="23"/>
  <c r="J219" i="23"/>
  <c r="X219" i="23"/>
  <c r="Y219" i="23"/>
  <c r="I220" i="23"/>
  <c r="J220" i="23"/>
  <c r="X220" i="23"/>
  <c r="Y220" i="23"/>
  <c r="I221" i="23"/>
  <c r="J221" i="23"/>
  <c r="X221" i="23"/>
  <c r="Y221" i="23"/>
  <c r="I222" i="23"/>
  <c r="J222" i="23"/>
  <c r="X222" i="23"/>
  <c r="Y222" i="23"/>
  <c r="I223" i="23"/>
  <c r="J223" i="23"/>
  <c r="X223" i="23"/>
  <c r="Y223" i="23"/>
  <c r="I224" i="23"/>
  <c r="J224" i="23"/>
  <c r="X224" i="23"/>
  <c r="Y224" i="23"/>
  <c r="I225" i="23"/>
  <c r="J225" i="23"/>
  <c r="X225" i="23"/>
  <c r="Y225" i="23"/>
  <c r="I226" i="23"/>
  <c r="J226" i="23"/>
  <c r="X226" i="23"/>
  <c r="Y226" i="23"/>
  <c r="I227" i="23"/>
  <c r="J227" i="23"/>
  <c r="X227" i="23"/>
  <c r="Y227" i="23"/>
  <c r="I228" i="23"/>
  <c r="J228" i="23"/>
  <c r="X228" i="23"/>
  <c r="Y228" i="23"/>
  <c r="I229" i="23"/>
  <c r="J229" i="23"/>
  <c r="X229" i="23"/>
  <c r="Y229" i="23"/>
  <c r="I230" i="23"/>
  <c r="J230" i="23"/>
  <c r="X230" i="23"/>
  <c r="Y230" i="23"/>
  <c r="I231" i="23"/>
  <c r="J231" i="23"/>
  <c r="X231" i="23"/>
  <c r="Y231" i="23"/>
  <c r="I232" i="23"/>
  <c r="J232" i="23"/>
  <c r="X232" i="23"/>
  <c r="Y232" i="23"/>
  <c r="I233" i="23"/>
  <c r="J233" i="23"/>
  <c r="X233" i="23"/>
  <c r="Y233" i="23"/>
  <c r="I234" i="23"/>
  <c r="J234" i="23"/>
  <c r="X234" i="23"/>
  <c r="Y234" i="23"/>
  <c r="I235" i="23"/>
  <c r="J235" i="23"/>
  <c r="X235" i="23"/>
  <c r="Y235" i="23"/>
  <c r="I236" i="23"/>
  <c r="J236" i="23"/>
  <c r="X236" i="23"/>
  <c r="Y236" i="23"/>
  <c r="I237" i="23"/>
  <c r="J237" i="23"/>
  <c r="X237" i="23"/>
  <c r="Y237" i="23"/>
  <c r="I238" i="23"/>
  <c r="J238" i="23"/>
  <c r="X238" i="23"/>
  <c r="Y238" i="23"/>
  <c r="I239" i="23"/>
  <c r="J239" i="23"/>
  <c r="X239" i="23"/>
  <c r="Y239" i="23"/>
  <c r="I240" i="23"/>
  <c r="J240" i="23"/>
  <c r="X240" i="23"/>
  <c r="Y240" i="23"/>
  <c r="I241" i="23"/>
  <c r="J241" i="23"/>
  <c r="X241" i="23"/>
  <c r="Y241" i="23"/>
  <c r="I242" i="23"/>
  <c r="J242" i="23"/>
  <c r="X242" i="23"/>
  <c r="Y242" i="23"/>
  <c r="I243" i="23"/>
  <c r="J243" i="23"/>
  <c r="X243" i="23"/>
  <c r="Y243" i="23"/>
  <c r="I244" i="23"/>
  <c r="J244" i="23"/>
  <c r="X244" i="23"/>
  <c r="Y244" i="23"/>
  <c r="I245" i="23"/>
  <c r="J245" i="23"/>
  <c r="X245" i="23"/>
  <c r="Y245" i="23"/>
  <c r="I246" i="23"/>
  <c r="J246" i="23"/>
  <c r="X246" i="23"/>
  <c r="Y246" i="23"/>
  <c r="I247" i="23"/>
  <c r="J247" i="23"/>
  <c r="X247" i="23"/>
  <c r="Y247" i="23"/>
  <c r="I248" i="23"/>
  <c r="J248" i="23"/>
  <c r="X248" i="23"/>
  <c r="Y248" i="23"/>
  <c r="I249" i="23"/>
  <c r="J249" i="23"/>
  <c r="X249" i="23"/>
  <c r="Y249" i="23"/>
  <c r="I250" i="23"/>
  <c r="J250" i="23"/>
  <c r="X250" i="23"/>
  <c r="Y250" i="23"/>
  <c r="I251" i="23"/>
  <c r="J251" i="23"/>
  <c r="X251" i="23"/>
  <c r="Y251" i="23"/>
  <c r="I252" i="23"/>
  <c r="J252" i="23"/>
  <c r="X252" i="23"/>
  <c r="Y252" i="23"/>
  <c r="I253" i="23"/>
  <c r="J253" i="23"/>
  <c r="X253" i="23"/>
  <c r="Y253" i="23"/>
  <c r="I254" i="23"/>
  <c r="J254" i="23"/>
  <c r="X254" i="23"/>
  <c r="Y254" i="23"/>
  <c r="I255" i="23"/>
  <c r="J255" i="23"/>
  <c r="X255" i="23"/>
  <c r="Y255" i="23"/>
  <c r="I256" i="23"/>
  <c r="J256" i="23"/>
  <c r="X256" i="23"/>
  <c r="Y256" i="23"/>
  <c r="I257" i="23"/>
  <c r="J257" i="23"/>
  <c r="X257" i="23"/>
  <c r="Y257" i="23"/>
  <c r="I258" i="23"/>
  <c r="J258" i="23"/>
  <c r="X258" i="23"/>
  <c r="Y258" i="23"/>
  <c r="I259" i="23"/>
  <c r="J259" i="23"/>
  <c r="X259" i="23"/>
  <c r="Y259" i="23"/>
  <c r="I260" i="23"/>
  <c r="J260" i="23"/>
  <c r="X260" i="23"/>
  <c r="Y260" i="23"/>
  <c r="I261" i="23"/>
  <c r="J261" i="23"/>
  <c r="X261" i="23"/>
  <c r="Y261" i="23"/>
  <c r="I262" i="23"/>
  <c r="J262" i="23"/>
  <c r="X262" i="23"/>
  <c r="Y262" i="23"/>
  <c r="I229" i="9"/>
  <c r="J229" i="9"/>
  <c r="X229" i="9"/>
  <c r="Y229" i="9"/>
  <c r="I230" i="9"/>
  <c r="J230" i="9"/>
  <c r="X230" i="9"/>
  <c r="Y230" i="9"/>
  <c r="I231" i="9"/>
  <c r="J231" i="9"/>
  <c r="X231" i="9"/>
  <c r="Y231" i="9"/>
  <c r="I232" i="9"/>
  <c r="J232" i="9"/>
  <c r="X232" i="9"/>
  <c r="Y232" i="9"/>
  <c r="I233" i="9"/>
  <c r="J233" i="9"/>
  <c r="X233" i="9"/>
  <c r="Y233" i="9"/>
  <c r="I234" i="9"/>
  <c r="J234" i="9"/>
  <c r="X234" i="9"/>
  <c r="Y234" i="9"/>
  <c r="I235" i="9"/>
  <c r="J235" i="9"/>
  <c r="X235" i="9"/>
  <c r="Y235" i="9"/>
  <c r="I236" i="9"/>
  <c r="J236" i="9"/>
  <c r="X236" i="9"/>
  <c r="Y236" i="9"/>
  <c r="I237" i="9"/>
  <c r="J237" i="9"/>
  <c r="X237" i="9"/>
  <c r="Y237" i="9"/>
  <c r="I238" i="9"/>
  <c r="J238" i="9"/>
  <c r="X238" i="9"/>
  <c r="Y238" i="9"/>
  <c r="I239" i="9"/>
  <c r="J239" i="9"/>
  <c r="X239" i="9"/>
  <c r="Y239" i="9"/>
  <c r="I240" i="9"/>
  <c r="J240" i="9"/>
  <c r="X240" i="9"/>
  <c r="Y240" i="9"/>
  <c r="I241" i="9"/>
  <c r="J241" i="9"/>
  <c r="X241" i="9"/>
  <c r="Y241" i="9"/>
  <c r="I242" i="9"/>
  <c r="J242" i="9"/>
  <c r="X242" i="9"/>
  <c r="Y242" i="9"/>
  <c r="I243" i="9"/>
  <c r="J243" i="9"/>
  <c r="X243" i="9"/>
  <c r="Y243" i="9"/>
  <c r="I244" i="9"/>
  <c r="J244" i="9"/>
  <c r="X244" i="9"/>
  <c r="Y244" i="9"/>
  <c r="I245" i="9"/>
  <c r="J245" i="9"/>
  <c r="X245" i="9"/>
  <c r="Y245" i="9"/>
  <c r="I246" i="9"/>
  <c r="J246" i="9"/>
  <c r="X246" i="9"/>
  <c r="Y246" i="9"/>
  <c r="I247" i="9"/>
  <c r="J247" i="9"/>
  <c r="X247" i="9"/>
  <c r="Y247" i="9"/>
  <c r="I248" i="9"/>
  <c r="J248" i="9"/>
  <c r="X248" i="9"/>
  <c r="Y248" i="9"/>
  <c r="I249" i="9"/>
  <c r="J249" i="9"/>
  <c r="X249" i="9"/>
  <c r="Y249" i="9"/>
  <c r="I250" i="9"/>
  <c r="J250" i="9"/>
  <c r="X250" i="9"/>
  <c r="Y250" i="9"/>
  <c r="I251" i="9"/>
  <c r="J251" i="9"/>
  <c r="X251" i="9"/>
  <c r="Y251" i="9"/>
  <c r="I252" i="9"/>
  <c r="J252" i="9"/>
  <c r="X252" i="9"/>
  <c r="Y252" i="9"/>
  <c r="I253" i="9"/>
  <c r="J253" i="9"/>
  <c r="X253" i="9"/>
  <c r="Y253" i="9"/>
  <c r="I254" i="9"/>
  <c r="J254" i="9"/>
  <c r="X254" i="9"/>
  <c r="Y254" i="9"/>
  <c r="I255" i="9"/>
  <c r="J255" i="9"/>
  <c r="X255" i="9"/>
  <c r="Y255" i="9"/>
  <c r="I256" i="9"/>
  <c r="J256" i="9"/>
  <c r="X256" i="9"/>
  <c r="Y256" i="9"/>
  <c r="I257" i="9"/>
  <c r="J257" i="9"/>
  <c r="X257" i="9"/>
  <c r="Y257" i="9"/>
  <c r="I258" i="9"/>
  <c r="J258" i="9"/>
  <c r="X258" i="9"/>
  <c r="Y258" i="9"/>
  <c r="I259" i="9"/>
  <c r="J259" i="9"/>
  <c r="X259" i="9"/>
  <c r="Y259" i="9"/>
  <c r="I260" i="9"/>
  <c r="J260" i="9"/>
  <c r="X260" i="9"/>
  <c r="Y260" i="9"/>
  <c r="I261" i="9"/>
  <c r="J261" i="9"/>
  <c r="X261" i="9"/>
  <c r="Y261" i="9"/>
  <c r="I262" i="9"/>
  <c r="J262" i="9"/>
  <c r="X262" i="9"/>
  <c r="Y262" i="9"/>
  <c r="I263" i="9"/>
  <c r="J263" i="9"/>
  <c r="X263" i="9"/>
  <c r="Y263" i="9"/>
  <c r="I264" i="9"/>
  <c r="J264" i="9"/>
  <c r="X264" i="9"/>
  <c r="Y264" i="9"/>
  <c r="I265" i="9"/>
  <c r="J265" i="9"/>
  <c r="X265" i="9"/>
  <c r="Y265" i="9"/>
  <c r="I266" i="9"/>
  <c r="J266" i="9"/>
  <c r="X266" i="9"/>
  <c r="Y266" i="9"/>
  <c r="I267" i="9"/>
  <c r="J267" i="9"/>
  <c r="X267" i="9"/>
  <c r="Y267" i="9"/>
  <c r="I268" i="9"/>
  <c r="J268" i="9"/>
  <c r="X268" i="9"/>
  <c r="Y268" i="9"/>
  <c r="I269" i="9"/>
  <c r="J269" i="9"/>
  <c r="X269" i="9"/>
  <c r="Y269" i="9"/>
  <c r="I270" i="9"/>
  <c r="J270" i="9"/>
  <c r="X270" i="9"/>
  <c r="Y270" i="9"/>
  <c r="I271" i="9"/>
  <c r="J271" i="9"/>
  <c r="X271" i="9"/>
  <c r="Y271" i="9"/>
  <c r="I272" i="9"/>
  <c r="J272" i="9"/>
  <c r="X272" i="9"/>
  <c r="Y272" i="9"/>
  <c r="I273" i="9"/>
  <c r="J273" i="9"/>
  <c r="X273" i="9"/>
  <c r="Y273" i="9"/>
  <c r="I274" i="9"/>
  <c r="J274" i="9"/>
  <c r="X274" i="9"/>
  <c r="Y274" i="9"/>
  <c r="I275" i="9"/>
  <c r="J275" i="9"/>
  <c r="X275" i="9"/>
  <c r="Y275" i="9"/>
  <c r="I276" i="9"/>
  <c r="J276" i="9"/>
  <c r="X276" i="9"/>
  <c r="Y276" i="9"/>
  <c r="I277" i="9"/>
  <c r="J277" i="9"/>
  <c r="X277" i="9"/>
  <c r="Y277" i="9"/>
  <c r="I278" i="9"/>
  <c r="J278" i="9"/>
  <c r="X278" i="9"/>
  <c r="Y278" i="9"/>
  <c r="X10" i="9"/>
  <c r="I10" i="9"/>
  <c r="J10" i="9" s="1"/>
  <c r="I37" i="21"/>
  <c r="I294" i="21"/>
  <c r="J294" i="21"/>
  <c r="Y294" i="21"/>
  <c r="Z294" i="21"/>
  <c r="I295" i="21"/>
  <c r="J295" i="21"/>
  <c r="Y295" i="21"/>
  <c r="Z295" i="21"/>
  <c r="I296" i="21"/>
  <c r="J296" i="21"/>
  <c r="Y296" i="21"/>
  <c r="Z296" i="21"/>
  <c r="I297" i="21"/>
  <c r="J297" i="21"/>
  <c r="Y297" i="21"/>
  <c r="Z297" i="21"/>
  <c r="I298" i="21"/>
  <c r="J298" i="21"/>
  <c r="Y298" i="21"/>
  <c r="Z298" i="21"/>
  <c r="I299" i="21"/>
  <c r="J299" i="21"/>
  <c r="Y299" i="21"/>
  <c r="Z299" i="21"/>
  <c r="I300" i="21"/>
  <c r="J300" i="21"/>
  <c r="Y300" i="21"/>
  <c r="Z300" i="21"/>
  <c r="C25" i="27"/>
  <c r="C24" i="27"/>
  <c r="C23" i="27"/>
  <c r="C22" i="27"/>
  <c r="C21" i="27"/>
  <c r="C20" i="27"/>
  <c r="C19" i="27"/>
  <c r="C18" i="27"/>
  <c r="C17" i="27"/>
  <c r="C16" i="27"/>
  <c r="C15" i="27"/>
  <c r="C14" i="27"/>
  <c r="C13" i="27"/>
  <c r="C12" i="27"/>
  <c r="C11" i="27"/>
  <c r="C10" i="27"/>
  <c r="C9" i="27"/>
  <c r="C8" i="27"/>
  <c r="C7" i="27"/>
  <c r="C6" i="27"/>
  <c r="C5" i="27"/>
  <c r="Y213" i="20"/>
  <c r="X213" i="20"/>
  <c r="J213" i="20"/>
  <c r="I213" i="20"/>
  <c r="Y212" i="20"/>
  <c r="X212" i="20"/>
  <c r="J212" i="20"/>
  <c r="I212" i="20"/>
  <c r="Y211" i="20"/>
  <c r="X211" i="20"/>
  <c r="J211" i="20"/>
  <c r="I211" i="20"/>
  <c r="Y210" i="20"/>
  <c r="X210" i="20"/>
  <c r="J210" i="20"/>
  <c r="I210" i="20"/>
  <c r="Y209" i="20"/>
  <c r="X209" i="20"/>
  <c r="J209" i="20"/>
  <c r="I209" i="20"/>
  <c r="Y208" i="20"/>
  <c r="X208" i="20"/>
  <c r="J208" i="20"/>
  <c r="I208" i="20"/>
  <c r="Y207" i="20"/>
  <c r="X207" i="20"/>
  <c r="J207" i="20"/>
  <c r="I207" i="20"/>
  <c r="Y206" i="20"/>
  <c r="X206" i="20"/>
  <c r="J206" i="20"/>
  <c r="I206" i="20"/>
  <c r="Y205" i="20"/>
  <c r="X205" i="20"/>
  <c r="J205" i="20"/>
  <c r="I205" i="20"/>
  <c r="Y204" i="20"/>
  <c r="X204" i="20"/>
  <c r="J204" i="20"/>
  <c r="I204" i="20"/>
  <c r="Y203" i="20"/>
  <c r="X203" i="20"/>
  <c r="J203" i="20"/>
  <c r="I203" i="20"/>
  <c r="Y202" i="20"/>
  <c r="X202" i="20"/>
  <c r="J202" i="20"/>
  <c r="I202" i="20"/>
  <c r="Y201" i="20"/>
  <c r="X201" i="20"/>
  <c r="J201" i="20"/>
  <c r="I201" i="20"/>
  <c r="Y200" i="20"/>
  <c r="X200" i="20"/>
  <c r="J200" i="20"/>
  <c r="I200" i="20"/>
  <c r="Y199" i="20"/>
  <c r="X199" i="20"/>
  <c r="J199" i="20"/>
  <c r="I199" i="20"/>
  <c r="Y198" i="20"/>
  <c r="X198" i="20"/>
  <c r="J198" i="20"/>
  <c r="I198" i="20"/>
  <c r="Y197" i="20"/>
  <c r="X197" i="20"/>
  <c r="J197" i="20"/>
  <c r="I197" i="20"/>
  <c r="Y196" i="20"/>
  <c r="X196" i="20"/>
  <c r="J196" i="20"/>
  <c r="I196" i="20"/>
  <c r="Y195" i="20"/>
  <c r="X195" i="20"/>
  <c r="J195" i="20"/>
  <c r="I195" i="20"/>
  <c r="Y194" i="20"/>
  <c r="X194" i="20"/>
  <c r="J194" i="20"/>
  <c r="I194" i="20"/>
  <c r="Y193" i="20"/>
  <c r="X193" i="20"/>
  <c r="J193" i="20"/>
  <c r="I193" i="20"/>
  <c r="Y192" i="20"/>
  <c r="X192" i="20"/>
  <c r="J192" i="20"/>
  <c r="I192" i="20"/>
  <c r="Y191" i="20"/>
  <c r="X191" i="20"/>
  <c r="J191" i="20"/>
  <c r="I191" i="20"/>
  <c r="Y190" i="20"/>
  <c r="X190" i="20"/>
  <c r="J190" i="20"/>
  <c r="I190" i="20"/>
  <c r="Y189" i="20"/>
  <c r="X189" i="20"/>
  <c r="J189" i="20"/>
  <c r="I189" i="20"/>
  <c r="Y188" i="20"/>
  <c r="X188" i="20"/>
  <c r="J188" i="20"/>
  <c r="I188" i="20"/>
  <c r="Y187" i="20"/>
  <c r="X187" i="20"/>
  <c r="J187" i="20"/>
  <c r="I187" i="20"/>
  <c r="Y186" i="20"/>
  <c r="X186" i="20"/>
  <c r="J186" i="20"/>
  <c r="I186" i="20"/>
  <c r="Y185" i="20"/>
  <c r="X185" i="20"/>
  <c r="J185" i="20"/>
  <c r="I185" i="20"/>
  <c r="Y184" i="20"/>
  <c r="X184" i="20"/>
  <c r="J184" i="20"/>
  <c r="I184" i="20"/>
  <c r="Y183" i="20"/>
  <c r="X183" i="20"/>
  <c r="J183" i="20"/>
  <c r="I183" i="20"/>
  <c r="Y182" i="20"/>
  <c r="X182" i="20"/>
  <c r="J182" i="20"/>
  <c r="I182" i="20"/>
  <c r="Y181" i="20"/>
  <c r="X181" i="20"/>
  <c r="J181" i="20"/>
  <c r="I181" i="20"/>
  <c r="Y180" i="20"/>
  <c r="X180" i="20"/>
  <c r="J180" i="20"/>
  <c r="I180" i="20"/>
  <c r="Y179" i="20"/>
  <c r="X179" i="20"/>
  <c r="J179" i="20"/>
  <c r="I179" i="20"/>
  <c r="Y178" i="20"/>
  <c r="X178" i="20"/>
  <c r="J178" i="20"/>
  <c r="I178" i="20"/>
  <c r="Y177" i="20"/>
  <c r="X177" i="20"/>
  <c r="J177" i="20"/>
  <c r="I177" i="20"/>
  <c r="Y176" i="20"/>
  <c r="X176" i="20"/>
  <c r="J176" i="20"/>
  <c r="I176" i="20"/>
  <c r="Y175" i="20"/>
  <c r="X175" i="20"/>
  <c r="J175" i="20"/>
  <c r="I175" i="20"/>
  <c r="Y174" i="20"/>
  <c r="X174" i="20"/>
  <c r="J174" i="20"/>
  <c r="I174" i="20"/>
  <c r="Y173" i="20"/>
  <c r="X173" i="20"/>
  <c r="J173" i="20"/>
  <c r="I173" i="20"/>
  <c r="Y172" i="20"/>
  <c r="X172" i="20"/>
  <c r="J172" i="20"/>
  <c r="I172" i="20"/>
  <c r="Y171" i="20"/>
  <c r="X171" i="20"/>
  <c r="J171" i="20"/>
  <c r="I171" i="20"/>
  <c r="Y170" i="20"/>
  <c r="X170" i="20"/>
  <c r="J170" i="20"/>
  <c r="I170" i="20"/>
  <c r="Y169" i="20"/>
  <c r="X169" i="20"/>
  <c r="J169" i="20"/>
  <c r="I169" i="20"/>
  <c r="Y168" i="20"/>
  <c r="X168" i="20"/>
  <c r="J168" i="20"/>
  <c r="I168" i="20"/>
  <c r="Y167" i="20"/>
  <c r="X167" i="20"/>
  <c r="J167" i="20"/>
  <c r="I167" i="20"/>
  <c r="Y166" i="20"/>
  <c r="X166" i="20"/>
  <c r="J166" i="20"/>
  <c r="I166" i="20"/>
  <c r="Y165" i="20"/>
  <c r="X165" i="20"/>
  <c r="J165" i="20"/>
  <c r="I165" i="20"/>
  <c r="Y164" i="20"/>
  <c r="X164" i="20"/>
  <c r="J164" i="20"/>
  <c r="I164" i="20"/>
  <c r="Y163" i="20"/>
  <c r="X163" i="20"/>
  <c r="J163" i="20"/>
  <c r="I163" i="20"/>
  <c r="Y162" i="20"/>
  <c r="X162" i="20"/>
  <c r="J162" i="20"/>
  <c r="I162" i="20"/>
  <c r="Y161" i="20"/>
  <c r="X161" i="20"/>
  <c r="J161" i="20"/>
  <c r="I161" i="20"/>
  <c r="Y160" i="20"/>
  <c r="X160" i="20"/>
  <c r="J160" i="20"/>
  <c r="I160" i="20"/>
  <c r="Y159" i="20"/>
  <c r="X159" i="20"/>
  <c r="J159" i="20"/>
  <c r="I159" i="20"/>
  <c r="Y158" i="20"/>
  <c r="X158" i="20"/>
  <c r="J158" i="20"/>
  <c r="I158" i="20"/>
  <c r="Y157" i="20"/>
  <c r="X157" i="20"/>
  <c r="J157" i="20"/>
  <c r="I157" i="20"/>
  <c r="Y156" i="20"/>
  <c r="X156" i="20"/>
  <c r="J156" i="20"/>
  <c r="I156" i="20"/>
  <c r="Y155" i="20"/>
  <c r="X155" i="20"/>
  <c r="J155" i="20"/>
  <c r="I155" i="20"/>
  <c r="Y154" i="20"/>
  <c r="X154" i="20"/>
  <c r="J154" i="20"/>
  <c r="I154" i="20"/>
  <c r="Y153" i="20"/>
  <c r="X153" i="20"/>
  <c r="J153" i="20"/>
  <c r="I153" i="20"/>
  <c r="Y152" i="20"/>
  <c r="X152" i="20"/>
  <c r="J152" i="20"/>
  <c r="I152" i="20"/>
  <c r="Y151" i="20"/>
  <c r="X151" i="20"/>
  <c r="J151" i="20"/>
  <c r="I151" i="20"/>
  <c r="Y150" i="20"/>
  <c r="X150" i="20"/>
  <c r="J150" i="20"/>
  <c r="I150" i="20"/>
  <c r="Y149" i="20"/>
  <c r="X149" i="20"/>
  <c r="J149" i="20"/>
  <c r="I149" i="20"/>
  <c r="Y148" i="20"/>
  <c r="X148" i="20"/>
  <c r="J148" i="20"/>
  <c r="I148" i="20"/>
  <c r="Y147" i="20"/>
  <c r="X147" i="20"/>
  <c r="J147" i="20"/>
  <c r="I147" i="20"/>
  <c r="Y146" i="20"/>
  <c r="X146" i="20"/>
  <c r="J146" i="20"/>
  <c r="I146" i="20"/>
  <c r="Y145" i="20"/>
  <c r="X145" i="20"/>
  <c r="J145" i="20"/>
  <c r="I145" i="20"/>
  <c r="Y144" i="20"/>
  <c r="X144" i="20"/>
  <c r="J144" i="20"/>
  <c r="I144" i="20"/>
  <c r="Y143" i="20"/>
  <c r="X143" i="20"/>
  <c r="J143" i="20"/>
  <c r="I143" i="20"/>
  <c r="Y142" i="20"/>
  <c r="X142" i="20"/>
  <c r="J142" i="20"/>
  <c r="I142" i="20"/>
  <c r="Y141" i="20"/>
  <c r="X141" i="20"/>
  <c r="J141" i="20"/>
  <c r="I141" i="20"/>
  <c r="Y140" i="20"/>
  <c r="X140" i="20"/>
  <c r="J140" i="20"/>
  <c r="I140" i="20"/>
  <c r="Y139" i="20"/>
  <c r="X139" i="20"/>
  <c r="J139" i="20"/>
  <c r="I139" i="20"/>
  <c r="Y138" i="20"/>
  <c r="X138" i="20"/>
  <c r="J138" i="20"/>
  <c r="I138" i="20"/>
  <c r="Y137" i="20"/>
  <c r="X137" i="20"/>
  <c r="J137" i="20"/>
  <c r="I137" i="20"/>
  <c r="Y136" i="20"/>
  <c r="X136" i="20"/>
  <c r="J136" i="20"/>
  <c r="I136" i="20"/>
  <c r="Y135" i="20"/>
  <c r="X135" i="20"/>
  <c r="J135" i="20"/>
  <c r="I135" i="20"/>
  <c r="Y134" i="20"/>
  <c r="X134" i="20"/>
  <c r="J134" i="20"/>
  <c r="I134" i="20"/>
  <c r="Y133" i="20"/>
  <c r="X133" i="20"/>
  <c r="J133" i="20"/>
  <c r="I133" i="20"/>
  <c r="Y132" i="20"/>
  <c r="X132" i="20"/>
  <c r="J132" i="20"/>
  <c r="I132" i="20"/>
  <c r="Y131" i="20"/>
  <c r="X131" i="20"/>
  <c r="J131" i="20"/>
  <c r="I131" i="20"/>
  <c r="Y130" i="20"/>
  <c r="X130" i="20"/>
  <c r="J130" i="20"/>
  <c r="I130" i="20"/>
  <c r="Y129" i="20"/>
  <c r="X129" i="20"/>
  <c r="J129" i="20"/>
  <c r="I129" i="20"/>
  <c r="Y128" i="20"/>
  <c r="X128" i="20"/>
  <c r="J128" i="20"/>
  <c r="I128" i="20"/>
  <c r="Y127" i="20"/>
  <c r="X127" i="20"/>
  <c r="J127" i="20"/>
  <c r="I127" i="20"/>
  <c r="Y126" i="20"/>
  <c r="X126" i="20"/>
  <c r="J126" i="20"/>
  <c r="I126" i="20"/>
  <c r="Y125" i="20"/>
  <c r="X125" i="20"/>
  <c r="J125" i="20"/>
  <c r="I125" i="20"/>
  <c r="Y124" i="20"/>
  <c r="X124" i="20"/>
  <c r="J124" i="20"/>
  <c r="I124" i="20"/>
  <c r="Y123" i="20"/>
  <c r="X123" i="20"/>
  <c r="J123" i="20"/>
  <c r="I123" i="20"/>
  <c r="Y122" i="20"/>
  <c r="X122" i="20"/>
  <c r="J122" i="20"/>
  <c r="I122" i="20"/>
  <c r="Y121" i="20"/>
  <c r="X121" i="20"/>
  <c r="J121" i="20"/>
  <c r="I121" i="20"/>
  <c r="Y120" i="20"/>
  <c r="X120" i="20"/>
  <c r="J120" i="20"/>
  <c r="I120" i="20"/>
  <c r="Y119" i="20"/>
  <c r="X119" i="20"/>
  <c r="J119" i="20"/>
  <c r="I119" i="20"/>
  <c r="Y118" i="20"/>
  <c r="X118" i="20"/>
  <c r="J118" i="20"/>
  <c r="I118" i="20"/>
  <c r="Y117" i="20"/>
  <c r="X117" i="20"/>
  <c r="J117" i="20"/>
  <c r="I117" i="20"/>
  <c r="Y116" i="20"/>
  <c r="X116" i="20"/>
  <c r="J116" i="20"/>
  <c r="I116" i="20"/>
  <c r="Y115" i="20"/>
  <c r="X115" i="20"/>
  <c r="J115" i="20"/>
  <c r="I115" i="20"/>
  <c r="Y114" i="20"/>
  <c r="X114" i="20"/>
  <c r="J114" i="20"/>
  <c r="I114" i="20"/>
  <c r="Y113" i="20"/>
  <c r="X113" i="20"/>
  <c r="J113" i="20"/>
  <c r="I113" i="20"/>
  <c r="Y112" i="20"/>
  <c r="X112" i="20"/>
  <c r="J112" i="20"/>
  <c r="I112" i="20"/>
  <c r="Y111" i="20"/>
  <c r="X111" i="20"/>
  <c r="J111" i="20"/>
  <c r="I111" i="20"/>
  <c r="Y110" i="20"/>
  <c r="X110" i="20"/>
  <c r="J110" i="20"/>
  <c r="I110" i="20"/>
  <c r="Y109" i="20"/>
  <c r="X109" i="20"/>
  <c r="J109" i="20"/>
  <c r="I109" i="20"/>
  <c r="Y108" i="20"/>
  <c r="X108" i="20"/>
  <c r="J108" i="20"/>
  <c r="I108" i="20"/>
  <c r="Y107" i="20"/>
  <c r="X107" i="20"/>
  <c r="J107" i="20"/>
  <c r="I107" i="20"/>
  <c r="Y106" i="20"/>
  <c r="X106" i="20"/>
  <c r="J106" i="20"/>
  <c r="I106" i="20"/>
  <c r="Y105" i="20"/>
  <c r="X105" i="20"/>
  <c r="J105" i="20"/>
  <c r="I105" i="20"/>
  <c r="Y104" i="20"/>
  <c r="X104" i="20"/>
  <c r="J104" i="20"/>
  <c r="I104" i="20"/>
  <c r="Y103" i="20"/>
  <c r="X103" i="20"/>
  <c r="J103" i="20"/>
  <c r="I103" i="20"/>
  <c r="Y102" i="20"/>
  <c r="X102" i="20"/>
  <c r="J102" i="20"/>
  <c r="I102" i="20"/>
  <c r="Y101" i="20"/>
  <c r="X101" i="20"/>
  <c r="J101" i="20"/>
  <c r="I101" i="20"/>
  <c r="Y100" i="20"/>
  <c r="X100" i="20"/>
  <c r="J100" i="20"/>
  <c r="I100" i="20"/>
  <c r="Y99" i="20"/>
  <c r="X99" i="20"/>
  <c r="J99" i="20"/>
  <c r="I99" i="20"/>
  <c r="Y98" i="20"/>
  <c r="X98" i="20"/>
  <c r="J98" i="20"/>
  <c r="I98" i="20"/>
  <c r="Y97" i="20"/>
  <c r="X97" i="20"/>
  <c r="J97" i="20"/>
  <c r="I97" i="20"/>
  <c r="Y96" i="20"/>
  <c r="X96" i="20"/>
  <c r="J96" i="20"/>
  <c r="I96" i="20"/>
  <c r="Y95" i="20"/>
  <c r="X95" i="20"/>
  <c r="J95" i="20"/>
  <c r="I95" i="20"/>
  <c r="Y94" i="20"/>
  <c r="X94" i="20"/>
  <c r="J94" i="20"/>
  <c r="I94" i="20"/>
  <c r="Y93" i="20"/>
  <c r="X93" i="20"/>
  <c r="J93" i="20"/>
  <c r="I93" i="20"/>
  <c r="Y92" i="20"/>
  <c r="X92" i="20"/>
  <c r="J92" i="20"/>
  <c r="I92" i="20"/>
  <c r="Y91" i="20"/>
  <c r="X91" i="20"/>
  <c r="J91" i="20"/>
  <c r="I91" i="20"/>
  <c r="Y90" i="20"/>
  <c r="X90" i="20"/>
  <c r="J90" i="20"/>
  <c r="I90" i="20"/>
  <c r="Y89" i="20"/>
  <c r="X89" i="20"/>
  <c r="J89" i="20"/>
  <c r="I89" i="20"/>
  <c r="Y88" i="20"/>
  <c r="X88" i="20"/>
  <c r="J88" i="20"/>
  <c r="I88" i="20"/>
  <c r="Y87" i="20"/>
  <c r="X87" i="20"/>
  <c r="J87" i="20"/>
  <c r="I87" i="20"/>
  <c r="Y86" i="20"/>
  <c r="X86" i="20"/>
  <c r="J86" i="20"/>
  <c r="I86" i="20"/>
  <c r="Y85" i="20"/>
  <c r="X85" i="20"/>
  <c r="J85" i="20"/>
  <c r="I85" i="20"/>
  <c r="Y84" i="20"/>
  <c r="X84" i="20"/>
  <c r="J84" i="20"/>
  <c r="I84" i="20"/>
  <c r="Y83" i="20"/>
  <c r="X83" i="20"/>
  <c r="J83" i="20"/>
  <c r="I83" i="20"/>
  <c r="Y82" i="20"/>
  <c r="X82" i="20"/>
  <c r="J82" i="20"/>
  <c r="I82" i="20"/>
  <c r="Y81" i="20"/>
  <c r="X81" i="20"/>
  <c r="J81" i="20"/>
  <c r="I81" i="20"/>
  <c r="Y80" i="20"/>
  <c r="X80" i="20"/>
  <c r="J80" i="20"/>
  <c r="I80" i="20"/>
  <c r="Y79" i="20"/>
  <c r="X79" i="20"/>
  <c r="J79" i="20"/>
  <c r="I79" i="20"/>
  <c r="Y78" i="20"/>
  <c r="X78" i="20"/>
  <c r="J78" i="20"/>
  <c r="I78" i="20"/>
  <c r="Y77" i="20"/>
  <c r="X77" i="20"/>
  <c r="J77" i="20"/>
  <c r="I77" i="20"/>
  <c r="Y76" i="20"/>
  <c r="X76" i="20"/>
  <c r="J76" i="20"/>
  <c r="I76" i="20"/>
  <c r="Y75" i="20"/>
  <c r="X75" i="20"/>
  <c r="J75" i="20"/>
  <c r="I75" i="20"/>
  <c r="Y74" i="20"/>
  <c r="X74" i="20"/>
  <c r="J74" i="20"/>
  <c r="I74" i="20"/>
  <c r="Y73" i="20"/>
  <c r="X73" i="20"/>
  <c r="J73" i="20"/>
  <c r="I73" i="20"/>
  <c r="Y72" i="20"/>
  <c r="X72" i="20"/>
  <c r="J72" i="20"/>
  <c r="I72" i="20"/>
  <c r="Y71" i="20"/>
  <c r="X71" i="20"/>
  <c r="J71" i="20"/>
  <c r="I71" i="20"/>
  <c r="Y70" i="20"/>
  <c r="X70" i="20"/>
  <c r="J70" i="20"/>
  <c r="I70" i="20"/>
  <c r="Y69" i="20"/>
  <c r="X69" i="20"/>
  <c r="J69" i="20"/>
  <c r="I69" i="20"/>
  <c r="Y68" i="20"/>
  <c r="X68" i="20"/>
  <c r="J68" i="20"/>
  <c r="I68" i="20"/>
  <c r="Y67" i="20"/>
  <c r="X67" i="20"/>
  <c r="J67" i="20"/>
  <c r="I67" i="20"/>
  <c r="Y66" i="20"/>
  <c r="X66" i="20"/>
  <c r="J66" i="20"/>
  <c r="I66" i="20"/>
  <c r="Y65" i="20"/>
  <c r="X65" i="20"/>
  <c r="J65" i="20"/>
  <c r="I65" i="20"/>
  <c r="Y64" i="20"/>
  <c r="X64" i="20"/>
  <c r="J64" i="20"/>
  <c r="I64" i="20"/>
  <c r="Y63" i="20"/>
  <c r="X63" i="20"/>
  <c r="J63" i="20"/>
  <c r="I63" i="20"/>
  <c r="Y62" i="20"/>
  <c r="X62" i="20"/>
  <c r="J62" i="20"/>
  <c r="I62" i="20"/>
  <c r="Y61" i="20"/>
  <c r="X61" i="20"/>
  <c r="J61" i="20"/>
  <c r="I61" i="20"/>
  <c r="Y60" i="20"/>
  <c r="X60" i="20"/>
  <c r="J60" i="20"/>
  <c r="I60" i="20"/>
  <c r="Y59" i="20"/>
  <c r="X59" i="20"/>
  <c r="J59" i="20"/>
  <c r="I59" i="20"/>
  <c r="Y58" i="20"/>
  <c r="X58" i="20"/>
  <c r="J58" i="20"/>
  <c r="I58" i="20"/>
  <c r="Y57" i="20"/>
  <c r="X57" i="20"/>
  <c r="J57" i="20"/>
  <c r="I57" i="20"/>
  <c r="Y56" i="20"/>
  <c r="X56" i="20"/>
  <c r="J56" i="20"/>
  <c r="I56" i="20"/>
  <c r="Y55" i="20"/>
  <c r="X55" i="20"/>
  <c r="J55" i="20"/>
  <c r="I55" i="20"/>
  <c r="Y54" i="20"/>
  <c r="X54" i="20"/>
  <c r="J54" i="20"/>
  <c r="I54" i="20"/>
  <c r="Y53" i="20"/>
  <c r="X53" i="20"/>
  <c r="J53" i="20"/>
  <c r="I53" i="20"/>
  <c r="Y52" i="20"/>
  <c r="X52" i="20"/>
  <c r="J52" i="20"/>
  <c r="I52" i="20"/>
  <c r="Y51" i="20"/>
  <c r="X51" i="20"/>
  <c r="J51" i="20"/>
  <c r="I51" i="20"/>
  <c r="Y50" i="20"/>
  <c r="X50" i="20"/>
  <c r="J50" i="20"/>
  <c r="I50" i="20"/>
  <c r="Y49" i="20"/>
  <c r="X49" i="20"/>
  <c r="J49" i="20"/>
  <c r="I49" i="20"/>
  <c r="Y48" i="20"/>
  <c r="X48" i="20"/>
  <c r="J48" i="20"/>
  <c r="I48" i="20"/>
  <c r="Y47" i="20"/>
  <c r="X47" i="20"/>
  <c r="J47" i="20"/>
  <c r="I47" i="20"/>
  <c r="Y46" i="20"/>
  <c r="X46" i="20"/>
  <c r="J46" i="20"/>
  <c r="I46" i="20"/>
  <c r="Y45" i="20"/>
  <c r="X45" i="20"/>
  <c r="J45" i="20"/>
  <c r="I45" i="20"/>
  <c r="Y44" i="20"/>
  <c r="X44" i="20"/>
  <c r="J44" i="20"/>
  <c r="I44" i="20"/>
  <c r="Y43" i="20"/>
  <c r="X43" i="20"/>
  <c r="J43" i="20"/>
  <c r="I43" i="20"/>
  <c r="Y42" i="20"/>
  <c r="X42" i="20"/>
  <c r="J42" i="20"/>
  <c r="I42" i="20"/>
  <c r="Y41" i="20"/>
  <c r="X41" i="20"/>
  <c r="J41" i="20"/>
  <c r="I41" i="20"/>
  <c r="Y40" i="20"/>
  <c r="X40" i="20"/>
  <c r="J40" i="20"/>
  <c r="I40" i="20"/>
  <c r="Y39" i="20"/>
  <c r="X39" i="20"/>
  <c r="J39" i="20"/>
  <c r="I39" i="20"/>
  <c r="Y38" i="20"/>
  <c r="X38" i="20"/>
  <c r="J38" i="20"/>
  <c r="I38" i="20"/>
  <c r="Y37" i="20"/>
  <c r="X37" i="20"/>
  <c r="J37" i="20"/>
  <c r="I37" i="20"/>
  <c r="Y36" i="20"/>
  <c r="X36" i="20"/>
  <c r="J36" i="20"/>
  <c r="I36" i="20"/>
  <c r="Y35" i="20"/>
  <c r="X35" i="20"/>
  <c r="J35" i="20"/>
  <c r="I35" i="20"/>
  <c r="Y34" i="20"/>
  <c r="X34" i="20"/>
  <c r="J34" i="20"/>
  <c r="I34" i="20"/>
  <c r="Y33" i="20"/>
  <c r="X33" i="20"/>
  <c r="J33" i="20"/>
  <c r="I33" i="20"/>
  <c r="Y32" i="20"/>
  <c r="X32" i="20"/>
  <c r="J32" i="20"/>
  <c r="I32" i="20"/>
  <c r="Y31" i="20"/>
  <c r="X31" i="20"/>
  <c r="J31" i="20"/>
  <c r="I31" i="20"/>
  <c r="Y30" i="20"/>
  <c r="X30" i="20"/>
  <c r="J30" i="20"/>
  <c r="I30" i="20"/>
  <c r="Y29" i="20"/>
  <c r="X29" i="20"/>
  <c r="J29" i="20"/>
  <c r="I29" i="20"/>
  <c r="Y28" i="20"/>
  <c r="X28" i="20"/>
  <c r="J28" i="20"/>
  <c r="I28" i="20"/>
  <c r="Y27" i="20"/>
  <c r="X27" i="20"/>
  <c r="J27" i="20"/>
  <c r="I27" i="20"/>
  <c r="Y26" i="20"/>
  <c r="X26" i="20"/>
  <c r="J26" i="20"/>
  <c r="I26" i="20"/>
  <c r="Y25" i="20"/>
  <c r="X25" i="20"/>
  <c r="J25" i="20"/>
  <c r="I25" i="20"/>
  <c r="Y24" i="20"/>
  <c r="X24" i="20"/>
  <c r="J24" i="20"/>
  <c r="I24" i="20"/>
  <c r="Y23" i="20"/>
  <c r="X23" i="20"/>
  <c r="J23" i="20"/>
  <c r="I23" i="20"/>
  <c r="Y22" i="20"/>
  <c r="X22" i="20"/>
  <c r="J22" i="20"/>
  <c r="I22" i="20"/>
  <c r="Y21" i="20"/>
  <c r="X21" i="20"/>
  <c r="J21" i="20"/>
  <c r="I21" i="20"/>
  <c r="Y20" i="20"/>
  <c r="X20" i="20"/>
  <c r="J20" i="20"/>
  <c r="I20" i="20"/>
  <c r="Y19" i="20"/>
  <c r="X19" i="20"/>
  <c r="J19" i="20"/>
  <c r="I19" i="20"/>
  <c r="Y18" i="20"/>
  <c r="X18" i="20"/>
  <c r="J18" i="20"/>
  <c r="I18" i="20"/>
  <c r="Y17" i="20"/>
  <c r="X17" i="20"/>
  <c r="J17" i="20"/>
  <c r="I17" i="20"/>
  <c r="Y16" i="20"/>
  <c r="X16" i="20"/>
  <c r="J16" i="20"/>
  <c r="I16" i="20"/>
  <c r="Y15" i="20"/>
  <c r="X15" i="20"/>
  <c r="J15" i="20"/>
  <c r="I15" i="20"/>
  <c r="Y14" i="20"/>
  <c r="X14" i="20"/>
  <c r="J14" i="20"/>
  <c r="I14" i="20"/>
  <c r="Y13" i="20"/>
  <c r="X13" i="20"/>
  <c r="J13" i="20"/>
  <c r="I13" i="20"/>
  <c r="Y12" i="20"/>
  <c r="X12" i="20"/>
  <c r="J12" i="20"/>
  <c r="I12" i="20"/>
  <c r="Y11" i="20"/>
  <c r="X11" i="20"/>
  <c r="J11" i="20"/>
  <c r="I11" i="20"/>
  <c r="Y10" i="20"/>
  <c r="X10" i="20"/>
  <c r="J10" i="20"/>
  <c r="I10" i="20"/>
  <c r="I7" i="20"/>
  <c r="U6" i="20"/>
  <c r="T6" i="20"/>
  <c r="S6" i="20"/>
  <c r="R6" i="20"/>
  <c r="Q6" i="20"/>
  <c r="P6" i="20"/>
  <c r="K6" i="20"/>
  <c r="K5" i="20"/>
  <c r="G5" i="20"/>
  <c r="E5" i="20"/>
  <c r="C5" i="20"/>
  <c r="K4" i="20"/>
  <c r="G4" i="20"/>
  <c r="E4" i="20"/>
  <c r="C4" i="20"/>
  <c r="Y212" i="23"/>
  <c r="X212" i="23"/>
  <c r="J212" i="23"/>
  <c r="I212" i="23"/>
  <c r="Y211" i="23"/>
  <c r="X211" i="23"/>
  <c r="J211" i="23"/>
  <c r="I211" i="23"/>
  <c r="Y210" i="23"/>
  <c r="X210" i="23"/>
  <c r="J210" i="23"/>
  <c r="I210" i="23"/>
  <c r="Y209" i="23"/>
  <c r="X209" i="23"/>
  <c r="J209" i="23"/>
  <c r="I209" i="23"/>
  <c r="Y208" i="23"/>
  <c r="X208" i="23"/>
  <c r="J208" i="23"/>
  <c r="I208" i="23"/>
  <c r="Y207" i="23"/>
  <c r="X207" i="23"/>
  <c r="J207" i="23"/>
  <c r="I207" i="23"/>
  <c r="Y206" i="23"/>
  <c r="X206" i="23"/>
  <c r="J206" i="23"/>
  <c r="I206" i="23"/>
  <c r="Y205" i="23"/>
  <c r="X205" i="23"/>
  <c r="J205" i="23"/>
  <c r="I205" i="23"/>
  <c r="Y204" i="23"/>
  <c r="X204" i="23"/>
  <c r="J204" i="23"/>
  <c r="I204" i="23"/>
  <c r="Y203" i="23"/>
  <c r="X203" i="23"/>
  <c r="J203" i="23"/>
  <c r="I203" i="23"/>
  <c r="Y202" i="23"/>
  <c r="X202" i="23"/>
  <c r="J202" i="23"/>
  <c r="I202" i="23"/>
  <c r="Y201" i="23"/>
  <c r="X201" i="23"/>
  <c r="J201" i="23"/>
  <c r="I201" i="23"/>
  <c r="Y200" i="23"/>
  <c r="X200" i="23"/>
  <c r="J200" i="23"/>
  <c r="I200" i="23"/>
  <c r="Y199" i="23"/>
  <c r="X199" i="23"/>
  <c r="J199" i="23"/>
  <c r="I199" i="23"/>
  <c r="Y198" i="23"/>
  <c r="X198" i="23"/>
  <c r="J198" i="23"/>
  <c r="I198" i="23"/>
  <c r="Y197" i="23"/>
  <c r="X197" i="23"/>
  <c r="J197" i="23"/>
  <c r="I197" i="23"/>
  <c r="Y196" i="23"/>
  <c r="X196" i="23"/>
  <c r="J196" i="23"/>
  <c r="I196" i="23"/>
  <c r="Y195" i="23"/>
  <c r="X195" i="23"/>
  <c r="J195" i="23"/>
  <c r="I195" i="23"/>
  <c r="Y194" i="23"/>
  <c r="X194" i="23"/>
  <c r="J194" i="23"/>
  <c r="I194" i="23"/>
  <c r="Y193" i="23"/>
  <c r="X193" i="23"/>
  <c r="J193" i="23"/>
  <c r="I193" i="23"/>
  <c r="Y192" i="23"/>
  <c r="X192" i="23"/>
  <c r="J192" i="23"/>
  <c r="I192" i="23"/>
  <c r="Y191" i="23"/>
  <c r="X191" i="23"/>
  <c r="J191" i="23"/>
  <c r="I191" i="23"/>
  <c r="Y190" i="23"/>
  <c r="X190" i="23"/>
  <c r="J190" i="23"/>
  <c r="I190" i="23"/>
  <c r="Y189" i="23"/>
  <c r="X189" i="23"/>
  <c r="J189" i="23"/>
  <c r="I189" i="23"/>
  <c r="Y188" i="23"/>
  <c r="X188" i="23"/>
  <c r="J188" i="23"/>
  <c r="I188" i="23"/>
  <c r="Y187" i="23"/>
  <c r="X187" i="23"/>
  <c r="J187" i="23"/>
  <c r="I187" i="23"/>
  <c r="Y186" i="23"/>
  <c r="X186" i="23"/>
  <c r="J186" i="23"/>
  <c r="I186" i="23"/>
  <c r="Y185" i="23"/>
  <c r="X185" i="23"/>
  <c r="J185" i="23"/>
  <c r="I185" i="23"/>
  <c r="Y184" i="23"/>
  <c r="X184" i="23"/>
  <c r="J184" i="23"/>
  <c r="I184" i="23"/>
  <c r="Y183" i="23"/>
  <c r="X183" i="23"/>
  <c r="J183" i="23"/>
  <c r="I183" i="23"/>
  <c r="Y182" i="23"/>
  <c r="X182" i="23"/>
  <c r="J182" i="23"/>
  <c r="I182" i="23"/>
  <c r="Y181" i="23"/>
  <c r="X181" i="23"/>
  <c r="J181" i="23"/>
  <c r="I181" i="23"/>
  <c r="Y180" i="23"/>
  <c r="X180" i="23"/>
  <c r="J180" i="23"/>
  <c r="I180" i="23"/>
  <c r="Y179" i="23"/>
  <c r="X179" i="23"/>
  <c r="J179" i="23"/>
  <c r="I179" i="23"/>
  <c r="Y178" i="23"/>
  <c r="X178" i="23"/>
  <c r="J178" i="23"/>
  <c r="I178" i="23"/>
  <c r="Y177" i="23"/>
  <c r="X177" i="23"/>
  <c r="J177" i="23"/>
  <c r="I177" i="23"/>
  <c r="Y176" i="23"/>
  <c r="X176" i="23"/>
  <c r="J176" i="23"/>
  <c r="I176" i="23"/>
  <c r="Y175" i="23"/>
  <c r="X175" i="23"/>
  <c r="J175" i="23"/>
  <c r="I175" i="23"/>
  <c r="Y174" i="23"/>
  <c r="X174" i="23"/>
  <c r="J174" i="23"/>
  <c r="I174" i="23"/>
  <c r="Y173" i="23"/>
  <c r="X173" i="23"/>
  <c r="J173" i="23"/>
  <c r="I173" i="23"/>
  <c r="Y172" i="23"/>
  <c r="X172" i="23"/>
  <c r="J172" i="23"/>
  <c r="I172" i="23"/>
  <c r="Y171" i="23"/>
  <c r="X171" i="23"/>
  <c r="J171" i="23"/>
  <c r="I171" i="23"/>
  <c r="Y170" i="23"/>
  <c r="X170" i="23"/>
  <c r="J170" i="23"/>
  <c r="I170" i="23"/>
  <c r="Y169" i="23"/>
  <c r="X169" i="23"/>
  <c r="J169" i="23"/>
  <c r="I169" i="23"/>
  <c r="Y168" i="23"/>
  <c r="X168" i="23"/>
  <c r="J168" i="23"/>
  <c r="I168" i="23"/>
  <c r="Y167" i="23"/>
  <c r="X167" i="23"/>
  <c r="J167" i="23"/>
  <c r="I167" i="23"/>
  <c r="Y166" i="23"/>
  <c r="X166" i="23"/>
  <c r="J166" i="23"/>
  <c r="I166" i="23"/>
  <c r="Y165" i="23"/>
  <c r="X165" i="23"/>
  <c r="J165" i="23"/>
  <c r="I165" i="23"/>
  <c r="Y164" i="23"/>
  <c r="X164" i="23"/>
  <c r="J164" i="23"/>
  <c r="I164" i="23"/>
  <c r="Y163" i="23"/>
  <c r="X163" i="23"/>
  <c r="J163" i="23"/>
  <c r="I163" i="23"/>
  <c r="Y162" i="23"/>
  <c r="X162" i="23"/>
  <c r="J162" i="23"/>
  <c r="I162" i="23"/>
  <c r="Y161" i="23"/>
  <c r="X161" i="23"/>
  <c r="J161" i="23"/>
  <c r="I161" i="23"/>
  <c r="Y160" i="23"/>
  <c r="X160" i="23"/>
  <c r="J160" i="23"/>
  <c r="I160" i="23"/>
  <c r="Y159" i="23"/>
  <c r="X159" i="23"/>
  <c r="J159" i="23"/>
  <c r="I159" i="23"/>
  <c r="Y158" i="23"/>
  <c r="X158" i="23"/>
  <c r="J158" i="23"/>
  <c r="I158" i="23"/>
  <c r="Y157" i="23"/>
  <c r="X157" i="23"/>
  <c r="J157" i="23"/>
  <c r="I157" i="23"/>
  <c r="Y156" i="23"/>
  <c r="X156" i="23"/>
  <c r="J156" i="23"/>
  <c r="I156" i="23"/>
  <c r="Y155" i="23"/>
  <c r="X155" i="23"/>
  <c r="J155" i="23"/>
  <c r="I155" i="23"/>
  <c r="Y154" i="23"/>
  <c r="X154" i="23"/>
  <c r="J154" i="23"/>
  <c r="I154" i="23"/>
  <c r="Y153" i="23"/>
  <c r="X153" i="23"/>
  <c r="J153" i="23"/>
  <c r="I153" i="23"/>
  <c r="Y152" i="23"/>
  <c r="X152" i="23"/>
  <c r="J152" i="23"/>
  <c r="I152" i="23"/>
  <c r="Y151" i="23"/>
  <c r="X151" i="23"/>
  <c r="J151" i="23"/>
  <c r="I151" i="23"/>
  <c r="Y150" i="23"/>
  <c r="X150" i="23"/>
  <c r="J150" i="23"/>
  <c r="I150" i="23"/>
  <c r="Y149" i="23"/>
  <c r="X149" i="23"/>
  <c r="J149" i="23"/>
  <c r="I149" i="23"/>
  <c r="Y148" i="23"/>
  <c r="X148" i="23"/>
  <c r="J148" i="23"/>
  <c r="I148" i="23"/>
  <c r="Y147" i="23"/>
  <c r="X147" i="23"/>
  <c r="J147" i="23"/>
  <c r="I147" i="23"/>
  <c r="Y146" i="23"/>
  <c r="X146" i="23"/>
  <c r="J146" i="23"/>
  <c r="I146" i="23"/>
  <c r="Y145" i="23"/>
  <c r="X145" i="23"/>
  <c r="J145" i="23"/>
  <c r="I145" i="23"/>
  <c r="Y144" i="23"/>
  <c r="X144" i="23"/>
  <c r="J144" i="23"/>
  <c r="I144" i="23"/>
  <c r="Y143" i="23"/>
  <c r="X143" i="23"/>
  <c r="J143" i="23"/>
  <c r="I143" i="23"/>
  <c r="Y142" i="23"/>
  <c r="X142" i="23"/>
  <c r="J142" i="23"/>
  <c r="I142" i="23"/>
  <c r="Y141" i="23"/>
  <c r="X141" i="23"/>
  <c r="J141" i="23"/>
  <c r="I141" i="23"/>
  <c r="Y140" i="23"/>
  <c r="X140" i="23"/>
  <c r="J140" i="23"/>
  <c r="I140" i="23"/>
  <c r="Y139" i="23"/>
  <c r="X139" i="23"/>
  <c r="J139" i="23"/>
  <c r="I139" i="23"/>
  <c r="Y138" i="23"/>
  <c r="X138" i="23"/>
  <c r="J138" i="23"/>
  <c r="I138" i="23"/>
  <c r="Y137" i="23"/>
  <c r="X137" i="23"/>
  <c r="J137" i="23"/>
  <c r="I137" i="23"/>
  <c r="Y136" i="23"/>
  <c r="X136" i="23"/>
  <c r="J136" i="23"/>
  <c r="I136" i="23"/>
  <c r="Y135" i="23"/>
  <c r="X135" i="23"/>
  <c r="J135" i="23"/>
  <c r="I135" i="23"/>
  <c r="Y134" i="23"/>
  <c r="X134" i="23"/>
  <c r="J134" i="23"/>
  <c r="I134" i="23"/>
  <c r="Y133" i="23"/>
  <c r="X133" i="23"/>
  <c r="J133" i="23"/>
  <c r="I133" i="23"/>
  <c r="Y132" i="23"/>
  <c r="X132" i="23"/>
  <c r="J132" i="23"/>
  <c r="I132" i="23"/>
  <c r="Y131" i="23"/>
  <c r="X131" i="23"/>
  <c r="J131" i="23"/>
  <c r="I131" i="23"/>
  <c r="Y130" i="23"/>
  <c r="X130" i="23"/>
  <c r="J130" i="23"/>
  <c r="I130" i="23"/>
  <c r="Y129" i="23"/>
  <c r="X129" i="23"/>
  <c r="J129" i="23"/>
  <c r="I129" i="23"/>
  <c r="Y128" i="23"/>
  <c r="X128" i="23"/>
  <c r="J128" i="23"/>
  <c r="I128" i="23"/>
  <c r="Y127" i="23"/>
  <c r="X127" i="23"/>
  <c r="J127" i="23"/>
  <c r="I127" i="23"/>
  <c r="Y126" i="23"/>
  <c r="X126" i="23"/>
  <c r="J126" i="23"/>
  <c r="I126" i="23"/>
  <c r="Y125" i="23"/>
  <c r="X125" i="23"/>
  <c r="J125" i="23"/>
  <c r="I125" i="23"/>
  <c r="Y124" i="23"/>
  <c r="X124" i="23"/>
  <c r="J124" i="23"/>
  <c r="I124" i="23"/>
  <c r="Y123" i="23"/>
  <c r="X123" i="23"/>
  <c r="J123" i="23"/>
  <c r="I123" i="23"/>
  <c r="Y122" i="23"/>
  <c r="X122" i="23"/>
  <c r="J122" i="23"/>
  <c r="I122" i="23"/>
  <c r="Y121" i="23"/>
  <c r="X121" i="23"/>
  <c r="J121" i="23"/>
  <c r="I121" i="23"/>
  <c r="Y120" i="23"/>
  <c r="X120" i="23"/>
  <c r="J120" i="23"/>
  <c r="I120" i="23"/>
  <c r="Y119" i="23"/>
  <c r="X119" i="23"/>
  <c r="J119" i="23"/>
  <c r="I119" i="23"/>
  <c r="Y118" i="23"/>
  <c r="X118" i="23"/>
  <c r="J118" i="23"/>
  <c r="I118" i="23"/>
  <c r="Y117" i="23"/>
  <c r="X117" i="23"/>
  <c r="J117" i="23"/>
  <c r="I117" i="23"/>
  <c r="Y116" i="23"/>
  <c r="X116" i="23"/>
  <c r="J116" i="23"/>
  <c r="I116" i="23"/>
  <c r="Y115" i="23"/>
  <c r="X115" i="23"/>
  <c r="J115" i="23"/>
  <c r="I115" i="23"/>
  <c r="Y114" i="23"/>
  <c r="X114" i="23"/>
  <c r="J114" i="23"/>
  <c r="I114" i="23"/>
  <c r="Y113" i="23"/>
  <c r="X113" i="23"/>
  <c r="J113" i="23"/>
  <c r="I113" i="23"/>
  <c r="Y112" i="23"/>
  <c r="X112" i="23"/>
  <c r="J112" i="23"/>
  <c r="I112" i="23"/>
  <c r="Y111" i="23"/>
  <c r="X111" i="23"/>
  <c r="J111" i="23"/>
  <c r="I111" i="23"/>
  <c r="Y110" i="23"/>
  <c r="X110" i="23"/>
  <c r="J110" i="23"/>
  <c r="I110" i="23"/>
  <c r="Y109" i="23"/>
  <c r="X109" i="23"/>
  <c r="J109" i="23"/>
  <c r="I109" i="23"/>
  <c r="Y108" i="23"/>
  <c r="X108" i="23"/>
  <c r="J108" i="23"/>
  <c r="I108" i="23"/>
  <c r="Y107" i="23"/>
  <c r="X107" i="23"/>
  <c r="J107" i="23"/>
  <c r="I107" i="23"/>
  <c r="Y106" i="23"/>
  <c r="X106" i="23"/>
  <c r="J106" i="23"/>
  <c r="I106" i="23"/>
  <c r="Y105" i="23"/>
  <c r="X105" i="23"/>
  <c r="J105" i="23"/>
  <c r="I105" i="23"/>
  <c r="Y104" i="23"/>
  <c r="X104" i="23"/>
  <c r="J104" i="23"/>
  <c r="I104" i="23"/>
  <c r="Y103" i="23"/>
  <c r="X103" i="23"/>
  <c r="J103" i="23"/>
  <c r="I103" i="23"/>
  <c r="Y102" i="23"/>
  <c r="X102" i="23"/>
  <c r="J102" i="23"/>
  <c r="I102" i="23"/>
  <c r="Y101" i="23"/>
  <c r="X101" i="23"/>
  <c r="J101" i="23"/>
  <c r="I101" i="23"/>
  <c r="Y100" i="23"/>
  <c r="X100" i="23"/>
  <c r="J100" i="23"/>
  <c r="I100" i="23"/>
  <c r="Y99" i="23"/>
  <c r="X99" i="23"/>
  <c r="J99" i="23"/>
  <c r="I99" i="23"/>
  <c r="Y98" i="23"/>
  <c r="X98" i="23"/>
  <c r="J98" i="23"/>
  <c r="I98" i="23"/>
  <c r="Y97" i="23"/>
  <c r="X97" i="23"/>
  <c r="J97" i="23"/>
  <c r="I97" i="23"/>
  <c r="Y96" i="23"/>
  <c r="X96" i="23"/>
  <c r="J96" i="23"/>
  <c r="I96" i="23"/>
  <c r="Y95" i="23"/>
  <c r="X95" i="23"/>
  <c r="J95" i="23"/>
  <c r="I95" i="23"/>
  <c r="Y94" i="23"/>
  <c r="X94" i="23"/>
  <c r="J94" i="23"/>
  <c r="I94" i="23"/>
  <c r="Y93" i="23"/>
  <c r="X93" i="23"/>
  <c r="J93" i="23"/>
  <c r="I93" i="23"/>
  <c r="Y92" i="23"/>
  <c r="X92" i="23"/>
  <c r="J92" i="23"/>
  <c r="I92" i="23"/>
  <c r="Y91" i="23"/>
  <c r="X91" i="23"/>
  <c r="J91" i="23"/>
  <c r="I91" i="23"/>
  <c r="Y90" i="23"/>
  <c r="X90" i="23"/>
  <c r="J90" i="23"/>
  <c r="I90" i="23"/>
  <c r="Y89" i="23"/>
  <c r="X89" i="23"/>
  <c r="J89" i="23"/>
  <c r="I89" i="23"/>
  <c r="Y88" i="23"/>
  <c r="X88" i="23"/>
  <c r="J88" i="23"/>
  <c r="I88" i="23"/>
  <c r="Y87" i="23"/>
  <c r="X87" i="23"/>
  <c r="J87" i="23"/>
  <c r="I87" i="23"/>
  <c r="Y86" i="23"/>
  <c r="X86" i="23"/>
  <c r="J86" i="23"/>
  <c r="I86" i="23"/>
  <c r="Y85" i="23"/>
  <c r="X85" i="23"/>
  <c r="J85" i="23"/>
  <c r="I85" i="23"/>
  <c r="Y84" i="23"/>
  <c r="X84" i="23"/>
  <c r="J84" i="23"/>
  <c r="I84" i="23"/>
  <c r="Y83" i="23"/>
  <c r="X83" i="23"/>
  <c r="J83" i="23"/>
  <c r="I83" i="23"/>
  <c r="Y82" i="23"/>
  <c r="X82" i="23"/>
  <c r="J82" i="23"/>
  <c r="I82" i="23"/>
  <c r="Y81" i="23"/>
  <c r="X81" i="23"/>
  <c r="J81" i="23"/>
  <c r="I81" i="23"/>
  <c r="Y80" i="23"/>
  <c r="X80" i="23"/>
  <c r="J80" i="23"/>
  <c r="I80" i="23"/>
  <c r="Y79" i="23"/>
  <c r="X79" i="23"/>
  <c r="J79" i="23"/>
  <c r="I79" i="23"/>
  <c r="Y78" i="23"/>
  <c r="X78" i="23"/>
  <c r="J78" i="23"/>
  <c r="I78" i="23"/>
  <c r="Y77" i="23"/>
  <c r="X77" i="23"/>
  <c r="J77" i="23"/>
  <c r="I77" i="23"/>
  <c r="Y76" i="23"/>
  <c r="X76" i="23"/>
  <c r="J76" i="23"/>
  <c r="I76" i="23"/>
  <c r="Y75" i="23"/>
  <c r="X75" i="23"/>
  <c r="J75" i="23"/>
  <c r="I75" i="23"/>
  <c r="Y74" i="23"/>
  <c r="X74" i="23"/>
  <c r="J74" i="23"/>
  <c r="I74" i="23"/>
  <c r="Y73" i="23"/>
  <c r="X73" i="23"/>
  <c r="J73" i="23"/>
  <c r="I73" i="23"/>
  <c r="Y72" i="23"/>
  <c r="X72" i="23"/>
  <c r="J72" i="23"/>
  <c r="I72" i="23"/>
  <c r="Y71" i="23"/>
  <c r="X71" i="23"/>
  <c r="J71" i="23"/>
  <c r="I71" i="23"/>
  <c r="Y70" i="23"/>
  <c r="X70" i="23"/>
  <c r="J70" i="23"/>
  <c r="I70" i="23"/>
  <c r="Y69" i="23"/>
  <c r="X69" i="23"/>
  <c r="J69" i="23"/>
  <c r="I69" i="23"/>
  <c r="Y68" i="23"/>
  <c r="X68" i="23"/>
  <c r="J68" i="23"/>
  <c r="I68" i="23"/>
  <c r="Y67" i="23"/>
  <c r="X67" i="23"/>
  <c r="J67" i="23"/>
  <c r="I67" i="23"/>
  <c r="Y66" i="23"/>
  <c r="X66" i="23"/>
  <c r="J66" i="23"/>
  <c r="I66" i="23"/>
  <c r="Y65" i="23"/>
  <c r="X65" i="23"/>
  <c r="J65" i="23"/>
  <c r="I65" i="23"/>
  <c r="Y64" i="23"/>
  <c r="X64" i="23"/>
  <c r="J64" i="23"/>
  <c r="I64" i="23"/>
  <c r="Y63" i="23"/>
  <c r="X63" i="23"/>
  <c r="J63" i="23"/>
  <c r="I63" i="23"/>
  <c r="Y62" i="23"/>
  <c r="X62" i="23"/>
  <c r="J62" i="23"/>
  <c r="I62" i="23"/>
  <c r="Y61" i="23"/>
  <c r="X61" i="23"/>
  <c r="J61" i="23"/>
  <c r="I61" i="23"/>
  <c r="Y60" i="23"/>
  <c r="X60" i="23"/>
  <c r="J60" i="23"/>
  <c r="I60" i="23"/>
  <c r="Y59" i="23"/>
  <c r="X59" i="23"/>
  <c r="J59" i="23"/>
  <c r="I59" i="23"/>
  <c r="Y58" i="23"/>
  <c r="X58" i="23"/>
  <c r="J58" i="23"/>
  <c r="I58" i="23"/>
  <c r="Y57" i="23"/>
  <c r="X57" i="23"/>
  <c r="J57" i="23"/>
  <c r="I57" i="23"/>
  <c r="Y56" i="23"/>
  <c r="X56" i="23"/>
  <c r="J56" i="23"/>
  <c r="I56" i="23"/>
  <c r="Y55" i="23"/>
  <c r="X55" i="23"/>
  <c r="J55" i="23"/>
  <c r="I55" i="23"/>
  <c r="Y54" i="23"/>
  <c r="X54" i="23"/>
  <c r="J54" i="23"/>
  <c r="I54" i="23"/>
  <c r="Y53" i="23"/>
  <c r="X53" i="23"/>
  <c r="J53" i="23"/>
  <c r="I53" i="23"/>
  <c r="Y52" i="23"/>
  <c r="X52" i="23"/>
  <c r="J52" i="23"/>
  <c r="I52" i="23"/>
  <c r="Y51" i="23"/>
  <c r="X51" i="23"/>
  <c r="J51" i="23"/>
  <c r="I51" i="23"/>
  <c r="Y50" i="23"/>
  <c r="X50" i="23"/>
  <c r="J50" i="23"/>
  <c r="I50" i="23"/>
  <c r="Y49" i="23"/>
  <c r="X49" i="23"/>
  <c r="J49" i="23"/>
  <c r="I49" i="23"/>
  <c r="Y48" i="23"/>
  <c r="X48" i="23"/>
  <c r="J48" i="23"/>
  <c r="I48" i="23"/>
  <c r="Y47" i="23"/>
  <c r="X47" i="23"/>
  <c r="J47" i="23"/>
  <c r="I47" i="23"/>
  <c r="Y46" i="23"/>
  <c r="X46" i="23"/>
  <c r="J46" i="23"/>
  <c r="I46" i="23"/>
  <c r="Y45" i="23"/>
  <c r="X45" i="23"/>
  <c r="J45" i="23"/>
  <c r="I45" i="23"/>
  <c r="Y44" i="23"/>
  <c r="X44" i="23"/>
  <c r="J44" i="23"/>
  <c r="I44" i="23"/>
  <c r="Y43" i="23"/>
  <c r="X43" i="23"/>
  <c r="J43" i="23"/>
  <c r="I43" i="23"/>
  <c r="Y42" i="23"/>
  <c r="X42" i="23"/>
  <c r="J42" i="23"/>
  <c r="I42" i="23"/>
  <c r="Y41" i="23"/>
  <c r="X41" i="23"/>
  <c r="J41" i="23"/>
  <c r="I41" i="23"/>
  <c r="Y40" i="23"/>
  <c r="X40" i="23"/>
  <c r="J40" i="23"/>
  <c r="I40" i="23"/>
  <c r="Y39" i="23"/>
  <c r="X39" i="23"/>
  <c r="J39" i="23"/>
  <c r="I39" i="23"/>
  <c r="Y38" i="23"/>
  <c r="X38" i="23"/>
  <c r="J38" i="23"/>
  <c r="I38" i="23"/>
  <c r="Y37" i="23"/>
  <c r="X37" i="23"/>
  <c r="J37" i="23"/>
  <c r="I37" i="23"/>
  <c r="Y36" i="23"/>
  <c r="X36" i="23"/>
  <c r="J36" i="23"/>
  <c r="I36" i="23"/>
  <c r="Y35" i="23"/>
  <c r="X35" i="23"/>
  <c r="J35" i="23"/>
  <c r="I35" i="23"/>
  <c r="Y34" i="23"/>
  <c r="X34" i="23"/>
  <c r="J34" i="23"/>
  <c r="I34" i="23"/>
  <c r="Y33" i="23"/>
  <c r="X33" i="23"/>
  <c r="J33" i="23"/>
  <c r="I33" i="23"/>
  <c r="Y32" i="23"/>
  <c r="X32" i="23"/>
  <c r="J32" i="23"/>
  <c r="I32" i="23"/>
  <c r="Y31" i="23"/>
  <c r="X31" i="23"/>
  <c r="J31" i="23"/>
  <c r="I31" i="23"/>
  <c r="Y30" i="23"/>
  <c r="X30" i="23"/>
  <c r="J30" i="23"/>
  <c r="I30" i="23"/>
  <c r="Y29" i="23"/>
  <c r="X29" i="23"/>
  <c r="J29" i="23"/>
  <c r="I29" i="23"/>
  <c r="Y28" i="23"/>
  <c r="X28" i="23"/>
  <c r="J28" i="23"/>
  <c r="I28" i="23"/>
  <c r="Y27" i="23"/>
  <c r="X27" i="23"/>
  <c r="J27" i="23"/>
  <c r="I27" i="23"/>
  <c r="Y26" i="23"/>
  <c r="X26" i="23"/>
  <c r="J26" i="23"/>
  <c r="I26" i="23"/>
  <c r="Y25" i="23"/>
  <c r="X25" i="23"/>
  <c r="J25" i="23"/>
  <c r="I25" i="23"/>
  <c r="Y24" i="23"/>
  <c r="X24" i="23"/>
  <c r="J24" i="23"/>
  <c r="I24" i="23"/>
  <c r="Y23" i="23"/>
  <c r="X23" i="23"/>
  <c r="J23" i="23"/>
  <c r="I23" i="23"/>
  <c r="Y22" i="23"/>
  <c r="X22" i="23"/>
  <c r="J22" i="23"/>
  <c r="I22" i="23"/>
  <c r="Y21" i="23"/>
  <c r="X21" i="23"/>
  <c r="J21" i="23"/>
  <c r="I21" i="23"/>
  <c r="Y20" i="23"/>
  <c r="X20" i="23"/>
  <c r="J20" i="23"/>
  <c r="I20" i="23"/>
  <c r="Y19" i="23"/>
  <c r="X19" i="23"/>
  <c r="J19" i="23"/>
  <c r="I19" i="23"/>
  <c r="Y18" i="23"/>
  <c r="X18" i="23"/>
  <c r="J18" i="23"/>
  <c r="I18" i="23"/>
  <c r="Y17" i="23"/>
  <c r="X17" i="23"/>
  <c r="J17" i="23"/>
  <c r="I17" i="23"/>
  <c r="Y16" i="23"/>
  <c r="X16" i="23"/>
  <c r="J16" i="23"/>
  <c r="I16" i="23"/>
  <c r="Y15" i="23"/>
  <c r="X15" i="23"/>
  <c r="J15" i="23"/>
  <c r="I15" i="23"/>
  <c r="Y14" i="23"/>
  <c r="X14" i="23"/>
  <c r="J14" i="23"/>
  <c r="I14" i="23"/>
  <c r="Y13" i="23"/>
  <c r="X13" i="23"/>
  <c r="J13" i="23"/>
  <c r="I13" i="23"/>
  <c r="Y12" i="23"/>
  <c r="X12" i="23"/>
  <c r="J12" i="23"/>
  <c r="I12" i="23"/>
  <c r="Y11" i="23"/>
  <c r="X11" i="23"/>
  <c r="I11" i="23"/>
  <c r="J11" i="23" s="1"/>
  <c r="Y10" i="23"/>
  <c r="X10" i="23"/>
  <c r="I10" i="23"/>
  <c r="J10" i="23" s="1"/>
  <c r="I7" i="23"/>
  <c r="Y6" i="23"/>
  <c r="V6" i="23"/>
  <c r="U6" i="23"/>
  <c r="T6" i="23"/>
  <c r="S6" i="23"/>
  <c r="R6" i="23"/>
  <c r="Q6" i="23"/>
  <c r="P6" i="23"/>
  <c r="I6" i="23"/>
  <c r="G6" i="23"/>
  <c r="C6" i="23"/>
  <c r="I5" i="23"/>
  <c r="E5" i="23"/>
  <c r="C5" i="23"/>
  <c r="I4" i="23"/>
  <c r="E4" i="23"/>
  <c r="C4" i="23"/>
  <c r="Y227" i="22"/>
  <c r="X227" i="22"/>
  <c r="J227" i="22"/>
  <c r="I227" i="22"/>
  <c r="Y226" i="22"/>
  <c r="X226" i="22"/>
  <c r="J226" i="22"/>
  <c r="I226" i="22"/>
  <c r="Y225" i="22"/>
  <c r="X225" i="22"/>
  <c r="J225" i="22"/>
  <c r="I225" i="22"/>
  <c r="Y224" i="22"/>
  <c r="X224" i="22"/>
  <c r="J224" i="22"/>
  <c r="I224" i="22"/>
  <c r="Y223" i="22"/>
  <c r="X223" i="22"/>
  <c r="J223" i="22"/>
  <c r="I223" i="22"/>
  <c r="Y222" i="22"/>
  <c r="X222" i="22"/>
  <c r="J222" i="22"/>
  <c r="I222" i="22"/>
  <c r="Y221" i="22"/>
  <c r="X221" i="22"/>
  <c r="J221" i="22"/>
  <c r="I221" i="22"/>
  <c r="Y220" i="22"/>
  <c r="X220" i="22"/>
  <c r="J220" i="22"/>
  <c r="I220" i="22"/>
  <c r="Y219" i="22"/>
  <c r="X219" i="22"/>
  <c r="J219" i="22"/>
  <c r="I219" i="22"/>
  <c r="Y218" i="22"/>
  <c r="X218" i="22"/>
  <c r="J218" i="22"/>
  <c r="I218" i="22"/>
  <c r="Y217" i="22"/>
  <c r="X217" i="22"/>
  <c r="J217" i="22"/>
  <c r="I217" i="22"/>
  <c r="Y216" i="22"/>
  <c r="X216" i="22"/>
  <c r="J216" i="22"/>
  <c r="I216" i="22"/>
  <c r="Y215" i="22"/>
  <c r="X215" i="22"/>
  <c r="J215" i="22"/>
  <c r="I215" i="22"/>
  <c r="Y214" i="22"/>
  <c r="X214" i="22"/>
  <c r="J214" i="22"/>
  <c r="I214" i="22"/>
  <c r="Y213" i="22"/>
  <c r="X213" i="22"/>
  <c r="J213" i="22"/>
  <c r="I213" i="22"/>
  <c r="Y212" i="22"/>
  <c r="X212" i="22"/>
  <c r="J212" i="22"/>
  <c r="I212" i="22"/>
  <c r="Y211" i="22"/>
  <c r="X211" i="22"/>
  <c r="J211" i="22"/>
  <c r="I211" i="22"/>
  <c r="Y210" i="22"/>
  <c r="X210" i="22"/>
  <c r="J210" i="22"/>
  <c r="I210" i="22"/>
  <c r="Y209" i="22"/>
  <c r="X209" i="22"/>
  <c r="J209" i="22"/>
  <c r="I209" i="22"/>
  <c r="Y208" i="22"/>
  <c r="X208" i="22"/>
  <c r="J208" i="22"/>
  <c r="I208" i="22"/>
  <c r="Y207" i="22"/>
  <c r="X207" i="22"/>
  <c r="J207" i="22"/>
  <c r="I207" i="22"/>
  <c r="Y206" i="22"/>
  <c r="X206" i="22"/>
  <c r="J206" i="22"/>
  <c r="I206" i="22"/>
  <c r="Y205" i="22"/>
  <c r="X205" i="22"/>
  <c r="J205" i="22"/>
  <c r="I205" i="22"/>
  <c r="Y204" i="22"/>
  <c r="X204" i="22"/>
  <c r="J204" i="22"/>
  <c r="I204" i="22"/>
  <c r="Y203" i="22"/>
  <c r="X203" i="22"/>
  <c r="J203" i="22"/>
  <c r="I203" i="22"/>
  <c r="Y202" i="22"/>
  <c r="X202" i="22"/>
  <c r="J202" i="22"/>
  <c r="I202" i="22"/>
  <c r="Y201" i="22"/>
  <c r="X201" i="22"/>
  <c r="J201" i="22"/>
  <c r="I201" i="22"/>
  <c r="Y200" i="22"/>
  <c r="X200" i="22"/>
  <c r="J200" i="22"/>
  <c r="I200" i="22"/>
  <c r="Y199" i="22"/>
  <c r="X199" i="22"/>
  <c r="J199" i="22"/>
  <c r="I199" i="22"/>
  <c r="Y198" i="22"/>
  <c r="X198" i="22"/>
  <c r="J198" i="22"/>
  <c r="I198" i="22"/>
  <c r="Y197" i="22"/>
  <c r="X197" i="22"/>
  <c r="J197" i="22"/>
  <c r="I197" i="22"/>
  <c r="Y196" i="22"/>
  <c r="X196" i="22"/>
  <c r="J196" i="22"/>
  <c r="I196" i="22"/>
  <c r="Y195" i="22"/>
  <c r="X195" i="22"/>
  <c r="J195" i="22"/>
  <c r="I195" i="22"/>
  <c r="Y194" i="22"/>
  <c r="X194" i="22"/>
  <c r="J194" i="22"/>
  <c r="I194" i="22"/>
  <c r="Y193" i="22"/>
  <c r="X193" i="22"/>
  <c r="J193" i="22"/>
  <c r="I193" i="22"/>
  <c r="Y192" i="22"/>
  <c r="X192" i="22"/>
  <c r="J192" i="22"/>
  <c r="I192" i="22"/>
  <c r="Y191" i="22"/>
  <c r="X191" i="22"/>
  <c r="J191" i="22"/>
  <c r="I191" i="22"/>
  <c r="Y190" i="22"/>
  <c r="X190" i="22"/>
  <c r="J190" i="22"/>
  <c r="I190" i="22"/>
  <c r="Y189" i="22"/>
  <c r="X189" i="22"/>
  <c r="J189" i="22"/>
  <c r="I189" i="22"/>
  <c r="Y188" i="22"/>
  <c r="X188" i="22"/>
  <c r="J188" i="22"/>
  <c r="I188" i="22"/>
  <c r="Y187" i="22"/>
  <c r="X187" i="22"/>
  <c r="J187" i="22"/>
  <c r="I187" i="22"/>
  <c r="Y186" i="22"/>
  <c r="X186" i="22"/>
  <c r="J186" i="22"/>
  <c r="I186" i="22"/>
  <c r="Y185" i="22"/>
  <c r="X185" i="22"/>
  <c r="J185" i="22"/>
  <c r="I185" i="22"/>
  <c r="Y184" i="22"/>
  <c r="X184" i="22"/>
  <c r="J184" i="22"/>
  <c r="I184" i="22"/>
  <c r="Y183" i="22"/>
  <c r="X183" i="22"/>
  <c r="J183" i="22"/>
  <c r="I183" i="22"/>
  <c r="Y182" i="22"/>
  <c r="X182" i="22"/>
  <c r="J182" i="22"/>
  <c r="I182" i="22"/>
  <c r="Y181" i="22"/>
  <c r="X181" i="22"/>
  <c r="J181" i="22"/>
  <c r="I181" i="22"/>
  <c r="Y180" i="22"/>
  <c r="X180" i="22"/>
  <c r="J180" i="22"/>
  <c r="I180" i="22"/>
  <c r="Y179" i="22"/>
  <c r="X179" i="22"/>
  <c r="J179" i="22"/>
  <c r="I179" i="22"/>
  <c r="Y178" i="22"/>
  <c r="X178" i="22"/>
  <c r="J178" i="22"/>
  <c r="I178" i="22"/>
  <c r="Y177" i="22"/>
  <c r="X177" i="22"/>
  <c r="J177" i="22"/>
  <c r="I177" i="22"/>
  <c r="Y176" i="22"/>
  <c r="X176" i="22"/>
  <c r="J176" i="22"/>
  <c r="I176" i="22"/>
  <c r="Y175" i="22"/>
  <c r="X175" i="22"/>
  <c r="J175" i="22"/>
  <c r="I175" i="22"/>
  <c r="Y174" i="22"/>
  <c r="X174" i="22"/>
  <c r="J174" i="22"/>
  <c r="I174" i="22"/>
  <c r="Y173" i="22"/>
  <c r="X173" i="22"/>
  <c r="J173" i="22"/>
  <c r="I173" i="22"/>
  <c r="Y172" i="22"/>
  <c r="X172" i="22"/>
  <c r="J172" i="22"/>
  <c r="I172" i="22"/>
  <c r="Y171" i="22"/>
  <c r="X171" i="22"/>
  <c r="J171" i="22"/>
  <c r="I171" i="22"/>
  <c r="Y170" i="22"/>
  <c r="X170" i="22"/>
  <c r="J170" i="22"/>
  <c r="I170" i="22"/>
  <c r="Y169" i="22"/>
  <c r="X169" i="22"/>
  <c r="J169" i="22"/>
  <c r="I169" i="22"/>
  <c r="Y168" i="22"/>
  <c r="X168" i="22"/>
  <c r="J168" i="22"/>
  <c r="I168" i="22"/>
  <c r="Y167" i="22"/>
  <c r="X167" i="22"/>
  <c r="J167" i="22"/>
  <c r="I167" i="22"/>
  <c r="Y166" i="22"/>
  <c r="X166" i="22"/>
  <c r="J166" i="22"/>
  <c r="I166" i="22"/>
  <c r="Y165" i="22"/>
  <c r="X165" i="22"/>
  <c r="J165" i="22"/>
  <c r="I165" i="22"/>
  <c r="Y164" i="22"/>
  <c r="X164" i="22"/>
  <c r="J164" i="22"/>
  <c r="I164" i="22"/>
  <c r="Y163" i="22"/>
  <c r="X163" i="22"/>
  <c r="J163" i="22"/>
  <c r="I163" i="22"/>
  <c r="Y162" i="22"/>
  <c r="X162" i="22"/>
  <c r="J162" i="22"/>
  <c r="I162" i="22"/>
  <c r="Y161" i="22"/>
  <c r="X161" i="22"/>
  <c r="J161" i="22"/>
  <c r="I161" i="22"/>
  <c r="Y160" i="22"/>
  <c r="X160" i="22"/>
  <c r="J160" i="22"/>
  <c r="I160" i="22"/>
  <c r="Y159" i="22"/>
  <c r="X159" i="22"/>
  <c r="J159" i="22"/>
  <c r="I159" i="22"/>
  <c r="Y158" i="22"/>
  <c r="X158" i="22"/>
  <c r="J158" i="22"/>
  <c r="I158" i="22"/>
  <c r="Y157" i="22"/>
  <c r="X157" i="22"/>
  <c r="J157" i="22"/>
  <c r="I157" i="22"/>
  <c r="Y156" i="22"/>
  <c r="X156" i="22"/>
  <c r="J156" i="22"/>
  <c r="I156" i="22"/>
  <c r="Y155" i="22"/>
  <c r="X155" i="22"/>
  <c r="J155" i="22"/>
  <c r="I155" i="22"/>
  <c r="Y154" i="22"/>
  <c r="X154" i="22"/>
  <c r="J154" i="22"/>
  <c r="I154" i="22"/>
  <c r="Y153" i="22"/>
  <c r="X153" i="22"/>
  <c r="J153" i="22"/>
  <c r="I153" i="22"/>
  <c r="Y152" i="22"/>
  <c r="X152" i="22"/>
  <c r="J152" i="22"/>
  <c r="I152" i="22"/>
  <c r="Y151" i="22"/>
  <c r="X151" i="22"/>
  <c r="J151" i="22"/>
  <c r="I151" i="22"/>
  <c r="Y150" i="22"/>
  <c r="X150" i="22"/>
  <c r="J150" i="22"/>
  <c r="I150" i="22"/>
  <c r="Y149" i="22"/>
  <c r="X149" i="22"/>
  <c r="J149" i="22"/>
  <c r="I149" i="22"/>
  <c r="Y148" i="22"/>
  <c r="X148" i="22"/>
  <c r="J148" i="22"/>
  <c r="I148" i="22"/>
  <c r="Y147" i="22"/>
  <c r="X147" i="22"/>
  <c r="J147" i="22"/>
  <c r="I147" i="22"/>
  <c r="Y146" i="22"/>
  <c r="X146" i="22"/>
  <c r="J146" i="22"/>
  <c r="I146" i="22"/>
  <c r="Y145" i="22"/>
  <c r="X145" i="22"/>
  <c r="J145" i="22"/>
  <c r="I145" i="22"/>
  <c r="Y144" i="22"/>
  <c r="X144" i="22"/>
  <c r="J144" i="22"/>
  <c r="I144" i="22"/>
  <c r="Y143" i="22"/>
  <c r="X143" i="22"/>
  <c r="J143" i="22"/>
  <c r="I143" i="22"/>
  <c r="Y142" i="22"/>
  <c r="X142" i="22"/>
  <c r="J142" i="22"/>
  <c r="I142" i="22"/>
  <c r="Y141" i="22"/>
  <c r="X141" i="22"/>
  <c r="J141" i="22"/>
  <c r="I141" i="22"/>
  <c r="Y140" i="22"/>
  <c r="X140" i="22"/>
  <c r="J140" i="22"/>
  <c r="I140" i="22"/>
  <c r="Y139" i="22"/>
  <c r="X139" i="22"/>
  <c r="J139" i="22"/>
  <c r="I139" i="22"/>
  <c r="Y138" i="22"/>
  <c r="X138" i="22"/>
  <c r="J138" i="22"/>
  <c r="I138" i="22"/>
  <c r="Y137" i="22"/>
  <c r="X137" i="22"/>
  <c r="J137" i="22"/>
  <c r="I137" i="22"/>
  <c r="Y136" i="22"/>
  <c r="X136" i="22"/>
  <c r="J136" i="22"/>
  <c r="I136" i="22"/>
  <c r="Y135" i="22"/>
  <c r="X135" i="22"/>
  <c r="J135" i="22"/>
  <c r="I135" i="22"/>
  <c r="Y134" i="22"/>
  <c r="X134" i="22"/>
  <c r="J134" i="22"/>
  <c r="I134" i="22"/>
  <c r="Y133" i="22"/>
  <c r="X133" i="22"/>
  <c r="J133" i="22"/>
  <c r="I133" i="22"/>
  <c r="Y132" i="22"/>
  <c r="X132" i="22"/>
  <c r="J132" i="22"/>
  <c r="I132" i="22"/>
  <c r="Y131" i="22"/>
  <c r="X131" i="22"/>
  <c r="J131" i="22"/>
  <c r="I131" i="22"/>
  <c r="Y130" i="22"/>
  <c r="X130" i="22"/>
  <c r="J130" i="22"/>
  <c r="I130" i="22"/>
  <c r="Y129" i="22"/>
  <c r="X129" i="22"/>
  <c r="J129" i="22"/>
  <c r="I129" i="22"/>
  <c r="Y128" i="22"/>
  <c r="X128" i="22"/>
  <c r="J128" i="22"/>
  <c r="I128" i="22"/>
  <c r="Y127" i="22"/>
  <c r="X127" i="22"/>
  <c r="J127" i="22"/>
  <c r="I127" i="22"/>
  <c r="Y126" i="22"/>
  <c r="X126" i="22"/>
  <c r="J126" i="22"/>
  <c r="I126" i="22"/>
  <c r="Y125" i="22"/>
  <c r="X125" i="22"/>
  <c r="J125" i="22"/>
  <c r="I125" i="22"/>
  <c r="Y124" i="22"/>
  <c r="X124" i="22"/>
  <c r="J124" i="22"/>
  <c r="I124" i="22"/>
  <c r="Y123" i="22"/>
  <c r="X123" i="22"/>
  <c r="J123" i="22"/>
  <c r="I123" i="22"/>
  <c r="Y122" i="22"/>
  <c r="X122" i="22"/>
  <c r="J122" i="22"/>
  <c r="I122" i="22"/>
  <c r="Y121" i="22"/>
  <c r="X121" i="22"/>
  <c r="J121" i="22"/>
  <c r="I121" i="22"/>
  <c r="Y120" i="22"/>
  <c r="X120" i="22"/>
  <c r="J120" i="22"/>
  <c r="I120" i="22"/>
  <c r="Y119" i="22"/>
  <c r="X119" i="22"/>
  <c r="J119" i="22"/>
  <c r="I119" i="22"/>
  <c r="Y118" i="22"/>
  <c r="X118" i="22"/>
  <c r="J118" i="22"/>
  <c r="I118" i="22"/>
  <c r="Y117" i="22"/>
  <c r="X117" i="22"/>
  <c r="J117" i="22"/>
  <c r="I117" i="22"/>
  <c r="Y116" i="22"/>
  <c r="X116" i="22"/>
  <c r="J116" i="22"/>
  <c r="I116" i="22"/>
  <c r="Y115" i="22"/>
  <c r="X115" i="22"/>
  <c r="J115" i="22"/>
  <c r="I115" i="22"/>
  <c r="Y114" i="22"/>
  <c r="X114" i="22"/>
  <c r="J114" i="22"/>
  <c r="I114" i="22"/>
  <c r="Y113" i="22"/>
  <c r="X113" i="22"/>
  <c r="J113" i="22"/>
  <c r="I113" i="22"/>
  <c r="Y112" i="22"/>
  <c r="X112" i="22"/>
  <c r="J112" i="22"/>
  <c r="I112" i="22"/>
  <c r="Y111" i="22"/>
  <c r="X111" i="22"/>
  <c r="J111" i="22"/>
  <c r="I111" i="22"/>
  <c r="Y110" i="22"/>
  <c r="X110" i="22"/>
  <c r="J110" i="22"/>
  <c r="I110" i="22"/>
  <c r="Y109" i="22"/>
  <c r="X109" i="22"/>
  <c r="J109" i="22"/>
  <c r="I109" i="22"/>
  <c r="Y108" i="22"/>
  <c r="X108" i="22"/>
  <c r="J108" i="22"/>
  <c r="I108" i="22"/>
  <c r="Y107" i="22"/>
  <c r="X107" i="22"/>
  <c r="J107" i="22"/>
  <c r="I107" i="22"/>
  <c r="Y106" i="22"/>
  <c r="X106" i="22"/>
  <c r="J106" i="22"/>
  <c r="I106" i="22"/>
  <c r="Y105" i="22"/>
  <c r="X105" i="22"/>
  <c r="J105" i="22"/>
  <c r="I105" i="22"/>
  <c r="Y104" i="22"/>
  <c r="X104" i="22"/>
  <c r="J104" i="22"/>
  <c r="I104" i="22"/>
  <c r="Y103" i="22"/>
  <c r="X103" i="22"/>
  <c r="J103" i="22"/>
  <c r="I103" i="22"/>
  <c r="Y102" i="22"/>
  <c r="X102" i="22"/>
  <c r="J102" i="22"/>
  <c r="I102" i="22"/>
  <c r="Y101" i="22"/>
  <c r="X101" i="22"/>
  <c r="J101" i="22"/>
  <c r="I101" i="22"/>
  <c r="Y100" i="22"/>
  <c r="X100" i="22"/>
  <c r="J100" i="22"/>
  <c r="I100" i="22"/>
  <c r="Y99" i="22"/>
  <c r="X99" i="22"/>
  <c r="J99" i="22"/>
  <c r="I99" i="22"/>
  <c r="Y98" i="22"/>
  <c r="X98" i="22"/>
  <c r="J98" i="22"/>
  <c r="I98" i="22"/>
  <c r="Y97" i="22"/>
  <c r="X97" i="22"/>
  <c r="J97" i="22"/>
  <c r="I97" i="22"/>
  <c r="Y96" i="22"/>
  <c r="X96" i="22"/>
  <c r="J96" i="22"/>
  <c r="I96" i="22"/>
  <c r="Y95" i="22"/>
  <c r="X95" i="22"/>
  <c r="J95" i="22"/>
  <c r="I95" i="22"/>
  <c r="Y94" i="22"/>
  <c r="X94" i="22"/>
  <c r="J94" i="22"/>
  <c r="I94" i="22"/>
  <c r="Y93" i="22"/>
  <c r="X93" i="22"/>
  <c r="J93" i="22"/>
  <c r="I93" i="22"/>
  <c r="Y92" i="22"/>
  <c r="X92" i="22"/>
  <c r="J92" i="22"/>
  <c r="I92" i="22"/>
  <c r="Y91" i="22"/>
  <c r="X91" i="22"/>
  <c r="J91" i="22"/>
  <c r="I91" i="22"/>
  <c r="Y90" i="22"/>
  <c r="X90" i="22"/>
  <c r="J90" i="22"/>
  <c r="I90" i="22"/>
  <c r="Y89" i="22"/>
  <c r="X89" i="22"/>
  <c r="J89" i="22"/>
  <c r="I89" i="22"/>
  <c r="Y88" i="22"/>
  <c r="X88" i="22"/>
  <c r="J88" i="22"/>
  <c r="I88" i="22"/>
  <c r="Y87" i="22"/>
  <c r="X87" i="22"/>
  <c r="J87" i="22"/>
  <c r="I87" i="22"/>
  <c r="Y86" i="22"/>
  <c r="X86" i="22"/>
  <c r="J86" i="22"/>
  <c r="I86" i="22"/>
  <c r="Y85" i="22"/>
  <c r="X85" i="22"/>
  <c r="J85" i="22"/>
  <c r="I85" i="22"/>
  <c r="Y84" i="22"/>
  <c r="X84" i="22"/>
  <c r="J84" i="22"/>
  <c r="I84" i="22"/>
  <c r="Y83" i="22"/>
  <c r="X83" i="22"/>
  <c r="J83" i="22"/>
  <c r="I83" i="22"/>
  <c r="Y82" i="22"/>
  <c r="X82" i="22"/>
  <c r="J82" i="22"/>
  <c r="I82" i="22"/>
  <c r="Y81" i="22"/>
  <c r="X81" i="22"/>
  <c r="J81" i="22"/>
  <c r="I81" i="22"/>
  <c r="Y80" i="22"/>
  <c r="X80" i="22"/>
  <c r="J80" i="22"/>
  <c r="I80" i="22"/>
  <c r="Y79" i="22"/>
  <c r="X79" i="22"/>
  <c r="J79" i="22"/>
  <c r="I79" i="22"/>
  <c r="Y78" i="22"/>
  <c r="X78" i="22"/>
  <c r="J78" i="22"/>
  <c r="I78" i="22"/>
  <c r="Y77" i="22"/>
  <c r="X77" i="22"/>
  <c r="J77" i="22"/>
  <c r="I77" i="22"/>
  <c r="Y76" i="22"/>
  <c r="X76" i="22"/>
  <c r="J76" i="22"/>
  <c r="I76" i="22"/>
  <c r="Y75" i="22"/>
  <c r="X75" i="22"/>
  <c r="J75" i="22"/>
  <c r="I75" i="22"/>
  <c r="Y74" i="22"/>
  <c r="X74" i="22"/>
  <c r="J74" i="22"/>
  <c r="I74" i="22"/>
  <c r="Y73" i="22"/>
  <c r="X73" i="22"/>
  <c r="J73" i="22"/>
  <c r="I73" i="22"/>
  <c r="Y72" i="22"/>
  <c r="X72" i="22"/>
  <c r="J72" i="22"/>
  <c r="I72" i="22"/>
  <c r="Y71" i="22"/>
  <c r="X71" i="22"/>
  <c r="J71" i="22"/>
  <c r="I71" i="22"/>
  <c r="Y70" i="22"/>
  <c r="X70" i="22"/>
  <c r="J70" i="22"/>
  <c r="I70" i="22"/>
  <c r="Y69" i="22"/>
  <c r="X69" i="22"/>
  <c r="J69" i="22"/>
  <c r="I69" i="22"/>
  <c r="Y68" i="22"/>
  <c r="X68" i="22"/>
  <c r="J68" i="22"/>
  <c r="I68" i="22"/>
  <c r="Y67" i="22"/>
  <c r="X67" i="22"/>
  <c r="J67" i="22"/>
  <c r="I67" i="22"/>
  <c r="Y66" i="22"/>
  <c r="X66" i="22"/>
  <c r="J66" i="22"/>
  <c r="I66" i="22"/>
  <c r="Y65" i="22"/>
  <c r="X65" i="22"/>
  <c r="J65" i="22"/>
  <c r="I65" i="22"/>
  <c r="Y64" i="22"/>
  <c r="X64" i="22"/>
  <c r="J64" i="22"/>
  <c r="I64" i="22"/>
  <c r="Y63" i="22"/>
  <c r="X63" i="22"/>
  <c r="J63" i="22"/>
  <c r="I63" i="22"/>
  <c r="Y62" i="22"/>
  <c r="X62" i="22"/>
  <c r="J62" i="22"/>
  <c r="I62" i="22"/>
  <c r="Y61" i="22"/>
  <c r="X61" i="22"/>
  <c r="J61" i="22"/>
  <c r="I61" i="22"/>
  <c r="Y60" i="22"/>
  <c r="X60" i="22"/>
  <c r="J60" i="22"/>
  <c r="I60" i="22"/>
  <c r="Y59" i="22"/>
  <c r="X59" i="22"/>
  <c r="J59" i="22"/>
  <c r="I59" i="22"/>
  <c r="Y58" i="22"/>
  <c r="X58" i="22"/>
  <c r="J58" i="22"/>
  <c r="I58" i="22"/>
  <c r="Y57" i="22"/>
  <c r="X57" i="22"/>
  <c r="J57" i="22"/>
  <c r="I57" i="22"/>
  <c r="Y56" i="22"/>
  <c r="X56" i="22"/>
  <c r="J56" i="22"/>
  <c r="I56" i="22"/>
  <c r="Y55" i="22"/>
  <c r="X55" i="22"/>
  <c r="J55" i="22"/>
  <c r="I55" i="22"/>
  <c r="Y54" i="22"/>
  <c r="X54" i="22"/>
  <c r="J54" i="22"/>
  <c r="I54" i="22"/>
  <c r="Y53" i="22"/>
  <c r="X53" i="22"/>
  <c r="J53" i="22"/>
  <c r="I53" i="22"/>
  <c r="Y52" i="22"/>
  <c r="X52" i="22"/>
  <c r="J52" i="22"/>
  <c r="I52" i="22"/>
  <c r="Y51" i="22"/>
  <c r="X51" i="22"/>
  <c r="J51" i="22"/>
  <c r="I51" i="22"/>
  <c r="Y50" i="22"/>
  <c r="X50" i="22"/>
  <c r="J50" i="22"/>
  <c r="I50" i="22"/>
  <c r="Y49" i="22"/>
  <c r="X49" i="22"/>
  <c r="J49" i="22"/>
  <c r="I49" i="22"/>
  <c r="Y48" i="22"/>
  <c r="X48" i="22"/>
  <c r="J48" i="22"/>
  <c r="I48" i="22"/>
  <c r="Y47" i="22"/>
  <c r="X47" i="22"/>
  <c r="J47" i="22"/>
  <c r="I47" i="22"/>
  <c r="Y46" i="22"/>
  <c r="X46" i="22"/>
  <c r="J46" i="22"/>
  <c r="I46" i="22"/>
  <c r="Y45" i="22"/>
  <c r="X45" i="22"/>
  <c r="J45" i="22"/>
  <c r="I45" i="22"/>
  <c r="Y44" i="22"/>
  <c r="X44" i="22"/>
  <c r="J44" i="22"/>
  <c r="I44" i="22"/>
  <c r="Y43" i="22"/>
  <c r="X43" i="22"/>
  <c r="J43" i="22"/>
  <c r="I43" i="22"/>
  <c r="Y42" i="22"/>
  <c r="X42" i="22"/>
  <c r="J42" i="22"/>
  <c r="I42" i="22"/>
  <c r="Y41" i="22"/>
  <c r="X41" i="22"/>
  <c r="J41" i="22"/>
  <c r="I41" i="22"/>
  <c r="Y40" i="22"/>
  <c r="X40" i="22"/>
  <c r="J40" i="22"/>
  <c r="I40" i="22"/>
  <c r="Y39" i="22"/>
  <c r="X39" i="22"/>
  <c r="J39" i="22"/>
  <c r="I39" i="22"/>
  <c r="Y38" i="22"/>
  <c r="X38" i="22"/>
  <c r="J38" i="22"/>
  <c r="I38" i="22"/>
  <c r="Y37" i="22"/>
  <c r="X37" i="22"/>
  <c r="J37" i="22"/>
  <c r="I37" i="22"/>
  <c r="Y36" i="22"/>
  <c r="X36" i="22"/>
  <c r="J36" i="22"/>
  <c r="I36" i="22"/>
  <c r="Y35" i="22"/>
  <c r="X35" i="22"/>
  <c r="J35" i="22"/>
  <c r="I35" i="22"/>
  <c r="Y34" i="22"/>
  <c r="X34" i="22"/>
  <c r="J34" i="22"/>
  <c r="I34" i="22"/>
  <c r="Y33" i="22"/>
  <c r="X33" i="22"/>
  <c r="J33" i="22"/>
  <c r="I33" i="22"/>
  <c r="Y32" i="22"/>
  <c r="X32" i="22"/>
  <c r="J32" i="22"/>
  <c r="I32" i="22"/>
  <c r="Y31" i="22"/>
  <c r="X31" i="22"/>
  <c r="J31" i="22"/>
  <c r="I31" i="22"/>
  <c r="Y30" i="22"/>
  <c r="X30" i="22"/>
  <c r="J30" i="22"/>
  <c r="I30" i="22"/>
  <c r="Y29" i="22"/>
  <c r="X29" i="22"/>
  <c r="J29" i="22"/>
  <c r="I29" i="22"/>
  <c r="Y28" i="22"/>
  <c r="X28" i="22"/>
  <c r="J28" i="22"/>
  <c r="I28" i="22"/>
  <c r="Y27" i="22"/>
  <c r="X27" i="22"/>
  <c r="J27" i="22"/>
  <c r="I27" i="22"/>
  <c r="Y26" i="22"/>
  <c r="X26" i="22"/>
  <c r="I26" i="22"/>
  <c r="J26" i="22" s="1"/>
  <c r="Y25" i="22"/>
  <c r="X25" i="22"/>
  <c r="I25" i="22"/>
  <c r="J25" i="22" s="1"/>
  <c r="Y24" i="22"/>
  <c r="X24" i="22"/>
  <c r="I24" i="22"/>
  <c r="J24" i="22" s="1"/>
  <c r="Y23" i="22"/>
  <c r="X23" i="22"/>
  <c r="I23" i="22"/>
  <c r="J23" i="22" s="1"/>
  <c r="Y22" i="22"/>
  <c r="X22" i="22"/>
  <c r="I22" i="22"/>
  <c r="J22" i="22" s="1"/>
  <c r="Y21" i="22"/>
  <c r="X21" i="22"/>
  <c r="I21" i="22"/>
  <c r="J21" i="22" s="1"/>
  <c r="Y20" i="22"/>
  <c r="X20" i="22"/>
  <c r="I20" i="22"/>
  <c r="J20" i="22" s="1"/>
  <c r="Y19" i="22"/>
  <c r="X19" i="22"/>
  <c r="I19" i="22"/>
  <c r="J19" i="22" s="1"/>
  <c r="Y18" i="22"/>
  <c r="X18" i="22"/>
  <c r="I18" i="22"/>
  <c r="J18" i="22" s="1"/>
  <c r="Y17" i="22"/>
  <c r="X17" i="22"/>
  <c r="I17" i="22"/>
  <c r="J17" i="22" s="1"/>
  <c r="Y16" i="22"/>
  <c r="X16" i="22"/>
  <c r="I16" i="22"/>
  <c r="J16" i="22" s="1"/>
  <c r="Y15" i="22"/>
  <c r="X15" i="22"/>
  <c r="I15" i="22"/>
  <c r="J15" i="22" s="1"/>
  <c r="Y14" i="22"/>
  <c r="X14" i="22"/>
  <c r="I14" i="22"/>
  <c r="J14" i="22" s="1"/>
  <c r="Y13" i="22"/>
  <c r="X13" i="22"/>
  <c r="I13" i="22"/>
  <c r="J13" i="22" s="1"/>
  <c r="Y12" i="22"/>
  <c r="X12" i="22"/>
  <c r="I12" i="22"/>
  <c r="J12" i="22" s="1"/>
  <c r="Y11" i="22"/>
  <c r="X11" i="22"/>
  <c r="I11" i="22"/>
  <c r="J11" i="22" s="1"/>
  <c r="Y10" i="22"/>
  <c r="X10" i="22"/>
  <c r="I10" i="22"/>
  <c r="J10" i="22" s="1"/>
  <c r="I7" i="22"/>
  <c r="Y6" i="22"/>
  <c r="V6" i="22"/>
  <c r="U6" i="22"/>
  <c r="T6" i="22"/>
  <c r="S6" i="22"/>
  <c r="R6" i="22"/>
  <c r="Q6" i="22"/>
  <c r="P6" i="22"/>
  <c r="I6" i="22"/>
  <c r="G6" i="22"/>
  <c r="C6" i="22"/>
  <c r="I5" i="22"/>
  <c r="E5" i="22"/>
  <c r="C5" i="22"/>
  <c r="I4" i="22"/>
  <c r="E4" i="22"/>
  <c r="C4" i="22"/>
  <c r="Y228" i="9"/>
  <c r="X228" i="9"/>
  <c r="J228" i="9"/>
  <c r="I228" i="9"/>
  <c r="Y227" i="9"/>
  <c r="X227" i="9"/>
  <c r="J227" i="9"/>
  <c r="I227" i="9"/>
  <c r="Y226" i="9"/>
  <c r="X226" i="9"/>
  <c r="J226" i="9"/>
  <c r="I226" i="9"/>
  <c r="Y225" i="9"/>
  <c r="X225" i="9"/>
  <c r="J225" i="9"/>
  <c r="I225" i="9"/>
  <c r="Y224" i="9"/>
  <c r="X224" i="9"/>
  <c r="J224" i="9"/>
  <c r="I224" i="9"/>
  <c r="Y223" i="9"/>
  <c r="X223" i="9"/>
  <c r="J223" i="9"/>
  <c r="I223" i="9"/>
  <c r="Y222" i="9"/>
  <c r="X222" i="9"/>
  <c r="J222" i="9"/>
  <c r="I222" i="9"/>
  <c r="Y221" i="9"/>
  <c r="X221" i="9"/>
  <c r="J221" i="9"/>
  <c r="I221" i="9"/>
  <c r="Y220" i="9"/>
  <c r="X220" i="9"/>
  <c r="J220" i="9"/>
  <c r="I220" i="9"/>
  <c r="Y219" i="9"/>
  <c r="X219" i="9"/>
  <c r="J219" i="9"/>
  <c r="I219" i="9"/>
  <c r="Y218" i="9"/>
  <c r="X218" i="9"/>
  <c r="J218" i="9"/>
  <c r="I218" i="9"/>
  <c r="Y217" i="9"/>
  <c r="X217" i="9"/>
  <c r="J217" i="9"/>
  <c r="I217" i="9"/>
  <c r="Y216" i="9"/>
  <c r="X216" i="9"/>
  <c r="J216" i="9"/>
  <c r="I216" i="9"/>
  <c r="Y215" i="9"/>
  <c r="X215" i="9"/>
  <c r="J215" i="9"/>
  <c r="I215" i="9"/>
  <c r="Y214" i="9"/>
  <c r="X214" i="9"/>
  <c r="J214" i="9"/>
  <c r="I214" i="9"/>
  <c r="Y213" i="9"/>
  <c r="X213" i="9"/>
  <c r="J213" i="9"/>
  <c r="I213" i="9"/>
  <c r="Y212" i="9"/>
  <c r="X212" i="9"/>
  <c r="J212" i="9"/>
  <c r="I212" i="9"/>
  <c r="Y211" i="9"/>
  <c r="X211" i="9"/>
  <c r="J211" i="9"/>
  <c r="I211" i="9"/>
  <c r="Y210" i="9"/>
  <c r="X210" i="9"/>
  <c r="J210" i="9"/>
  <c r="I210" i="9"/>
  <c r="Y209" i="9"/>
  <c r="X209" i="9"/>
  <c r="J209" i="9"/>
  <c r="I209" i="9"/>
  <c r="Y208" i="9"/>
  <c r="X208" i="9"/>
  <c r="J208" i="9"/>
  <c r="I208" i="9"/>
  <c r="Y207" i="9"/>
  <c r="X207" i="9"/>
  <c r="J207" i="9"/>
  <c r="I207" i="9"/>
  <c r="Y206" i="9"/>
  <c r="X206" i="9"/>
  <c r="J206" i="9"/>
  <c r="I206" i="9"/>
  <c r="Y205" i="9"/>
  <c r="X205" i="9"/>
  <c r="J205" i="9"/>
  <c r="I205" i="9"/>
  <c r="Y204" i="9"/>
  <c r="X204" i="9"/>
  <c r="J204" i="9"/>
  <c r="I204" i="9"/>
  <c r="Y203" i="9"/>
  <c r="X203" i="9"/>
  <c r="J203" i="9"/>
  <c r="I203" i="9"/>
  <c r="Y202" i="9"/>
  <c r="X202" i="9"/>
  <c r="J202" i="9"/>
  <c r="I202" i="9"/>
  <c r="Y201" i="9"/>
  <c r="X201" i="9"/>
  <c r="J201" i="9"/>
  <c r="I201" i="9"/>
  <c r="Y200" i="9"/>
  <c r="X200" i="9"/>
  <c r="J200" i="9"/>
  <c r="I200" i="9"/>
  <c r="Y199" i="9"/>
  <c r="X199" i="9"/>
  <c r="J199" i="9"/>
  <c r="I199" i="9"/>
  <c r="Y198" i="9"/>
  <c r="X198" i="9"/>
  <c r="J198" i="9"/>
  <c r="I198" i="9"/>
  <c r="Y197" i="9"/>
  <c r="X197" i="9"/>
  <c r="J197" i="9"/>
  <c r="I197" i="9"/>
  <c r="Y196" i="9"/>
  <c r="X196" i="9"/>
  <c r="J196" i="9"/>
  <c r="I196" i="9"/>
  <c r="Y195" i="9"/>
  <c r="X195" i="9"/>
  <c r="J195" i="9"/>
  <c r="I195" i="9"/>
  <c r="Y194" i="9"/>
  <c r="X194" i="9"/>
  <c r="J194" i="9"/>
  <c r="I194" i="9"/>
  <c r="Y193" i="9"/>
  <c r="X193" i="9"/>
  <c r="J193" i="9"/>
  <c r="I193" i="9"/>
  <c r="Y192" i="9"/>
  <c r="X192" i="9"/>
  <c r="J192" i="9"/>
  <c r="I192" i="9"/>
  <c r="Y191" i="9"/>
  <c r="X191" i="9"/>
  <c r="J191" i="9"/>
  <c r="I191" i="9"/>
  <c r="Y190" i="9"/>
  <c r="X190" i="9"/>
  <c r="J190" i="9"/>
  <c r="I190" i="9"/>
  <c r="Y189" i="9"/>
  <c r="X189" i="9"/>
  <c r="J189" i="9"/>
  <c r="I189" i="9"/>
  <c r="Y188" i="9"/>
  <c r="X188" i="9"/>
  <c r="J188" i="9"/>
  <c r="I188" i="9"/>
  <c r="Y187" i="9"/>
  <c r="X187" i="9"/>
  <c r="J187" i="9"/>
  <c r="I187" i="9"/>
  <c r="Y186" i="9"/>
  <c r="X186" i="9"/>
  <c r="J186" i="9"/>
  <c r="I186" i="9"/>
  <c r="Y185" i="9"/>
  <c r="X185" i="9"/>
  <c r="J185" i="9"/>
  <c r="I185" i="9"/>
  <c r="Y184" i="9"/>
  <c r="X184" i="9"/>
  <c r="J184" i="9"/>
  <c r="I184" i="9"/>
  <c r="Y183" i="9"/>
  <c r="X183" i="9"/>
  <c r="J183" i="9"/>
  <c r="I183" i="9"/>
  <c r="Y182" i="9"/>
  <c r="X182" i="9"/>
  <c r="J182" i="9"/>
  <c r="I182" i="9"/>
  <c r="Y181" i="9"/>
  <c r="X181" i="9"/>
  <c r="J181" i="9"/>
  <c r="I181" i="9"/>
  <c r="Y180" i="9"/>
  <c r="X180" i="9"/>
  <c r="J180" i="9"/>
  <c r="I180" i="9"/>
  <c r="Y179" i="9"/>
  <c r="X179" i="9"/>
  <c r="J179" i="9"/>
  <c r="I179" i="9"/>
  <c r="Y178" i="9"/>
  <c r="X178" i="9"/>
  <c r="J178" i="9"/>
  <c r="I178" i="9"/>
  <c r="Y177" i="9"/>
  <c r="X177" i="9"/>
  <c r="J177" i="9"/>
  <c r="I177" i="9"/>
  <c r="Y176" i="9"/>
  <c r="X176" i="9"/>
  <c r="J176" i="9"/>
  <c r="I176" i="9"/>
  <c r="Y175" i="9"/>
  <c r="X175" i="9"/>
  <c r="J175" i="9"/>
  <c r="I175" i="9"/>
  <c r="Y174" i="9"/>
  <c r="X174" i="9"/>
  <c r="J174" i="9"/>
  <c r="I174" i="9"/>
  <c r="Y173" i="9"/>
  <c r="X173" i="9"/>
  <c r="J173" i="9"/>
  <c r="I173" i="9"/>
  <c r="Y172" i="9"/>
  <c r="X172" i="9"/>
  <c r="J172" i="9"/>
  <c r="I172" i="9"/>
  <c r="Y171" i="9"/>
  <c r="X171" i="9"/>
  <c r="J171" i="9"/>
  <c r="I171" i="9"/>
  <c r="Y170" i="9"/>
  <c r="X170" i="9"/>
  <c r="J170" i="9"/>
  <c r="I170" i="9"/>
  <c r="Y169" i="9"/>
  <c r="X169" i="9"/>
  <c r="J169" i="9"/>
  <c r="I169" i="9"/>
  <c r="Y168" i="9"/>
  <c r="X168" i="9"/>
  <c r="J168" i="9"/>
  <c r="I168" i="9"/>
  <c r="Y167" i="9"/>
  <c r="X167" i="9"/>
  <c r="J167" i="9"/>
  <c r="I167" i="9"/>
  <c r="Y166" i="9"/>
  <c r="X166" i="9"/>
  <c r="J166" i="9"/>
  <c r="I166" i="9"/>
  <c r="Y165" i="9"/>
  <c r="X165" i="9"/>
  <c r="J165" i="9"/>
  <c r="I165" i="9"/>
  <c r="Y164" i="9"/>
  <c r="X164" i="9"/>
  <c r="J164" i="9"/>
  <c r="I164" i="9"/>
  <c r="Y163" i="9"/>
  <c r="X163" i="9"/>
  <c r="J163" i="9"/>
  <c r="I163" i="9"/>
  <c r="Y162" i="9"/>
  <c r="X162" i="9"/>
  <c r="J162" i="9"/>
  <c r="I162" i="9"/>
  <c r="Y161" i="9"/>
  <c r="X161" i="9"/>
  <c r="J161" i="9"/>
  <c r="I161" i="9"/>
  <c r="Y160" i="9"/>
  <c r="X160" i="9"/>
  <c r="J160" i="9"/>
  <c r="I160" i="9"/>
  <c r="Y159" i="9"/>
  <c r="X159" i="9"/>
  <c r="J159" i="9"/>
  <c r="I159" i="9"/>
  <c r="Y158" i="9"/>
  <c r="X158" i="9"/>
  <c r="J158" i="9"/>
  <c r="I158" i="9"/>
  <c r="Y157" i="9"/>
  <c r="X157" i="9"/>
  <c r="J157" i="9"/>
  <c r="I157" i="9"/>
  <c r="Y156" i="9"/>
  <c r="X156" i="9"/>
  <c r="J156" i="9"/>
  <c r="I156" i="9"/>
  <c r="Y155" i="9"/>
  <c r="X155" i="9"/>
  <c r="J155" i="9"/>
  <c r="I155" i="9"/>
  <c r="Y154" i="9"/>
  <c r="X154" i="9"/>
  <c r="J154" i="9"/>
  <c r="I154" i="9"/>
  <c r="Y153" i="9"/>
  <c r="X153" i="9"/>
  <c r="J153" i="9"/>
  <c r="I153" i="9"/>
  <c r="Y152" i="9"/>
  <c r="X152" i="9"/>
  <c r="J152" i="9"/>
  <c r="I152" i="9"/>
  <c r="Y151" i="9"/>
  <c r="X151" i="9"/>
  <c r="J151" i="9"/>
  <c r="I151" i="9"/>
  <c r="Y150" i="9"/>
  <c r="X150" i="9"/>
  <c r="J150" i="9"/>
  <c r="I150" i="9"/>
  <c r="Y149" i="9"/>
  <c r="X149" i="9"/>
  <c r="J149" i="9"/>
  <c r="I149" i="9"/>
  <c r="Y148" i="9"/>
  <c r="X148" i="9"/>
  <c r="J148" i="9"/>
  <c r="I148" i="9"/>
  <c r="Y147" i="9"/>
  <c r="X147" i="9"/>
  <c r="J147" i="9"/>
  <c r="I147" i="9"/>
  <c r="Y146" i="9"/>
  <c r="X146" i="9"/>
  <c r="J146" i="9"/>
  <c r="I146" i="9"/>
  <c r="Y145" i="9"/>
  <c r="X145" i="9"/>
  <c r="J145" i="9"/>
  <c r="I145" i="9"/>
  <c r="Y144" i="9"/>
  <c r="X144" i="9"/>
  <c r="J144" i="9"/>
  <c r="I144" i="9"/>
  <c r="Y143" i="9"/>
  <c r="X143" i="9"/>
  <c r="J143" i="9"/>
  <c r="I143" i="9"/>
  <c r="Y142" i="9"/>
  <c r="X142" i="9"/>
  <c r="J142" i="9"/>
  <c r="I142" i="9"/>
  <c r="Y141" i="9"/>
  <c r="X141" i="9"/>
  <c r="J141" i="9"/>
  <c r="I141" i="9"/>
  <c r="Y140" i="9"/>
  <c r="X140" i="9"/>
  <c r="J140" i="9"/>
  <c r="I140" i="9"/>
  <c r="Y139" i="9"/>
  <c r="X139" i="9"/>
  <c r="J139" i="9"/>
  <c r="I139" i="9"/>
  <c r="Y138" i="9"/>
  <c r="X138" i="9"/>
  <c r="J138" i="9"/>
  <c r="I138" i="9"/>
  <c r="Y137" i="9"/>
  <c r="X137" i="9"/>
  <c r="J137" i="9"/>
  <c r="I137" i="9"/>
  <c r="Y136" i="9"/>
  <c r="X136" i="9"/>
  <c r="J136" i="9"/>
  <c r="I136" i="9"/>
  <c r="Y135" i="9"/>
  <c r="X135" i="9"/>
  <c r="J135" i="9"/>
  <c r="I135" i="9"/>
  <c r="Y134" i="9"/>
  <c r="X134" i="9"/>
  <c r="J134" i="9"/>
  <c r="I134" i="9"/>
  <c r="Y133" i="9"/>
  <c r="X133" i="9"/>
  <c r="J133" i="9"/>
  <c r="I133" i="9"/>
  <c r="Y132" i="9"/>
  <c r="X132" i="9"/>
  <c r="J132" i="9"/>
  <c r="I132" i="9"/>
  <c r="Y131" i="9"/>
  <c r="X131" i="9"/>
  <c r="J131" i="9"/>
  <c r="I131" i="9"/>
  <c r="Y130" i="9"/>
  <c r="X130" i="9"/>
  <c r="J130" i="9"/>
  <c r="I130" i="9"/>
  <c r="Y129" i="9"/>
  <c r="X129" i="9"/>
  <c r="J129" i="9"/>
  <c r="I129" i="9"/>
  <c r="Y128" i="9"/>
  <c r="X128" i="9"/>
  <c r="J128" i="9"/>
  <c r="I128" i="9"/>
  <c r="Y127" i="9"/>
  <c r="X127" i="9"/>
  <c r="J127" i="9"/>
  <c r="I127" i="9"/>
  <c r="Y126" i="9"/>
  <c r="X126" i="9"/>
  <c r="J126" i="9"/>
  <c r="I126" i="9"/>
  <c r="Y125" i="9"/>
  <c r="X125" i="9"/>
  <c r="J125" i="9"/>
  <c r="I125" i="9"/>
  <c r="Y124" i="9"/>
  <c r="X124" i="9"/>
  <c r="J124" i="9"/>
  <c r="I124" i="9"/>
  <c r="Y123" i="9"/>
  <c r="X123" i="9"/>
  <c r="J123" i="9"/>
  <c r="I123" i="9"/>
  <c r="Y122" i="9"/>
  <c r="X122" i="9"/>
  <c r="J122" i="9"/>
  <c r="I122" i="9"/>
  <c r="Y121" i="9"/>
  <c r="X121" i="9"/>
  <c r="J121" i="9"/>
  <c r="I121" i="9"/>
  <c r="Y120" i="9"/>
  <c r="X120" i="9"/>
  <c r="J120" i="9"/>
  <c r="I120" i="9"/>
  <c r="Y119" i="9"/>
  <c r="X119" i="9"/>
  <c r="J119" i="9"/>
  <c r="I119" i="9"/>
  <c r="Y118" i="9"/>
  <c r="X118" i="9"/>
  <c r="J118" i="9"/>
  <c r="I118" i="9"/>
  <c r="Y117" i="9"/>
  <c r="X117" i="9"/>
  <c r="J117" i="9"/>
  <c r="I117" i="9"/>
  <c r="Y116" i="9"/>
  <c r="X116" i="9"/>
  <c r="J116" i="9"/>
  <c r="I116" i="9"/>
  <c r="Y115" i="9"/>
  <c r="X115" i="9"/>
  <c r="J115" i="9"/>
  <c r="I115" i="9"/>
  <c r="Y114" i="9"/>
  <c r="X114" i="9"/>
  <c r="J114" i="9"/>
  <c r="I114" i="9"/>
  <c r="Y113" i="9"/>
  <c r="X113" i="9"/>
  <c r="J113" i="9"/>
  <c r="I113" i="9"/>
  <c r="Y112" i="9"/>
  <c r="X112" i="9"/>
  <c r="J112" i="9"/>
  <c r="I112" i="9"/>
  <c r="Y111" i="9"/>
  <c r="X111" i="9"/>
  <c r="J111" i="9"/>
  <c r="I111" i="9"/>
  <c r="Y110" i="9"/>
  <c r="X110" i="9"/>
  <c r="J110" i="9"/>
  <c r="I110" i="9"/>
  <c r="Y109" i="9"/>
  <c r="X109" i="9"/>
  <c r="J109" i="9"/>
  <c r="I109" i="9"/>
  <c r="Y108" i="9"/>
  <c r="X108" i="9"/>
  <c r="J108" i="9"/>
  <c r="I108" i="9"/>
  <c r="Y107" i="9"/>
  <c r="X107" i="9"/>
  <c r="J107" i="9"/>
  <c r="I107" i="9"/>
  <c r="Y106" i="9"/>
  <c r="X106" i="9"/>
  <c r="J106" i="9"/>
  <c r="I106" i="9"/>
  <c r="Y105" i="9"/>
  <c r="X105" i="9"/>
  <c r="J105" i="9"/>
  <c r="I105" i="9"/>
  <c r="Y104" i="9"/>
  <c r="X104" i="9"/>
  <c r="J104" i="9"/>
  <c r="I104" i="9"/>
  <c r="Y103" i="9"/>
  <c r="X103" i="9"/>
  <c r="J103" i="9"/>
  <c r="I103" i="9"/>
  <c r="Y102" i="9"/>
  <c r="X102" i="9"/>
  <c r="I102" i="9"/>
  <c r="J102" i="9" s="1"/>
  <c r="Y101" i="9"/>
  <c r="X101" i="9"/>
  <c r="I101" i="9"/>
  <c r="J101" i="9" s="1"/>
  <c r="Y100" i="9"/>
  <c r="X100" i="9"/>
  <c r="I100" i="9"/>
  <c r="J100" i="9" s="1"/>
  <c r="Y99" i="9"/>
  <c r="X99" i="9"/>
  <c r="J99" i="9"/>
  <c r="I99" i="9"/>
  <c r="Y98" i="9"/>
  <c r="X98" i="9"/>
  <c r="I98" i="9"/>
  <c r="J98" i="9" s="1"/>
  <c r="Y97" i="9"/>
  <c r="X97" i="9"/>
  <c r="I97" i="9"/>
  <c r="J97" i="9" s="1"/>
  <c r="Y96" i="9"/>
  <c r="X96" i="9"/>
  <c r="J96" i="9"/>
  <c r="I96" i="9"/>
  <c r="Y95" i="9"/>
  <c r="X95" i="9"/>
  <c r="I95" i="9"/>
  <c r="J95" i="9" s="1"/>
  <c r="Y94" i="9"/>
  <c r="X94" i="9"/>
  <c r="I94" i="9"/>
  <c r="J94" i="9" s="1"/>
  <c r="Y93" i="9"/>
  <c r="X93" i="9"/>
  <c r="I93" i="9"/>
  <c r="J93" i="9" s="1"/>
  <c r="Y92" i="9"/>
  <c r="X92" i="9"/>
  <c r="I92" i="9"/>
  <c r="J92" i="9" s="1"/>
  <c r="Y91" i="9"/>
  <c r="X91" i="9"/>
  <c r="I91" i="9"/>
  <c r="J91" i="9" s="1"/>
  <c r="Y90" i="9"/>
  <c r="X90" i="9"/>
  <c r="J90" i="9"/>
  <c r="I90" i="9"/>
  <c r="Y89" i="9"/>
  <c r="X89" i="9"/>
  <c r="I89" i="9"/>
  <c r="J89" i="9" s="1"/>
  <c r="Y88" i="9"/>
  <c r="X88" i="9"/>
  <c r="I88" i="9"/>
  <c r="J88" i="9" s="1"/>
  <c r="Y87" i="9"/>
  <c r="X87" i="9"/>
  <c r="I87" i="9"/>
  <c r="J87" i="9" s="1"/>
  <c r="Y86" i="9"/>
  <c r="X86" i="9"/>
  <c r="I86" i="9"/>
  <c r="J86" i="9" s="1"/>
  <c r="Y85" i="9"/>
  <c r="X85" i="9"/>
  <c r="I85" i="9"/>
  <c r="J85" i="9" s="1"/>
  <c r="Y84" i="9"/>
  <c r="X84" i="9"/>
  <c r="I84" i="9"/>
  <c r="J84" i="9" s="1"/>
  <c r="Y83" i="9"/>
  <c r="X83" i="9"/>
  <c r="I83" i="9"/>
  <c r="J83" i="9" s="1"/>
  <c r="Y82" i="9"/>
  <c r="X82" i="9"/>
  <c r="I82" i="9"/>
  <c r="J82" i="9" s="1"/>
  <c r="Y81" i="9"/>
  <c r="X81" i="9"/>
  <c r="I81" i="9"/>
  <c r="J81" i="9" s="1"/>
  <c r="Y80" i="9"/>
  <c r="X80" i="9"/>
  <c r="I80" i="9"/>
  <c r="J80" i="9" s="1"/>
  <c r="Y79" i="9"/>
  <c r="X79" i="9"/>
  <c r="I79" i="9"/>
  <c r="J79" i="9" s="1"/>
  <c r="Y78" i="9"/>
  <c r="X78" i="9"/>
  <c r="I78" i="9"/>
  <c r="J78" i="9" s="1"/>
  <c r="Y77" i="9"/>
  <c r="X77" i="9"/>
  <c r="I77" i="9"/>
  <c r="J77" i="9" s="1"/>
  <c r="Y76" i="9"/>
  <c r="X76" i="9"/>
  <c r="I76" i="9"/>
  <c r="J76" i="9" s="1"/>
  <c r="Y75" i="9"/>
  <c r="X75" i="9"/>
  <c r="I75" i="9"/>
  <c r="J75" i="9" s="1"/>
  <c r="Y74" i="9"/>
  <c r="X74" i="9"/>
  <c r="I74" i="9"/>
  <c r="J74" i="9" s="1"/>
  <c r="Y73" i="9"/>
  <c r="X73" i="9"/>
  <c r="I73" i="9"/>
  <c r="J73" i="9" s="1"/>
  <c r="Y72" i="9"/>
  <c r="X72" i="9"/>
  <c r="J72" i="9"/>
  <c r="Y71" i="9"/>
  <c r="X71" i="9"/>
  <c r="J71" i="9"/>
  <c r="Y70" i="9"/>
  <c r="X70" i="9"/>
  <c r="J70" i="9"/>
  <c r="Y69" i="9"/>
  <c r="X69" i="9"/>
  <c r="J69" i="9"/>
  <c r="Y68" i="9"/>
  <c r="X68" i="9"/>
  <c r="J68" i="9"/>
  <c r="Y67" i="9"/>
  <c r="X67" i="9"/>
  <c r="Y66" i="9"/>
  <c r="Y65" i="9"/>
  <c r="Y64" i="9"/>
  <c r="Y63" i="9"/>
  <c r="X63" i="9"/>
  <c r="I63" i="9"/>
  <c r="J63" i="9" s="1"/>
  <c r="Y62" i="9"/>
  <c r="X62" i="9"/>
  <c r="I62" i="9"/>
  <c r="J62" i="9" s="1"/>
  <c r="Y61" i="9"/>
  <c r="X61" i="9"/>
  <c r="I61" i="9"/>
  <c r="J61" i="9" s="1"/>
  <c r="Y60" i="9"/>
  <c r="X60" i="9"/>
  <c r="I60" i="9"/>
  <c r="J60" i="9" s="1"/>
  <c r="Y59" i="9"/>
  <c r="X59" i="9"/>
  <c r="I59" i="9"/>
  <c r="J59" i="9" s="1"/>
  <c r="Y58" i="9"/>
  <c r="X58" i="9"/>
  <c r="I58" i="9"/>
  <c r="J58" i="9" s="1"/>
  <c r="Y57" i="9"/>
  <c r="X57" i="9"/>
  <c r="I57" i="9"/>
  <c r="J57" i="9" s="1"/>
  <c r="Y56" i="9"/>
  <c r="X56" i="9"/>
  <c r="I56" i="9"/>
  <c r="J56" i="9" s="1"/>
  <c r="Y55" i="9"/>
  <c r="X55" i="9"/>
  <c r="I55" i="9"/>
  <c r="J55" i="9" s="1"/>
  <c r="Y54" i="9"/>
  <c r="X54" i="9"/>
  <c r="I54" i="9"/>
  <c r="J54" i="9" s="1"/>
  <c r="Y53" i="9"/>
  <c r="X53" i="9"/>
  <c r="I53" i="9"/>
  <c r="J53" i="9" s="1"/>
  <c r="Y52" i="9"/>
  <c r="X52" i="9"/>
  <c r="I52" i="9"/>
  <c r="J52" i="9" s="1"/>
  <c r="Y51" i="9"/>
  <c r="X51" i="9"/>
  <c r="I51" i="9"/>
  <c r="J51" i="9" s="1"/>
  <c r="Y50" i="9"/>
  <c r="X50" i="9"/>
  <c r="I50" i="9"/>
  <c r="J50" i="9" s="1"/>
  <c r="Y49" i="9"/>
  <c r="X49" i="9"/>
  <c r="I49" i="9"/>
  <c r="J49" i="9" s="1"/>
  <c r="Y48" i="9"/>
  <c r="X48" i="9"/>
  <c r="I48" i="9"/>
  <c r="J48" i="9" s="1"/>
  <c r="Y47" i="9"/>
  <c r="X47" i="9"/>
  <c r="I47" i="9"/>
  <c r="J47" i="9" s="1"/>
  <c r="Y46" i="9"/>
  <c r="X46" i="9"/>
  <c r="I46" i="9"/>
  <c r="J46" i="9" s="1"/>
  <c r="Y45" i="9"/>
  <c r="X45" i="9"/>
  <c r="I45" i="9"/>
  <c r="J45" i="9" s="1"/>
  <c r="Y44" i="9"/>
  <c r="X44" i="9"/>
  <c r="I44" i="9"/>
  <c r="J44" i="9" s="1"/>
  <c r="Y43" i="9"/>
  <c r="X43" i="9"/>
  <c r="I43" i="9"/>
  <c r="J43" i="9" s="1"/>
  <c r="Y42" i="9"/>
  <c r="X42" i="9"/>
  <c r="I42" i="9"/>
  <c r="J42" i="9" s="1"/>
  <c r="Y41" i="9"/>
  <c r="X41" i="9"/>
  <c r="I41" i="9"/>
  <c r="J41" i="9" s="1"/>
  <c r="Y40" i="9"/>
  <c r="X40" i="9"/>
  <c r="I40" i="9"/>
  <c r="J40" i="9" s="1"/>
  <c r="Y39" i="9"/>
  <c r="X39" i="9"/>
  <c r="I39" i="9"/>
  <c r="J39" i="9" s="1"/>
  <c r="Y38" i="9"/>
  <c r="X38" i="9"/>
  <c r="I38" i="9"/>
  <c r="J38" i="9" s="1"/>
  <c r="Y37" i="9"/>
  <c r="X37" i="9"/>
  <c r="I37" i="9"/>
  <c r="J37" i="9" s="1"/>
  <c r="Y36" i="9"/>
  <c r="X36" i="9"/>
  <c r="I36" i="9"/>
  <c r="J36" i="9" s="1"/>
  <c r="Y35" i="9"/>
  <c r="X35" i="9"/>
  <c r="I35" i="9"/>
  <c r="J35" i="9" s="1"/>
  <c r="Y34" i="9"/>
  <c r="X34" i="9"/>
  <c r="I34" i="9"/>
  <c r="J34" i="9" s="1"/>
  <c r="Y33" i="9"/>
  <c r="X33" i="9"/>
  <c r="I33" i="9"/>
  <c r="J33" i="9" s="1"/>
  <c r="Y32" i="9"/>
  <c r="X32" i="9"/>
  <c r="I32" i="9"/>
  <c r="J32" i="9" s="1"/>
  <c r="Y31" i="9"/>
  <c r="X31" i="9"/>
  <c r="I31" i="9"/>
  <c r="J31" i="9" s="1"/>
  <c r="Y30" i="9"/>
  <c r="X30" i="9"/>
  <c r="I30" i="9"/>
  <c r="J30" i="9" s="1"/>
  <c r="Y29" i="9"/>
  <c r="X29" i="9"/>
  <c r="I29" i="9"/>
  <c r="J29" i="9" s="1"/>
  <c r="Y28" i="9"/>
  <c r="X28" i="9"/>
  <c r="I28" i="9"/>
  <c r="J28" i="9" s="1"/>
  <c r="Y27" i="9"/>
  <c r="X27" i="9"/>
  <c r="I27" i="9"/>
  <c r="J27" i="9" s="1"/>
  <c r="Y26" i="9"/>
  <c r="X26" i="9"/>
  <c r="I26" i="9"/>
  <c r="J26" i="9" s="1"/>
  <c r="Y25" i="9"/>
  <c r="X25" i="9"/>
  <c r="I25" i="9"/>
  <c r="J25" i="9" s="1"/>
  <c r="Y24" i="9"/>
  <c r="X24" i="9"/>
  <c r="I24" i="9"/>
  <c r="J24" i="9" s="1"/>
  <c r="Y23" i="9"/>
  <c r="X23" i="9"/>
  <c r="I23" i="9"/>
  <c r="J23" i="9" s="1"/>
  <c r="Y22" i="9"/>
  <c r="X22" i="9"/>
  <c r="I22" i="9"/>
  <c r="J22" i="9" s="1"/>
  <c r="Y21" i="9"/>
  <c r="X21" i="9"/>
  <c r="I21" i="9"/>
  <c r="J21" i="9" s="1"/>
  <c r="Y20" i="9"/>
  <c r="X20" i="9"/>
  <c r="I20" i="9"/>
  <c r="J20" i="9" s="1"/>
  <c r="Y19" i="9"/>
  <c r="X19" i="9"/>
  <c r="I19" i="9"/>
  <c r="J19" i="9" s="1"/>
  <c r="Y18" i="9"/>
  <c r="X18" i="9"/>
  <c r="I18" i="9"/>
  <c r="J18" i="9" s="1"/>
  <c r="Y17" i="9"/>
  <c r="X17" i="9"/>
  <c r="I17" i="9"/>
  <c r="J17" i="9" s="1"/>
  <c r="Y16" i="9"/>
  <c r="X16" i="9"/>
  <c r="I16" i="9"/>
  <c r="J16" i="9" s="1"/>
  <c r="Y15" i="9"/>
  <c r="X15" i="9"/>
  <c r="I15" i="9"/>
  <c r="J15" i="9" s="1"/>
  <c r="Y14" i="9"/>
  <c r="X14" i="9"/>
  <c r="I14" i="9"/>
  <c r="J14" i="9" s="1"/>
  <c r="Y13" i="9"/>
  <c r="X13" i="9"/>
  <c r="I13" i="9"/>
  <c r="J13" i="9" s="1"/>
  <c r="Y12" i="9"/>
  <c r="X12" i="9"/>
  <c r="Y11" i="9"/>
  <c r="X11" i="9"/>
  <c r="I11" i="9"/>
  <c r="J11" i="9" s="1"/>
  <c r="Y10" i="9"/>
  <c r="I7" i="9"/>
  <c r="Y6" i="9"/>
  <c r="V6" i="9"/>
  <c r="U6" i="9"/>
  <c r="T6" i="9"/>
  <c r="S6" i="9"/>
  <c r="R6" i="9"/>
  <c r="Q6" i="9"/>
  <c r="P6" i="9"/>
  <c r="I6" i="9"/>
  <c r="G6" i="9"/>
  <c r="C6" i="9"/>
  <c r="I5" i="9"/>
  <c r="E5" i="9"/>
  <c r="C5" i="9"/>
  <c r="I4" i="9"/>
  <c r="E4" i="9"/>
  <c r="C4" i="9"/>
  <c r="Z293" i="21"/>
  <c r="Y293" i="21"/>
  <c r="J293" i="21"/>
  <c r="I293" i="21"/>
  <c r="Z292" i="21"/>
  <c r="Y292" i="21"/>
  <c r="J292" i="21"/>
  <c r="I292" i="21"/>
  <c r="Z291" i="21"/>
  <c r="Y291" i="21"/>
  <c r="J291" i="21"/>
  <c r="I291" i="21"/>
  <c r="Z290" i="21"/>
  <c r="Y290" i="21"/>
  <c r="J290" i="21"/>
  <c r="I290" i="21"/>
  <c r="Z289" i="21"/>
  <c r="Y289" i="21"/>
  <c r="J289" i="21"/>
  <c r="I289" i="21"/>
  <c r="Z288" i="21"/>
  <c r="Y288" i="21"/>
  <c r="J288" i="21"/>
  <c r="I288" i="21"/>
  <c r="Z287" i="21"/>
  <c r="Y287" i="21"/>
  <c r="J287" i="21"/>
  <c r="I287" i="21"/>
  <c r="Z286" i="21"/>
  <c r="Y286" i="21"/>
  <c r="J286" i="21"/>
  <c r="I286" i="21"/>
  <c r="Z285" i="21"/>
  <c r="Y285" i="21"/>
  <c r="J285" i="21"/>
  <c r="I285" i="21"/>
  <c r="Z284" i="21"/>
  <c r="Y284" i="21"/>
  <c r="J284" i="21"/>
  <c r="I284" i="21"/>
  <c r="Z283" i="21"/>
  <c r="Y283" i="21"/>
  <c r="J283" i="21"/>
  <c r="I283" i="21"/>
  <c r="Z282" i="21"/>
  <c r="Y282" i="21"/>
  <c r="J282" i="21"/>
  <c r="I282" i="21"/>
  <c r="Z281" i="21"/>
  <c r="Y281" i="21"/>
  <c r="J281" i="21"/>
  <c r="I281" i="21"/>
  <c r="Z280" i="21"/>
  <c r="Y280" i="21"/>
  <c r="J280" i="21"/>
  <c r="I280" i="21"/>
  <c r="Z279" i="21"/>
  <c r="Y279" i="21"/>
  <c r="J279" i="21"/>
  <c r="I279" i="21"/>
  <c r="Z278" i="21"/>
  <c r="Y278" i="21"/>
  <c r="J278" i="21"/>
  <c r="I278" i="21"/>
  <c r="Z277" i="21"/>
  <c r="Y277" i="21"/>
  <c r="J277" i="21"/>
  <c r="I277" i="21"/>
  <c r="Z276" i="21"/>
  <c r="Y276" i="21"/>
  <c r="J276" i="21"/>
  <c r="I276" i="21"/>
  <c r="Z275" i="21"/>
  <c r="Y275" i="21"/>
  <c r="J275" i="21"/>
  <c r="I275" i="21"/>
  <c r="Z274" i="21"/>
  <c r="Y274" i="21"/>
  <c r="J274" i="21"/>
  <c r="I274" i="21"/>
  <c r="Z273" i="21"/>
  <c r="Y273" i="21"/>
  <c r="J273" i="21"/>
  <c r="I273" i="21"/>
  <c r="Z272" i="21"/>
  <c r="Y272" i="21"/>
  <c r="J272" i="21"/>
  <c r="I272" i="21"/>
  <c r="Z271" i="21"/>
  <c r="Y271" i="21"/>
  <c r="J271" i="21"/>
  <c r="I271" i="21"/>
  <c r="Z270" i="21"/>
  <c r="Y270" i="21"/>
  <c r="J270" i="21"/>
  <c r="I270" i="21"/>
  <c r="Z269" i="21"/>
  <c r="Y269" i="21"/>
  <c r="J269" i="21"/>
  <c r="I269" i="21"/>
  <c r="Z268" i="21"/>
  <c r="Y268" i="21"/>
  <c r="J268" i="21"/>
  <c r="I268" i="21"/>
  <c r="Z267" i="21"/>
  <c r="Y267" i="21"/>
  <c r="J267" i="21"/>
  <c r="I267" i="21"/>
  <c r="Z266" i="21"/>
  <c r="Y266" i="21"/>
  <c r="J266" i="21"/>
  <c r="I266" i="21"/>
  <c r="Z265" i="21"/>
  <c r="Y265" i="21"/>
  <c r="J265" i="21"/>
  <c r="I265" i="21"/>
  <c r="Z264" i="21"/>
  <c r="Y264" i="21"/>
  <c r="J264" i="21"/>
  <c r="I264" i="21"/>
  <c r="Z263" i="21"/>
  <c r="Y263" i="21"/>
  <c r="J263" i="21"/>
  <c r="I263" i="21"/>
  <c r="Z262" i="21"/>
  <c r="Y262" i="21"/>
  <c r="J262" i="21"/>
  <c r="I262" i="21"/>
  <c r="Z261" i="21"/>
  <c r="Y261" i="21"/>
  <c r="J261" i="21"/>
  <c r="I261" i="21"/>
  <c r="Z260" i="21"/>
  <c r="Y260" i="21"/>
  <c r="J260" i="21"/>
  <c r="I260" i="21"/>
  <c r="Z259" i="21"/>
  <c r="Y259" i="21"/>
  <c r="J259" i="21"/>
  <c r="I259" i="21"/>
  <c r="Z258" i="21"/>
  <c r="Y258" i="21"/>
  <c r="J258" i="21"/>
  <c r="I258" i="21"/>
  <c r="Z257" i="21"/>
  <c r="Y257" i="21"/>
  <c r="J257" i="21"/>
  <c r="I257" i="21"/>
  <c r="Z256" i="21"/>
  <c r="Y256" i="21"/>
  <c r="J256" i="21"/>
  <c r="I256" i="21"/>
  <c r="Z255" i="21"/>
  <c r="Y255" i="21"/>
  <c r="J255" i="21"/>
  <c r="I255" i="21"/>
  <c r="Z254" i="21"/>
  <c r="Y254" i="21"/>
  <c r="J254" i="21"/>
  <c r="I254" i="21"/>
  <c r="Z253" i="21"/>
  <c r="Y253" i="21"/>
  <c r="J253" i="21"/>
  <c r="I253" i="21"/>
  <c r="Z252" i="21"/>
  <c r="Y252" i="21"/>
  <c r="J252" i="21"/>
  <c r="I252" i="21"/>
  <c r="Z251" i="21"/>
  <c r="Y251" i="21"/>
  <c r="J251" i="21"/>
  <c r="I251" i="21"/>
  <c r="Z250" i="21"/>
  <c r="Y250" i="21"/>
  <c r="J250" i="21"/>
  <c r="I250" i="21"/>
  <c r="Z249" i="21"/>
  <c r="Y249" i="21"/>
  <c r="J249" i="21"/>
  <c r="I249" i="21"/>
  <c r="Z248" i="21"/>
  <c r="Y248" i="21"/>
  <c r="J248" i="21"/>
  <c r="I248" i="21"/>
  <c r="Z247" i="21"/>
  <c r="Y247" i="21"/>
  <c r="J247" i="21"/>
  <c r="I247" i="21"/>
  <c r="Z246" i="21"/>
  <c r="Y246" i="21"/>
  <c r="J246" i="21"/>
  <c r="I246" i="21"/>
  <c r="Z245" i="21"/>
  <c r="Y245" i="21"/>
  <c r="J245" i="21"/>
  <c r="I245" i="21"/>
  <c r="Z244" i="21"/>
  <c r="Y244" i="21"/>
  <c r="J244" i="21"/>
  <c r="I244" i="21"/>
  <c r="Z243" i="21"/>
  <c r="Y243" i="21"/>
  <c r="J243" i="21"/>
  <c r="I243" i="21"/>
  <c r="Z242" i="21"/>
  <c r="Y242" i="21"/>
  <c r="J242" i="21"/>
  <c r="I242" i="21"/>
  <c r="Z241" i="21"/>
  <c r="Y241" i="21"/>
  <c r="J241" i="21"/>
  <c r="I241" i="21"/>
  <c r="Z240" i="21"/>
  <c r="Y240" i="21"/>
  <c r="J240" i="21"/>
  <c r="I240" i="21"/>
  <c r="Z239" i="21"/>
  <c r="Y239" i="21"/>
  <c r="J239" i="21"/>
  <c r="I239" i="21"/>
  <c r="Z238" i="21"/>
  <c r="Y238" i="21"/>
  <c r="J238" i="21"/>
  <c r="I238" i="21"/>
  <c r="Z237" i="21"/>
  <c r="Y237" i="21"/>
  <c r="J237" i="21"/>
  <c r="I237" i="21"/>
  <c r="Z236" i="21"/>
  <c r="Y236" i="21"/>
  <c r="J236" i="21"/>
  <c r="I236" i="21"/>
  <c r="Z235" i="21"/>
  <c r="Y235" i="21"/>
  <c r="J235" i="21"/>
  <c r="I235" i="21"/>
  <c r="Z234" i="21"/>
  <c r="Y234" i="21"/>
  <c r="J234" i="21"/>
  <c r="I234" i="21"/>
  <c r="Z233" i="21"/>
  <c r="Y233" i="21"/>
  <c r="J233" i="21"/>
  <c r="I233" i="21"/>
  <c r="Z232" i="21"/>
  <c r="Y232" i="21"/>
  <c r="J232" i="21"/>
  <c r="I232" i="21"/>
  <c r="Z231" i="21"/>
  <c r="Y231" i="21"/>
  <c r="J231" i="21"/>
  <c r="I231" i="21"/>
  <c r="Z230" i="21"/>
  <c r="Y230" i="21"/>
  <c r="J230" i="21"/>
  <c r="I230" i="21"/>
  <c r="Z229" i="21"/>
  <c r="Y229" i="21"/>
  <c r="J229" i="21"/>
  <c r="I229" i="21"/>
  <c r="Z228" i="21"/>
  <c r="Y228" i="21"/>
  <c r="J228" i="21"/>
  <c r="I228" i="21"/>
  <c r="Z227" i="21"/>
  <c r="Y227" i="21"/>
  <c r="J227" i="21"/>
  <c r="I227" i="21"/>
  <c r="Z226" i="21"/>
  <c r="Y226" i="21"/>
  <c r="J226" i="21"/>
  <c r="I226" i="21"/>
  <c r="Z225" i="21"/>
  <c r="Y225" i="21"/>
  <c r="J225" i="21"/>
  <c r="I225" i="21"/>
  <c r="Z224" i="21"/>
  <c r="Y224" i="21"/>
  <c r="J224" i="21"/>
  <c r="I224" i="21"/>
  <c r="Z223" i="21"/>
  <c r="Y223" i="21"/>
  <c r="J223" i="21"/>
  <c r="I223" i="21"/>
  <c r="Z222" i="21"/>
  <c r="Y222" i="21"/>
  <c r="J222" i="21"/>
  <c r="I222" i="21"/>
  <c r="Z221" i="21"/>
  <c r="Y221" i="21"/>
  <c r="J221" i="21"/>
  <c r="I221" i="21"/>
  <c r="Z220" i="21"/>
  <c r="Y220" i="21"/>
  <c r="J220" i="21"/>
  <c r="I220" i="21"/>
  <c r="Z219" i="21"/>
  <c r="Y219" i="21"/>
  <c r="J219" i="21"/>
  <c r="I219" i="21"/>
  <c r="Z218" i="21"/>
  <c r="Y218" i="21"/>
  <c r="J218" i="21"/>
  <c r="I218" i="21"/>
  <c r="Z217" i="21"/>
  <c r="Y217" i="21"/>
  <c r="J217" i="21"/>
  <c r="I217" i="21"/>
  <c r="Z216" i="21"/>
  <c r="Y216" i="21"/>
  <c r="J216" i="21"/>
  <c r="I216" i="21"/>
  <c r="Z215" i="21"/>
  <c r="Y215" i="21"/>
  <c r="J215" i="21"/>
  <c r="I215" i="21"/>
  <c r="Z214" i="21"/>
  <c r="Y214" i="21"/>
  <c r="J214" i="21"/>
  <c r="I214" i="21"/>
  <c r="Z213" i="21"/>
  <c r="Y213" i="21"/>
  <c r="J213" i="21"/>
  <c r="I213" i="21"/>
  <c r="Z212" i="21"/>
  <c r="Y212" i="21"/>
  <c r="J212" i="21"/>
  <c r="I212" i="21"/>
  <c r="Z211" i="21"/>
  <c r="Y211" i="21"/>
  <c r="J211" i="21"/>
  <c r="I211" i="21"/>
  <c r="Z210" i="21"/>
  <c r="Y210" i="21"/>
  <c r="J210" i="21"/>
  <c r="I210" i="21"/>
  <c r="Z209" i="21"/>
  <c r="Y209" i="21"/>
  <c r="J209" i="21"/>
  <c r="I209" i="21"/>
  <c r="Z208" i="21"/>
  <c r="Y208" i="21"/>
  <c r="J208" i="21"/>
  <c r="I208" i="21"/>
  <c r="Z207" i="21"/>
  <c r="Y207" i="21"/>
  <c r="J207" i="21"/>
  <c r="I207" i="21"/>
  <c r="Z206" i="21"/>
  <c r="Y206" i="21"/>
  <c r="J206" i="21"/>
  <c r="I206" i="21"/>
  <c r="Z205" i="21"/>
  <c r="Y205" i="21"/>
  <c r="J205" i="21"/>
  <c r="I205" i="21"/>
  <c r="Z204" i="21"/>
  <c r="Y204" i="21"/>
  <c r="J204" i="21"/>
  <c r="I204" i="21"/>
  <c r="Z203" i="21"/>
  <c r="Y203" i="21"/>
  <c r="J203" i="21"/>
  <c r="I203" i="21"/>
  <c r="Z202" i="21"/>
  <c r="Y202" i="21"/>
  <c r="J202" i="21"/>
  <c r="I202" i="21"/>
  <c r="Z201" i="21"/>
  <c r="Y201" i="21"/>
  <c r="J201" i="21"/>
  <c r="I201" i="21"/>
  <c r="Z200" i="21"/>
  <c r="Y200" i="21"/>
  <c r="J200" i="21"/>
  <c r="I200" i="21"/>
  <c r="Z199" i="21"/>
  <c r="Y199" i="21"/>
  <c r="J199" i="21"/>
  <c r="I199" i="21"/>
  <c r="Z198" i="21"/>
  <c r="Y198" i="21"/>
  <c r="J198" i="21"/>
  <c r="I198" i="21"/>
  <c r="Z197" i="21"/>
  <c r="Y197" i="21"/>
  <c r="J197" i="21"/>
  <c r="I197" i="21"/>
  <c r="Z196" i="21"/>
  <c r="Y196" i="21"/>
  <c r="J196" i="21"/>
  <c r="I196" i="21"/>
  <c r="Z195" i="21"/>
  <c r="Y195" i="21"/>
  <c r="J195" i="21"/>
  <c r="I195" i="21"/>
  <c r="Z194" i="21"/>
  <c r="Y194" i="21"/>
  <c r="J194" i="21"/>
  <c r="I194" i="21"/>
  <c r="Z193" i="21"/>
  <c r="Y193" i="21"/>
  <c r="J193" i="21"/>
  <c r="I193" i="21"/>
  <c r="Z192" i="21"/>
  <c r="Y192" i="21"/>
  <c r="J192" i="21"/>
  <c r="I192" i="21"/>
  <c r="Z191" i="21"/>
  <c r="Y191" i="21"/>
  <c r="J191" i="21"/>
  <c r="I191" i="21"/>
  <c r="Z190" i="21"/>
  <c r="Y190" i="21"/>
  <c r="J190" i="21"/>
  <c r="I190" i="21"/>
  <c r="Z189" i="21"/>
  <c r="Y189" i="21"/>
  <c r="J189" i="21"/>
  <c r="I189" i="21"/>
  <c r="Z188" i="21"/>
  <c r="Y188" i="21"/>
  <c r="J188" i="21"/>
  <c r="I188" i="21"/>
  <c r="Z187" i="21"/>
  <c r="Y187" i="21"/>
  <c r="J187" i="21"/>
  <c r="I187" i="21"/>
  <c r="Z186" i="21"/>
  <c r="Y186" i="21"/>
  <c r="J186" i="21"/>
  <c r="I186" i="21"/>
  <c r="Z185" i="21"/>
  <c r="Y185" i="21"/>
  <c r="J185" i="21"/>
  <c r="I185" i="21"/>
  <c r="Z184" i="21"/>
  <c r="Y184" i="21"/>
  <c r="J184" i="21"/>
  <c r="I184" i="21"/>
  <c r="Z183" i="21"/>
  <c r="Y183" i="21"/>
  <c r="J183" i="21"/>
  <c r="I183" i="21"/>
  <c r="Z182" i="21"/>
  <c r="Y182" i="21"/>
  <c r="J182" i="21"/>
  <c r="I182" i="21"/>
  <c r="Z181" i="21"/>
  <c r="Y181" i="21"/>
  <c r="J181" i="21"/>
  <c r="I181" i="21"/>
  <c r="Z180" i="21"/>
  <c r="Y180" i="21"/>
  <c r="J180" i="21"/>
  <c r="I180" i="21"/>
  <c r="Z179" i="21"/>
  <c r="Y179" i="21"/>
  <c r="J179" i="21"/>
  <c r="I179" i="21"/>
  <c r="Z178" i="21"/>
  <c r="Y178" i="21"/>
  <c r="J178" i="21"/>
  <c r="I178" i="21"/>
  <c r="Z177" i="21"/>
  <c r="Y177" i="21"/>
  <c r="J177" i="21"/>
  <c r="I177" i="21"/>
  <c r="Z176" i="21"/>
  <c r="Y176" i="21"/>
  <c r="J176" i="21"/>
  <c r="I176" i="21"/>
  <c r="Z175" i="21"/>
  <c r="Y175" i="21"/>
  <c r="J175" i="21"/>
  <c r="I175" i="21"/>
  <c r="Z174" i="21"/>
  <c r="Y174" i="21"/>
  <c r="J174" i="21"/>
  <c r="I174" i="21"/>
  <c r="Z173" i="21"/>
  <c r="Y173" i="21"/>
  <c r="J173" i="21"/>
  <c r="I173" i="21"/>
  <c r="Z172" i="21"/>
  <c r="Y172" i="21"/>
  <c r="J172" i="21"/>
  <c r="I172" i="21"/>
  <c r="Z171" i="21"/>
  <c r="Y171" i="21"/>
  <c r="J171" i="21"/>
  <c r="I171" i="21"/>
  <c r="Z170" i="21"/>
  <c r="Y170" i="21"/>
  <c r="I170" i="21"/>
  <c r="J170" i="21" s="1"/>
  <c r="Z169" i="21"/>
  <c r="Y169" i="21"/>
  <c r="J169" i="21"/>
  <c r="I169" i="21"/>
  <c r="Z168" i="21"/>
  <c r="Y168" i="21"/>
  <c r="J168" i="21"/>
  <c r="I168" i="21"/>
  <c r="Z167" i="21"/>
  <c r="Y167" i="21"/>
  <c r="J167" i="21"/>
  <c r="I167" i="21"/>
  <c r="Z166" i="21"/>
  <c r="Y166" i="21"/>
  <c r="I166" i="21"/>
  <c r="J166" i="21" s="1"/>
  <c r="Z165" i="21"/>
  <c r="Y165" i="21"/>
  <c r="I165" i="21"/>
  <c r="J165" i="21" s="1"/>
  <c r="Z164" i="21"/>
  <c r="Y164" i="21"/>
  <c r="I164" i="21"/>
  <c r="J164" i="21" s="1"/>
  <c r="Z163" i="21"/>
  <c r="Y163" i="21"/>
  <c r="I163" i="21"/>
  <c r="J163" i="21" s="1"/>
  <c r="Z162" i="21"/>
  <c r="Y162" i="21"/>
  <c r="I162" i="21"/>
  <c r="J162" i="21" s="1"/>
  <c r="Z161" i="21"/>
  <c r="Y161" i="21"/>
  <c r="I161" i="21"/>
  <c r="J161" i="21" s="1"/>
  <c r="Z160" i="21"/>
  <c r="Y160" i="21"/>
  <c r="I160" i="21"/>
  <c r="J160" i="21" s="1"/>
  <c r="Z159" i="21"/>
  <c r="Y159" i="21"/>
  <c r="J159" i="21"/>
  <c r="I159" i="21"/>
  <c r="Z158" i="21"/>
  <c r="Y158" i="21"/>
  <c r="J158" i="21"/>
  <c r="I158" i="21"/>
  <c r="Z157" i="21"/>
  <c r="Y157" i="21"/>
  <c r="J157" i="21"/>
  <c r="I157" i="21"/>
  <c r="Z156" i="21"/>
  <c r="Y156" i="21"/>
  <c r="J156" i="21"/>
  <c r="I156" i="21"/>
  <c r="Z155" i="21"/>
  <c r="Y155" i="21"/>
  <c r="J155" i="21"/>
  <c r="I155" i="21"/>
  <c r="Z154" i="21"/>
  <c r="Y154" i="21"/>
  <c r="J154" i="21"/>
  <c r="I154" i="21"/>
  <c r="Z153" i="21"/>
  <c r="Y153" i="21"/>
  <c r="J153" i="21"/>
  <c r="I153" i="21"/>
  <c r="Z152" i="21"/>
  <c r="Y152" i="21"/>
  <c r="I152" i="21"/>
  <c r="J152" i="21" s="1"/>
  <c r="Z151" i="21"/>
  <c r="Y151" i="21"/>
  <c r="J151" i="21"/>
  <c r="I151" i="21"/>
  <c r="Z150" i="21"/>
  <c r="Y150" i="21"/>
  <c r="I150" i="21"/>
  <c r="J150" i="21" s="1"/>
  <c r="Z149" i="21"/>
  <c r="Y149" i="21"/>
  <c r="I149" i="21"/>
  <c r="J149" i="21" s="1"/>
  <c r="Z148" i="21"/>
  <c r="Y148" i="21"/>
  <c r="J148" i="21"/>
  <c r="I148" i="21"/>
  <c r="Z147" i="21"/>
  <c r="Y147" i="21"/>
  <c r="J147" i="21"/>
  <c r="I147" i="21"/>
  <c r="Z146" i="21"/>
  <c r="Y146" i="21"/>
  <c r="J146" i="21"/>
  <c r="I146" i="21"/>
  <c r="Z145" i="21"/>
  <c r="Y145" i="21"/>
  <c r="J145" i="21"/>
  <c r="I145" i="21"/>
  <c r="Z144" i="21"/>
  <c r="Y144" i="21"/>
  <c r="I144" i="21"/>
  <c r="J144" i="21" s="1"/>
  <c r="Z143" i="21"/>
  <c r="Y143" i="21"/>
  <c r="I143" i="21"/>
  <c r="J143" i="21" s="1"/>
  <c r="Z142" i="21"/>
  <c r="Y142" i="21"/>
  <c r="I142" i="21"/>
  <c r="J142" i="21" s="1"/>
  <c r="Z141" i="21"/>
  <c r="Y141" i="21"/>
  <c r="J141" i="21"/>
  <c r="I141" i="21"/>
  <c r="Z140" i="21"/>
  <c r="Y140" i="21"/>
  <c r="J140" i="21"/>
  <c r="I140" i="21"/>
  <c r="Z139" i="21"/>
  <c r="Y139" i="21"/>
  <c r="J139" i="21"/>
  <c r="I139" i="21"/>
  <c r="Z138" i="21"/>
  <c r="Y138" i="21"/>
  <c r="J138" i="21"/>
  <c r="I138" i="21"/>
  <c r="Z137" i="21"/>
  <c r="Y137" i="21"/>
  <c r="I137" i="21"/>
  <c r="J137" i="21" s="1"/>
  <c r="Z136" i="21"/>
  <c r="Y136" i="21"/>
  <c r="I136" i="21"/>
  <c r="J136" i="21" s="1"/>
  <c r="Z135" i="21"/>
  <c r="Y135" i="21"/>
  <c r="I135" i="21"/>
  <c r="J135" i="21" s="1"/>
  <c r="Z134" i="21"/>
  <c r="Y134" i="21"/>
  <c r="I134" i="21"/>
  <c r="J134" i="21" s="1"/>
  <c r="Z133" i="21"/>
  <c r="Y133" i="21"/>
  <c r="I133" i="21"/>
  <c r="J133" i="21" s="1"/>
  <c r="Z132" i="21"/>
  <c r="Y132" i="21"/>
  <c r="I132" i="21"/>
  <c r="J132" i="21" s="1"/>
  <c r="Z131" i="21"/>
  <c r="Y131" i="21"/>
  <c r="J131" i="21"/>
  <c r="I131" i="21"/>
  <c r="Z130" i="21"/>
  <c r="Y130" i="21"/>
  <c r="J130" i="21"/>
  <c r="I130" i="21"/>
  <c r="Z129" i="21"/>
  <c r="Y129" i="21"/>
  <c r="J129" i="21"/>
  <c r="I129" i="21"/>
  <c r="Z128" i="21"/>
  <c r="Y128" i="21"/>
  <c r="I128" i="21"/>
  <c r="J128" i="21" s="1"/>
  <c r="Z127" i="21"/>
  <c r="Y127" i="21"/>
  <c r="I127" i="21"/>
  <c r="J127" i="21" s="1"/>
  <c r="Z126" i="21"/>
  <c r="Y126" i="21"/>
  <c r="I126" i="21"/>
  <c r="J126" i="21" s="1"/>
  <c r="Z125" i="21"/>
  <c r="Y125" i="21"/>
  <c r="J125" i="21"/>
  <c r="I125" i="21"/>
  <c r="Z124" i="21"/>
  <c r="Y124" i="21"/>
  <c r="J124" i="21"/>
  <c r="I124" i="21"/>
  <c r="Z123" i="21"/>
  <c r="Y123" i="21"/>
  <c r="J123" i="21"/>
  <c r="I123" i="21"/>
  <c r="Z122" i="21"/>
  <c r="Y122" i="21"/>
  <c r="J122" i="21"/>
  <c r="I122" i="21"/>
  <c r="Z121" i="21"/>
  <c r="Y121" i="21"/>
  <c r="J121" i="21"/>
  <c r="I121" i="21"/>
  <c r="Z120" i="21"/>
  <c r="Y120" i="21"/>
  <c r="J120" i="21"/>
  <c r="I120" i="21"/>
  <c r="Z119" i="21"/>
  <c r="Y119" i="21"/>
  <c r="J119" i="21"/>
  <c r="I119" i="21"/>
  <c r="Z118" i="21"/>
  <c r="Y118" i="21"/>
  <c r="J118" i="21"/>
  <c r="I118" i="21"/>
  <c r="Z117" i="21"/>
  <c r="Y117" i="21"/>
  <c r="J117" i="21"/>
  <c r="I117" i="21"/>
  <c r="Z116" i="21"/>
  <c r="Y116" i="21"/>
  <c r="J116" i="21"/>
  <c r="I116" i="21"/>
  <c r="Z115" i="21"/>
  <c r="Y115" i="21"/>
  <c r="J115" i="21"/>
  <c r="I115" i="21"/>
  <c r="Z114" i="21"/>
  <c r="Y114" i="21"/>
  <c r="J114" i="21"/>
  <c r="I114" i="21"/>
  <c r="Z113" i="21"/>
  <c r="Y113" i="21"/>
  <c r="I113" i="21"/>
  <c r="J113" i="21" s="1"/>
  <c r="Z112" i="21"/>
  <c r="Y112" i="21"/>
  <c r="J112" i="21"/>
  <c r="I112" i="21"/>
  <c r="Z111" i="21"/>
  <c r="Y111" i="21"/>
  <c r="J111" i="21"/>
  <c r="I111" i="21"/>
  <c r="Z110" i="21"/>
  <c r="Y110" i="21"/>
  <c r="J110" i="21"/>
  <c r="I110" i="21"/>
  <c r="Z109" i="21"/>
  <c r="Y109" i="21"/>
  <c r="J109" i="21"/>
  <c r="I109" i="21"/>
  <c r="Z108" i="21"/>
  <c r="Y108" i="21"/>
  <c r="J108" i="21"/>
  <c r="I108" i="21"/>
  <c r="Z107" i="21"/>
  <c r="Y107" i="21"/>
  <c r="I107" i="21"/>
  <c r="J107" i="21" s="1"/>
  <c r="Z106" i="21"/>
  <c r="Y106" i="21"/>
  <c r="J106" i="21"/>
  <c r="I106" i="21"/>
  <c r="Z105" i="21"/>
  <c r="Y105" i="21"/>
  <c r="J105" i="21"/>
  <c r="I105" i="21"/>
  <c r="Z104" i="21"/>
  <c r="Y104" i="21"/>
  <c r="J104" i="21"/>
  <c r="I104" i="21"/>
  <c r="Z103" i="21"/>
  <c r="Y103" i="21"/>
  <c r="J103" i="21"/>
  <c r="I103" i="21"/>
  <c r="Z102" i="21"/>
  <c r="Y102" i="21"/>
  <c r="J102" i="21"/>
  <c r="I102" i="21"/>
  <c r="Z101" i="21"/>
  <c r="Y101" i="21"/>
  <c r="I101" i="21"/>
  <c r="J101" i="21" s="1"/>
  <c r="Z100" i="21"/>
  <c r="Y100" i="21"/>
  <c r="J100" i="21"/>
  <c r="I100" i="21"/>
  <c r="Z99" i="21"/>
  <c r="Y99" i="21"/>
  <c r="J99" i="21"/>
  <c r="I99" i="21"/>
  <c r="Z98" i="21"/>
  <c r="Y98" i="21"/>
  <c r="I98" i="21"/>
  <c r="J98" i="21" s="1"/>
  <c r="Z97" i="21"/>
  <c r="Y97" i="21"/>
  <c r="J97" i="21"/>
  <c r="I97" i="21"/>
  <c r="Z96" i="21"/>
  <c r="Y96" i="21"/>
  <c r="J96" i="21"/>
  <c r="I96" i="21"/>
  <c r="Z95" i="21"/>
  <c r="Y95" i="21"/>
  <c r="J95" i="21"/>
  <c r="I95" i="21"/>
  <c r="Z94" i="21"/>
  <c r="Y94" i="21"/>
  <c r="J94" i="21"/>
  <c r="I94" i="21"/>
  <c r="Z93" i="21"/>
  <c r="Y93" i="21"/>
  <c r="I93" i="21"/>
  <c r="J93" i="21" s="1"/>
  <c r="Z92" i="21"/>
  <c r="Y92" i="21"/>
  <c r="J92" i="21"/>
  <c r="I92" i="21"/>
  <c r="Z91" i="21"/>
  <c r="Y91" i="21"/>
  <c r="J91" i="21"/>
  <c r="I91" i="21"/>
  <c r="Z90" i="21"/>
  <c r="Y90" i="21"/>
  <c r="I90" i="21"/>
  <c r="J90" i="21" s="1"/>
  <c r="Z89" i="21"/>
  <c r="Y89" i="21"/>
  <c r="J89" i="21"/>
  <c r="I89" i="21"/>
  <c r="Z88" i="21"/>
  <c r="Y88" i="21"/>
  <c r="I88" i="21"/>
  <c r="J88" i="21" s="1"/>
  <c r="Z87" i="21"/>
  <c r="Y87" i="21"/>
  <c r="I87" i="21"/>
  <c r="J87" i="21" s="1"/>
  <c r="Z86" i="21"/>
  <c r="Y86" i="21"/>
  <c r="J86" i="21"/>
  <c r="I86" i="21"/>
  <c r="Z85" i="21"/>
  <c r="Y85" i="21"/>
  <c r="J85" i="21"/>
  <c r="I85" i="21"/>
  <c r="Z84" i="21"/>
  <c r="Y84" i="21"/>
  <c r="I84" i="21"/>
  <c r="J84" i="21" s="1"/>
  <c r="Z83" i="21"/>
  <c r="Y83" i="21"/>
  <c r="I83" i="21"/>
  <c r="J83" i="21" s="1"/>
  <c r="Z82" i="21"/>
  <c r="Y82" i="21"/>
  <c r="I82" i="21"/>
  <c r="J82" i="21" s="1"/>
  <c r="Z81" i="21"/>
  <c r="Y81" i="21"/>
  <c r="I81" i="21"/>
  <c r="J81" i="21" s="1"/>
  <c r="Z80" i="21"/>
  <c r="Y80" i="21"/>
  <c r="J80" i="21"/>
  <c r="I80" i="21"/>
  <c r="Z79" i="21"/>
  <c r="Y79" i="21"/>
  <c r="I79" i="21"/>
  <c r="J79" i="21" s="1"/>
  <c r="Z78" i="21"/>
  <c r="Y78" i="21"/>
  <c r="J78" i="21"/>
  <c r="I78" i="21"/>
  <c r="Z77" i="21"/>
  <c r="Y77" i="21"/>
  <c r="I77" i="21"/>
  <c r="J77" i="21" s="1"/>
  <c r="Z76" i="21"/>
  <c r="Y76" i="21"/>
  <c r="J76" i="21"/>
  <c r="I76" i="21"/>
  <c r="Z75" i="21"/>
  <c r="Y75" i="21"/>
  <c r="J75" i="21"/>
  <c r="I75" i="21"/>
  <c r="Z74" i="21"/>
  <c r="Y74" i="21"/>
  <c r="I74" i="21"/>
  <c r="J74" i="21" s="1"/>
  <c r="Z73" i="21"/>
  <c r="Y73" i="21"/>
  <c r="J73" i="21"/>
  <c r="I73" i="21"/>
  <c r="Z72" i="21"/>
  <c r="Y72" i="21"/>
  <c r="J72" i="21"/>
  <c r="I72" i="21"/>
  <c r="Z71" i="21"/>
  <c r="Y71" i="21"/>
  <c r="J71" i="21"/>
  <c r="I71" i="21"/>
  <c r="Z70" i="21"/>
  <c r="Y70" i="21"/>
  <c r="J70" i="21"/>
  <c r="I70" i="21"/>
  <c r="Z69" i="21"/>
  <c r="Y69" i="21"/>
  <c r="J69" i="21"/>
  <c r="I69" i="21"/>
  <c r="Z68" i="21"/>
  <c r="Y68" i="21"/>
  <c r="J68" i="21"/>
  <c r="I68" i="21"/>
  <c r="Z67" i="21"/>
  <c r="Y67" i="21"/>
  <c r="I67" i="21"/>
  <c r="J67" i="21" s="1"/>
  <c r="Z66" i="21"/>
  <c r="Y66" i="21"/>
  <c r="J66" i="21"/>
  <c r="I66" i="21"/>
  <c r="Z65" i="21"/>
  <c r="Y65" i="21"/>
  <c r="J65" i="21"/>
  <c r="I65" i="21"/>
  <c r="Z64" i="21"/>
  <c r="Y64" i="21"/>
  <c r="I64" i="21"/>
  <c r="J64" i="21" s="1"/>
  <c r="Z63" i="21"/>
  <c r="Y63" i="21"/>
  <c r="I63" i="21"/>
  <c r="J63" i="21" s="1"/>
  <c r="Z62" i="21"/>
  <c r="Y62" i="21"/>
  <c r="J62" i="21"/>
  <c r="I62" i="21"/>
  <c r="Z61" i="21"/>
  <c r="Y61" i="21"/>
  <c r="I61" i="21"/>
  <c r="J61" i="21" s="1"/>
  <c r="Z60" i="21"/>
  <c r="Y60" i="21"/>
  <c r="I60" i="21"/>
  <c r="J60" i="21" s="1"/>
  <c r="Z59" i="21"/>
  <c r="Y59" i="21"/>
  <c r="I59" i="21"/>
  <c r="J59" i="21" s="1"/>
  <c r="Z58" i="21"/>
  <c r="Y58" i="21"/>
  <c r="J58" i="21"/>
  <c r="I58" i="21"/>
  <c r="Z57" i="21"/>
  <c r="Y57" i="21"/>
  <c r="I57" i="21"/>
  <c r="J57" i="21" s="1"/>
  <c r="Z56" i="21"/>
  <c r="Y56" i="21"/>
  <c r="I56" i="21"/>
  <c r="J56" i="21" s="1"/>
  <c r="Z55" i="21"/>
  <c r="Y55" i="21"/>
  <c r="J55" i="21"/>
  <c r="I55" i="21"/>
  <c r="Z54" i="21"/>
  <c r="Y54" i="21"/>
  <c r="I54" i="21"/>
  <c r="J54" i="21" s="1"/>
  <c r="Z53" i="21"/>
  <c r="Y53" i="21"/>
  <c r="I53" i="21"/>
  <c r="J53" i="21" s="1"/>
  <c r="Z52" i="21"/>
  <c r="Y52" i="21"/>
  <c r="I52" i="21"/>
  <c r="J52" i="21" s="1"/>
  <c r="Z51" i="21"/>
  <c r="Y51" i="21"/>
  <c r="J51" i="21"/>
  <c r="I51" i="21"/>
  <c r="Z50" i="21"/>
  <c r="Y50" i="21"/>
  <c r="J50" i="21"/>
  <c r="I50" i="21"/>
  <c r="Z49" i="21"/>
  <c r="Y49" i="21"/>
  <c r="I49" i="21"/>
  <c r="J49" i="21" s="1"/>
  <c r="Z48" i="21"/>
  <c r="Y48" i="21"/>
  <c r="J48" i="21"/>
  <c r="I48" i="21"/>
  <c r="Z47" i="21"/>
  <c r="Y47" i="21"/>
  <c r="I47" i="21"/>
  <c r="J47" i="21" s="1"/>
  <c r="Z46" i="21"/>
  <c r="Y46" i="21"/>
  <c r="I46" i="21"/>
  <c r="J46" i="21" s="1"/>
  <c r="Z45" i="21"/>
  <c r="Y45" i="21"/>
  <c r="J45" i="21"/>
  <c r="I45" i="21"/>
  <c r="Z44" i="21"/>
  <c r="Y44" i="21"/>
  <c r="J44" i="21"/>
  <c r="I44" i="21"/>
  <c r="Z43" i="21"/>
  <c r="Y43" i="21"/>
  <c r="J43" i="21"/>
  <c r="I43" i="21"/>
  <c r="Z42" i="21"/>
  <c r="Y42" i="21"/>
  <c r="J42" i="21"/>
  <c r="I42" i="21"/>
  <c r="Z41" i="21"/>
  <c r="Y41" i="21"/>
  <c r="I41" i="21"/>
  <c r="J41" i="21" s="1"/>
  <c r="Z40" i="21"/>
  <c r="Y40" i="21"/>
  <c r="I40" i="21"/>
  <c r="J40" i="21" s="1"/>
  <c r="Z39" i="21"/>
  <c r="Y39" i="21"/>
  <c r="I39" i="21"/>
  <c r="J39" i="21" s="1"/>
  <c r="Z38" i="21"/>
  <c r="Y38" i="21"/>
  <c r="I38" i="21"/>
  <c r="J38" i="21" s="1"/>
  <c r="Z37" i="21"/>
  <c r="Y37" i="21"/>
  <c r="J37" i="21"/>
  <c r="Z36" i="21"/>
  <c r="Y36" i="21"/>
  <c r="I36" i="21"/>
  <c r="J36" i="21" s="1"/>
  <c r="Z35" i="21"/>
  <c r="Y35" i="21"/>
  <c r="I35" i="21"/>
  <c r="J35" i="21" s="1"/>
  <c r="Z34" i="21"/>
  <c r="Y34" i="21"/>
  <c r="I34" i="21"/>
  <c r="J34" i="21" s="1"/>
  <c r="Z33" i="21"/>
  <c r="Y33" i="21"/>
  <c r="I33" i="21"/>
  <c r="J33" i="21" s="1"/>
  <c r="Z32" i="21"/>
  <c r="Y32" i="21"/>
  <c r="J32" i="21"/>
  <c r="I32" i="21"/>
  <c r="Z31" i="21"/>
  <c r="Y31" i="21"/>
  <c r="I31" i="21"/>
  <c r="J31" i="21" s="1"/>
  <c r="Z30" i="21"/>
  <c r="Y30" i="21"/>
  <c r="I30" i="21"/>
  <c r="J30" i="21" s="1"/>
  <c r="Z29" i="21"/>
  <c r="Y29" i="21"/>
  <c r="I29" i="21"/>
  <c r="J29" i="21" s="1"/>
  <c r="Z28" i="21"/>
  <c r="Y28" i="21"/>
  <c r="I28" i="21"/>
  <c r="J28" i="21" s="1"/>
  <c r="Z27" i="21"/>
  <c r="Y27" i="21"/>
  <c r="I27" i="21"/>
  <c r="J27" i="21" s="1"/>
  <c r="Z26" i="21"/>
  <c r="Y26" i="21"/>
  <c r="I26" i="21"/>
  <c r="J26" i="21" s="1"/>
  <c r="Z25" i="21"/>
  <c r="Y25" i="21"/>
  <c r="I25" i="21"/>
  <c r="J25" i="21" s="1"/>
  <c r="Z24" i="21"/>
  <c r="Y24" i="21"/>
  <c r="I24" i="21"/>
  <c r="J24" i="21" s="1"/>
  <c r="Z23" i="21"/>
  <c r="Y23" i="21"/>
  <c r="I23" i="21"/>
  <c r="J23" i="21" s="1"/>
  <c r="Z22" i="21"/>
  <c r="Y22" i="21"/>
  <c r="I22" i="21"/>
  <c r="J22" i="21" s="1"/>
  <c r="Z21" i="21"/>
  <c r="Y21" i="21"/>
  <c r="I21" i="21"/>
  <c r="J21" i="21" s="1"/>
  <c r="Z20" i="21"/>
  <c r="Y20" i="21"/>
  <c r="I20" i="21"/>
  <c r="J20" i="21" s="1"/>
  <c r="Z19" i="21"/>
  <c r="Y19" i="21"/>
  <c r="I19" i="21"/>
  <c r="J19" i="21" s="1"/>
  <c r="Z18" i="21"/>
  <c r="Y18" i="21"/>
  <c r="I18" i="21"/>
  <c r="J18" i="21" s="1"/>
  <c r="Z17" i="21"/>
  <c r="Y17" i="21"/>
  <c r="I17" i="21"/>
  <c r="J17" i="21" s="1"/>
  <c r="Z16" i="21"/>
  <c r="Y16" i="21"/>
  <c r="I16" i="21"/>
  <c r="J16" i="21" s="1"/>
  <c r="Z15" i="21"/>
  <c r="Y15" i="21"/>
  <c r="I15" i="21"/>
  <c r="J15" i="21" s="1"/>
  <c r="Z14" i="21"/>
  <c r="Y14" i="21"/>
  <c r="I14" i="21"/>
  <c r="J14" i="21" s="1"/>
  <c r="Z13" i="21"/>
  <c r="Y13" i="21"/>
  <c r="I13" i="21"/>
  <c r="J13" i="21" s="1"/>
  <c r="Z12" i="21"/>
  <c r="Y12" i="21"/>
  <c r="I12" i="21"/>
  <c r="J12" i="21" s="1"/>
  <c r="Z11" i="21"/>
  <c r="Y11" i="21"/>
  <c r="I11" i="21"/>
  <c r="J11" i="21" s="1"/>
  <c r="Z10" i="21"/>
  <c r="Y10" i="21"/>
  <c r="I10" i="21"/>
  <c r="J10" i="21" s="1"/>
  <c r="I7" i="21"/>
  <c r="E7" i="21"/>
  <c r="Z6" i="21"/>
  <c r="V6" i="21"/>
  <c r="U6" i="21"/>
  <c r="T6" i="21"/>
  <c r="S6" i="21"/>
  <c r="R6" i="21"/>
  <c r="Q6" i="21"/>
  <c r="P6" i="21"/>
  <c r="I6" i="21"/>
  <c r="G6" i="21"/>
  <c r="C6" i="21"/>
  <c r="I5" i="21"/>
  <c r="E5" i="21"/>
  <c r="C5" i="21"/>
  <c r="I4" i="21"/>
  <c r="E4" i="21"/>
  <c r="C4" i="21"/>
  <c r="N4" i="20" l="1"/>
  <c r="I5" i="20"/>
  <c r="G5" i="23"/>
  <c r="N4" i="22"/>
  <c r="N4" i="23"/>
  <c r="N4" i="9"/>
  <c r="N4" i="21"/>
  <c r="G4" i="22"/>
  <c r="I4" i="20"/>
  <c r="G4" i="23"/>
  <c r="U7" i="23"/>
  <c r="U7" i="22"/>
  <c r="G5" i="22"/>
  <c r="I6" i="20"/>
  <c r="U7" i="20"/>
  <c r="G4" i="9"/>
  <c r="G5" i="9"/>
  <c r="G4" i="21"/>
  <c r="G5" i="21"/>
  <c r="U7" i="9"/>
  <c r="U7" i="21"/>
  <c r="K4" i="23" l="1"/>
  <c r="N5" i="23" s="1"/>
  <c r="N7" i="23" s="1"/>
  <c r="K4" i="22"/>
  <c r="N6" i="22" s="1"/>
  <c r="X6" i="22" s="1"/>
  <c r="K7" i="20"/>
  <c r="N6" i="20" s="1"/>
  <c r="K4" i="9"/>
  <c r="N5" i="9" s="1"/>
  <c r="N7" i="9" s="1"/>
  <c r="K4" i="21"/>
  <c r="N5" i="21" s="1"/>
  <c r="N7" i="21" s="1"/>
  <c r="N6" i="23" l="1"/>
  <c r="X6" i="23" s="1"/>
  <c r="N5" i="22"/>
  <c r="N7" i="22" s="1"/>
  <c r="N6" i="9"/>
  <c r="X6" i="9" s="1"/>
  <c r="N5" i="20"/>
  <c r="N7" i="20" s="1"/>
  <c r="N6" i="21"/>
  <c r="Y6"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W28" authorId="0" shapeId="0" xr:uid="{DB9C888C-D928-4C5F-B0F1-933AE2A2B657}">
      <text>
        <r>
          <rPr>
            <b/>
            <sz val="9"/>
            <color indexed="81"/>
            <rFont val="Tahoma"/>
            <charset val="1"/>
          </rPr>
          <t>Author:</t>
        </r>
        <r>
          <rPr>
            <sz val="9"/>
            <color indexed="81"/>
            <rFont val="Tahoma"/>
            <charset val="1"/>
          </rPr>
          <t xml:space="preserve">
phục hồi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10" authorId="0" shapeId="0" xr:uid="{D2928CB8-881E-435A-ADDC-CF199707EB4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Gia hạn 1 lần = 28 ngày
Thụ lý bổ sung khởi kiện ngày 23/3/23, tính lại thời hạn</t>
        </r>
      </text>
    </comment>
  </commentList>
</comments>
</file>

<file path=xl/sharedStrings.xml><?xml version="1.0" encoding="utf-8"?>
<sst xmlns="http://schemas.openxmlformats.org/spreadsheetml/2006/main" count="699" uniqueCount="166">
  <si>
    <t>Loại</t>
  </si>
  <si>
    <t>Vụ</t>
  </si>
  <si>
    <t>BA</t>
  </si>
  <si>
    <t>số</t>
  </si>
  <si>
    <t>Hòa giải thành</t>
  </si>
  <si>
    <t>Trả lại đơn</t>
  </si>
  <si>
    <t>Tên</t>
  </si>
  <si>
    <t>Giải quyết</t>
  </si>
  <si>
    <t>CNTT</t>
  </si>
  <si>
    <t>Ghi chú</t>
  </si>
  <si>
    <t>TĐC</t>
  </si>
  <si>
    <t>ĐC</t>
  </si>
  <si>
    <t>KSV</t>
  </si>
  <si>
    <t>Thụ lý</t>
  </si>
  <si>
    <t>thời hạn còn</t>
  </si>
  <si>
    <t>ngày hết hạn</t>
  </si>
  <si>
    <t>VB giải quyết</t>
  </si>
  <si>
    <t>Số cũ</t>
  </si>
  <si>
    <t>Số mới</t>
  </si>
  <si>
    <t>Ngày</t>
  </si>
  <si>
    <t>Trong đó</t>
  </si>
  <si>
    <t>Còn tồn chưa GQ</t>
  </si>
  <si>
    <t>Tỉ lệ</t>
  </si>
  <si>
    <t>Đã GQ</t>
  </si>
  <si>
    <t>Tổng số</t>
  </si>
  <si>
    <t>Số vụ cũ</t>
  </si>
  <si>
    <t>Số việc cũ</t>
  </si>
  <si>
    <t>Số vụ mới</t>
  </si>
  <si>
    <t>Số việc mới</t>
  </si>
  <si>
    <t>Ngày ban hành</t>
  </si>
  <si>
    <t>Ngày nhận</t>
  </si>
  <si>
    <t>TK tuần</t>
  </si>
  <si>
    <t>TK tháng</t>
  </si>
  <si>
    <t>ĐC tại tòa</t>
  </si>
  <si>
    <t>CN tại tòa</t>
  </si>
  <si>
    <t>Số phiên tòa</t>
  </si>
  <si>
    <t>Số xét xử</t>
  </si>
  <si>
    <t>Số không xét xử</t>
  </si>
  <si>
    <t>Phục hồi</t>
  </si>
  <si>
    <t>Số ngày gia hạn</t>
  </si>
  <si>
    <t>Vụ cũ</t>
  </si>
  <si>
    <t>Số án TĐC kỳ trước phục hồi</t>
  </si>
  <si>
    <t>Phục hồi vụ TĐC kỳ trước</t>
  </si>
  <si>
    <t>PT RKN</t>
  </si>
  <si>
    <t>Việc</t>
  </si>
  <si>
    <t>Việc cũ</t>
  </si>
  <si>
    <t>QĐ xét xử/họp</t>
  </si>
  <si>
    <t>Tổng số cũ</t>
  </si>
  <si>
    <t>Tổng số mới</t>
  </si>
  <si>
    <t>Thời hạn giải quyết vụ, việc KDTM</t>
  </si>
  <si>
    <t>Thời hạn giải quyết vụ, việc DS, HNGĐ</t>
  </si>
  <si>
    <t>Phục hồi vụ TĐC kỳ trước loại a</t>
  </si>
  <si>
    <t>Thời hạn giải quyết vụ án HC</t>
  </si>
  <si>
    <t>Vụ loại a</t>
  </si>
  <si>
    <t>Vụ loại b</t>
  </si>
  <si>
    <t>Vụ cũ loại a</t>
  </si>
  <si>
    <t>Vụ cũ loại b</t>
  </si>
  <si>
    <t>Phục hồi vụ TĐC kỳ trước loại b</t>
  </si>
  <si>
    <t>Phục hồi loại a</t>
  </si>
  <si>
    <t>Phục hồi loại b</t>
  </si>
  <si>
    <t>Số vụ cũ loại a</t>
  </si>
  <si>
    <t>Số vụ cũ loại b</t>
  </si>
  <si>
    <t>Số vụ mới loại a</t>
  </si>
  <si>
    <t>Số việc mới loại b</t>
  </si>
  <si>
    <t>Tết nguyên đán</t>
  </si>
  <si>
    <t>Thứ</t>
  </si>
  <si>
    <t>Ngày lễ</t>
  </si>
  <si>
    <t>STT</t>
  </si>
  <si>
    <t>QĐ giải quyết việc</t>
  </si>
  <si>
    <t>Số phiên tòa/họp</t>
  </si>
  <si>
    <t>Số TĐC kỳ trước loại a phục hồi</t>
  </si>
  <si>
    <t>Số TĐC kỳ trước loại b phục hồi</t>
  </si>
  <si>
    <t>TL YC độc lập</t>
  </si>
  <si>
    <t>TL phản tố</t>
  </si>
  <si>
    <t>Kiểm tra thời hạn</t>
  </si>
  <si>
    <t>Thời hạn gửi TBTL, QĐ tiếp tục, QĐ hòa giải thành</t>
  </si>
  <si>
    <t>Thời hạn gửi các QĐ,BA</t>
  </si>
  <si>
    <t>Tổng Số án TĐC kỳ trước phục hồi</t>
  </si>
  <si>
    <t>Ngày làm việc</t>
  </si>
  <si>
    <t>Chuyển</t>
  </si>
  <si>
    <t>ngay</t>
  </si>
  <si>
    <t>Nhập vào vụ khác</t>
  </si>
  <si>
    <t>Số chuyển đi</t>
  </si>
  <si>
    <t>Số nhập vào vụ án khác</t>
  </si>
  <si>
    <t>Thời hạn gửi các QĐ giải quyết DS,HN,KDTM,LĐ</t>
  </si>
  <si>
    <t>Trả lại đơn vụ</t>
  </si>
  <si>
    <t>Trả lại đơn việc</t>
  </si>
  <si>
    <t>Số còn tồn</t>
  </si>
  <si>
    <t>ẩn</t>
  </si>
  <si>
    <t>TK thụ lý</t>
  </si>
  <si>
    <t>Tháng</t>
  </si>
  <si>
    <t>Loại việc</t>
  </si>
  <si>
    <t>TK giải quyết</t>
  </si>
  <si>
    <t>Số lượng</t>
  </si>
  <si>
    <t>PHẦN THỤ LÝ</t>
  </si>
  <si>
    <t>PHẦN GIẢI QUYẾT</t>
  </si>
  <si>
    <t>SỐ PHIÊN TÒA RÚT KINH NGHIỆM</t>
  </si>
  <si>
    <t>Loại VB</t>
  </si>
  <si>
    <t>SỐ ÁN ĐANG TẠM ĐÌNH CHỈ / ĐÌNH CHỈ DO RÚT ĐƠN</t>
  </si>
  <si>
    <t>Viện kiểm sát nhân dân thành phố Hải Phòng</t>
  </si>
  <si>
    <t>VKS cấp dưới:</t>
  </si>
  <si>
    <t>SỔ THỤ LÝ VỤ, VIỆC DÂN SỰ</t>
  </si>
  <si>
    <t>VKS cấp trên:</t>
  </si>
  <si>
    <t>Lưu ý: Không cập nhật thứ 7, chủ nhật và ngày nghỉ lễ trùng vào thứ 7, chủ nhật</t>
  </si>
  <si>
    <t>tháng</t>
  </si>
  <si>
    <t>Chỉ cập nhật trong vùng bảng có khung</t>
  </si>
  <si>
    <t>SỐ LIỆU THỤ LÝ, GIẢI QUYẾT VỤ, VIỆC HÔN NHÂN VÀ GIA ĐÌNH</t>
  </si>
  <si>
    <t>Thời hạn gửi các QĐ giải quyết vụ án HC</t>
  </si>
  <si>
    <t>ngày làm việc</t>
  </si>
  <si>
    <t>ngày</t>
  </si>
  <si>
    <t>CN đối thoại</t>
  </si>
  <si>
    <t>Chuyển đến vụ</t>
  </si>
  <si>
    <t>Chuyển đến việc</t>
  </si>
  <si>
    <t>Số chuyển đến loại a</t>
  </si>
  <si>
    <t>Chuyển đến loại a</t>
  </si>
  <si>
    <t>Chuyển đến loại b</t>
  </si>
  <si>
    <t>Số chuyển đến loại b</t>
  </si>
  <si>
    <t>SỐ LIỆU THỤ LÝ, GIẢI QUYẾT VỤ, VIỆC DÂN SỰ</t>
  </si>
  <si>
    <t>SỐ LIỆU THỤ LÝ, GIẢI QUYẾT VỤ, VIỆC KINH DOANH THƯƠNG MẠI</t>
  </si>
  <si>
    <t>SỐ LIỆU THỤ LÝ, GIẢI QUYẾT VỤ, VIỆC LAO ĐỘNG</t>
  </si>
  <si>
    <t>SỐ LIỆU THỤ LÝ, GIẢI QUYẾT VỤ ÁN HÀNH CHÍNH</t>
  </si>
  <si>
    <t>Chỉ cập nhật khi có sự thay đổi về pháp luật</t>
  </si>
  <si>
    <t>Grand Total</t>
  </si>
  <si>
    <t>Ghi chú khác</t>
  </si>
  <si>
    <t>Ghi chú TĐC, ĐC</t>
  </si>
  <si>
    <t>THỐNG KÊ ÁN HÔN NHÂN &amp; GIA ĐÌNH THÁNG</t>
  </si>
  <si>
    <t>THỐNG KÊ ÁN DÂN SỰ THÁNG</t>
  </si>
  <si>
    <t>THỐNG KÊ ÁN KINH DOANH THƯƠNG MẠI THÁNG</t>
  </si>
  <si>
    <t>THỐNG KÊ ÁN LAO ĐỘNG THÁNG</t>
  </si>
  <si>
    <t>THỐNG KÊ ÁN HÀNH CHÍNH THÁNG</t>
  </si>
  <si>
    <t>THỐNG KÊ ÁN HÔN NHÂN &amp; GIA ĐÌNH TUẦN</t>
  </si>
  <si>
    <t xml:space="preserve">Loại </t>
  </si>
  <si>
    <t>Tuần</t>
  </si>
  <si>
    <t>Tổng</t>
  </si>
  <si>
    <t>THỐNG KÊ ÁN DÂN SỰ TUẦN</t>
  </si>
  <si>
    <t>Row Labels</t>
  </si>
  <si>
    <t>QĐ giải quyết</t>
  </si>
  <si>
    <t>THỐNG KÊ ÁN KINH DOANH THƯƠNG MẠI TUẦN</t>
  </si>
  <si>
    <t>THỐNG KÊ ÁN LAO ĐỘNG TUẦN</t>
  </si>
  <si>
    <t>PT 08</t>
  </si>
  <si>
    <t>THỐNG KÊ ÁN HÀNH CHÍNH TUẦN</t>
  </si>
  <si>
    <t>Tết dương</t>
  </si>
  <si>
    <t>Giỗ tổ Hùng Vương</t>
  </si>
  <si>
    <t>Nghỉ Giải phóng miền nam 30/4</t>
  </si>
  <si>
    <t>Nghỉ bù 30/4-1/5</t>
  </si>
  <si>
    <t>Nghỉ bù Quốc khánh</t>
  </si>
  <si>
    <t>Nghỉ Quốc khánh</t>
  </si>
  <si>
    <t>KV6</t>
  </si>
  <si>
    <t>VD Ninh</t>
  </si>
  <si>
    <t>N Dũng</t>
  </si>
  <si>
    <t>T Dũng</t>
  </si>
  <si>
    <t>P Huyền</t>
  </si>
  <si>
    <t>Việt</t>
  </si>
  <si>
    <t>Chinh</t>
  </si>
  <si>
    <t>V Anh</t>
  </si>
  <si>
    <t>Đã XX</t>
  </si>
  <si>
    <t>ĐC do rút đơn</t>
  </si>
  <si>
    <t>đang TĐC</t>
  </si>
  <si>
    <t>Gây rối trật tự</t>
  </si>
  <si>
    <t>Ly hôn</t>
  </si>
  <si>
    <t>Cãi nhau</t>
  </si>
  <si>
    <t>Đánh nhau</t>
  </si>
  <si>
    <t>Lấn chiếm</t>
  </si>
  <si>
    <t>Thừa kế</t>
  </si>
  <si>
    <t>Hành hung</t>
  </si>
  <si>
    <t>Bạo lực gia đình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</si>
</sst>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10000]d/m/yy;@"/>
    <numFmt numFmtId="165" formatCode="0.0%"/>
  </numFmts>
  <fonts count="23" x14ac:knownFonts="1">
    <font>
      <sz val="11"/>
      <color theme="1"/>
      <name val="Calibri"/>
      <family val="2"/>
      <scheme val="minor"/>
    </font>
    <font>
      <sz val="12"/>
      <color theme="1"/>
      <name val="Times New Roman"/>
      <family val="1"/>
    </font>
    <font>
      <b/>
      <sz val="15"/>
      <color theme="1"/>
      <name val="Times New Roman"/>
      <family val="1"/>
    </font>
    <font>
      <b/>
      <sz val="14"/>
      <color theme="1"/>
      <name val="Times New Roman"/>
      <family val="1"/>
    </font>
    <font>
      <sz val="11"/>
      <color theme="1"/>
      <name val="Calibri"/>
      <family val="2"/>
      <scheme val="minor"/>
    </font>
    <font>
      <sz val="13"/>
      <color theme="1"/>
      <name val="Times New Roman"/>
      <family val="1"/>
    </font>
    <font>
      <b/>
      <sz val="12"/>
      <color theme="1"/>
      <name val="Times New Roman"/>
      <family val="1"/>
    </font>
    <font>
      <b/>
      <sz val="13"/>
      <color theme="1"/>
      <name val="Times New Roman"/>
      <family val="1"/>
    </font>
    <font>
      <sz val="11"/>
      <color theme="1"/>
      <name val="Times New Roman"/>
      <family val="1"/>
    </font>
    <font>
      <b/>
      <sz val="20"/>
      <color theme="1"/>
      <name val="Times New Roman"/>
      <family val="1"/>
    </font>
    <font>
      <sz val="12"/>
      <color theme="1"/>
      <name val="Times New Roman"/>
      <family val="2"/>
    </font>
    <font>
      <sz val="14"/>
      <name val="Times New Roman"/>
      <family val="1"/>
    </font>
    <font>
      <sz val="14"/>
      <color theme="1"/>
      <name val="Times New Roman"/>
      <family val="1"/>
    </font>
    <font>
      <u/>
      <sz val="11"/>
      <color theme="10"/>
      <name val="Calibri"/>
      <family val="2"/>
      <scheme val="minor"/>
    </font>
    <font>
      <b/>
      <sz val="11"/>
      <color theme="1"/>
      <name val="Calibri"/>
      <family val="2"/>
      <scheme val="minor"/>
    </font>
    <font>
      <sz val="28"/>
      <color theme="1"/>
      <name val="Times New Roman"/>
      <family val="1"/>
    </font>
    <font>
      <sz val="20"/>
      <color theme="1"/>
      <name val="Times New Roman"/>
      <family val="1"/>
    </font>
    <font>
      <b/>
      <sz val="24"/>
      <color theme="1"/>
      <name val="Times New Roman"/>
      <family val="1"/>
    </font>
    <font>
      <sz val="14"/>
      <color rgb="FFFF0000"/>
      <name val="Times New Roman"/>
      <family val="1"/>
    </font>
    <font>
      <sz val="26"/>
      <color theme="1"/>
      <name val="Times New Roman"/>
      <family val="1"/>
    </font>
    <font>
      <sz val="24"/>
      <color theme="1"/>
      <name val="Times New Roman"/>
      <family val="1"/>
    </font>
    <font>
      <sz val="9"/>
      <color indexed="81"/>
      <name val="Tahoma"/>
      <charset val="1"/>
    </font>
    <font>
      <b/>
      <sz val="9"/>
      <color indexed="81"/>
      <name val="Tahoma"/>
      <charset val="1"/>
    </font>
  </fonts>
  <fills count="7">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6" tint="0.39997558519241921"/>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s>
  <cellStyleXfs count="4">
    <xf numFmtId="0" fontId="0" fillId="0" borderId="0"/>
    <xf numFmtId="9" fontId="4" fillId="0" borderId="0" applyFont="0" applyFill="0" applyBorder="0" applyAlignment="0" applyProtection="0"/>
    <xf numFmtId="0" fontId="10" fillId="0" borderId="0"/>
    <xf numFmtId="0" fontId="13" fillId="0" borderId="0" applyNumberFormat="0" applyFill="0" applyBorder="0" applyAlignment="0" applyProtection="0"/>
  </cellStyleXfs>
  <cellXfs count="183">
    <xf numFmtId="0" fontId="0" fillId="0" borderId="0" xfId="0"/>
    <xf numFmtId="0" fontId="0" fillId="0" borderId="0" xfId="0" applyAlignment="1">
      <alignment wrapText="1"/>
    </xf>
    <xf numFmtId="0" fontId="0" fillId="0" borderId="1" xfId="0" applyBorder="1" applyAlignment="1">
      <alignment wrapText="1"/>
    </xf>
    <xf numFmtId="0" fontId="0" fillId="0" borderId="1" xfId="0" applyBorder="1"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11" fillId="0" borderId="3" xfId="2" applyFont="1" applyBorder="1" applyAlignment="1" applyProtection="1">
      <alignment horizontal="center" vertical="center" wrapText="1"/>
      <protection locked="0"/>
    </xf>
    <xf numFmtId="14" fontId="11" fillId="0" borderId="1" xfId="2" applyNumberFormat="1" applyFont="1" applyBorder="1" applyAlignment="1" applyProtection="1">
      <alignment horizontal="center" vertical="center" wrapText="1"/>
      <protection locked="0"/>
    </xf>
    <xf numFmtId="0" fontId="8" fillId="0" borderId="0" xfId="0" applyFont="1"/>
    <xf numFmtId="0" fontId="0" fillId="0" borderId="0" xfId="0" applyAlignment="1">
      <alignment vertical="center" wrapText="1"/>
    </xf>
    <xf numFmtId="0" fontId="0" fillId="0" borderId="0" xfId="0" applyAlignment="1">
      <alignment horizontal="left" vertical="center" wrapText="1"/>
    </xf>
    <xf numFmtId="0" fontId="8" fillId="0" borderId="1" xfId="0" applyFont="1" applyBorder="1"/>
    <xf numFmtId="0" fontId="18" fillId="0" borderId="0" xfId="0" applyFont="1"/>
    <xf numFmtId="0" fontId="0" fillId="0" borderId="0" xfId="0" applyAlignment="1">
      <alignment horizontal="left" vertical="center"/>
    </xf>
    <xf numFmtId="0" fontId="3" fillId="0" borderId="26" xfId="0" applyFont="1" applyBorder="1" applyAlignment="1">
      <alignment horizontal="center"/>
    </xf>
    <xf numFmtId="0" fontId="3" fillId="0" borderId="28" xfId="0" applyFont="1" applyBorder="1" applyAlignment="1">
      <alignment horizontal="center"/>
    </xf>
    <xf numFmtId="0" fontId="3" fillId="0" borderId="27" xfId="0" applyFont="1" applyBorder="1" applyAlignment="1">
      <alignment horizontal="center"/>
    </xf>
    <xf numFmtId="0" fontId="12" fillId="0" borderId="4" xfId="0" applyFont="1" applyBorder="1" applyAlignment="1">
      <alignment horizontal="center"/>
    </xf>
    <xf numFmtId="0" fontId="8" fillId="0" borderId="3" xfId="0" applyFont="1" applyBorder="1"/>
    <xf numFmtId="0" fontId="8" fillId="0" borderId="13" xfId="0" applyFont="1" applyBorder="1"/>
    <xf numFmtId="0" fontId="8" fillId="0" borderId="14" xfId="0" applyFont="1" applyBorder="1"/>
    <xf numFmtId="0" fontId="12" fillId="0" borderId="29" xfId="0" applyFont="1" applyBorder="1" applyAlignment="1">
      <alignment horizontal="center"/>
    </xf>
    <xf numFmtId="0" fontId="0" fillId="0" borderId="0" xfId="0" applyProtection="1">
      <protection locked="0"/>
    </xf>
    <xf numFmtId="0" fontId="1" fillId="0" borderId="0" xfId="0" applyFont="1" applyAlignment="1" applyProtection="1">
      <alignment horizontal="center" vertical="center" wrapText="1"/>
      <protection locked="0"/>
    </xf>
    <xf numFmtId="0" fontId="1" fillId="0" borderId="1" xfId="0" applyFont="1" applyBorder="1" applyAlignment="1" applyProtection="1">
      <alignment horizontal="center" vertical="center" wrapText="1"/>
      <protection locked="0"/>
    </xf>
    <xf numFmtId="0" fontId="3" fillId="4" borderId="8" xfId="0" applyFont="1" applyFill="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164" fontId="3" fillId="4" borderId="1" xfId="0" applyNumberFormat="1" applyFont="1" applyFill="1" applyBorder="1" applyAlignment="1" applyProtection="1">
      <alignment horizontal="center" vertical="center" wrapText="1"/>
      <protection locked="0"/>
    </xf>
    <xf numFmtId="0" fontId="3" fillId="4" borderId="4" xfId="0" applyFont="1" applyFill="1" applyBorder="1" applyAlignment="1" applyProtection="1">
      <alignment horizontal="center" vertical="center" wrapText="1"/>
      <protection locked="0"/>
    </xf>
    <xf numFmtId="0" fontId="3" fillId="4" borderId="3" xfId="0" applyFont="1" applyFill="1" applyBorder="1" applyAlignment="1" applyProtection="1">
      <alignment horizontal="center" vertical="center" wrapText="1"/>
      <protection locked="0"/>
    </xf>
    <xf numFmtId="0" fontId="1" fillId="4" borderId="3" xfId="0" applyFont="1" applyFill="1" applyBorder="1" applyAlignment="1" applyProtection="1">
      <alignment horizontal="center" vertical="center" wrapText="1"/>
      <protection locked="0"/>
    </xf>
    <xf numFmtId="0" fontId="1" fillId="4" borderId="4" xfId="0" applyFont="1" applyFill="1" applyBorder="1" applyAlignment="1" applyProtection="1">
      <alignment horizontal="center" vertical="center" wrapText="1"/>
      <protection locked="0"/>
    </xf>
    <xf numFmtId="0" fontId="1" fillId="0" borderId="2" xfId="0" applyFont="1" applyBorder="1" applyAlignment="1" applyProtection="1">
      <alignment horizontal="center" vertical="center" wrapText="1"/>
      <protection locked="0"/>
    </xf>
    <xf numFmtId="164" fontId="1" fillId="0" borderId="1" xfId="0" applyNumberFormat="1"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4" xfId="0" applyFont="1" applyBorder="1" applyAlignment="1" applyProtection="1">
      <alignment wrapText="1"/>
      <protection locked="0"/>
    </xf>
    <xf numFmtId="0" fontId="1" fillId="0" borderId="5"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protection locked="0"/>
    </xf>
    <xf numFmtId="0" fontId="0" fillId="0" borderId="0" xfId="0" applyProtection="1">
      <protection hidden="1"/>
    </xf>
    <xf numFmtId="0" fontId="1" fillId="0" borderId="0" xfId="0" applyFont="1" applyAlignment="1" applyProtection="1">
      <alignment horizontal="center" vertical="center" wrapText="1"/>
      <protection hidden="1"/>
    </xf>
    <xf numFmtId="0" fontId="9" fillId="0" borderId="0" xfId="0" applyFont="1" applyAlignment="1" applyProtection="1">
      <alignment vertical="center"/>
      <protection hidden="1"/>
    </xf>
    <xf numFmtId="0" fontId="6" fillId="0" borderId="6" xfId="0" applyFont="1" applyBorder="1" applyAlignment="1" applyProtection="1">
      <alignment horizontal="center" vertical="center" wrapText="1"/>
      <protection hidden="1"/>
    </xf>
    <xf numFmtId="0" fontId="1" fillId="0" borderId="7" xfId="0" applyFont="1" applyBorder="1" applyAlignment="1" applyProtection="1">
      <alignment horizontal="center" vertical="center" wrapText="1"/>
      <protection hidden="1"/>
    </xf>
    <xf numFmtId="0" fontId="7" fillId="0" borderId="7" xfId="0" applyFont="1" applyBorder="1" applyAlignment="1" applyProtection="1">
      <alignment horizontal="center" vertical="center" wrapText="1"/>
      <protection hidden="1"/>
    </xf>
    <xf numFmtId="0" fontId="5" fillId="0" borderId="7" xfId="0" applyFont="1" applyBorder="1" applyAlignment="1" applyProtection="1">
      <alignment horizontal="center" vertical="center" wrapText="1"/>
      <protection hidden="1"/>
    </xf>
    <xf numFmtId="0" fontId="5" fillId="0" borderId="7" xfId="0" applyFont="1" applyBorder="1" applyAlignment="1" applyProtection="1">
      <alignment vertical="center" wrapText="1"/>
      <protection hidden="1"/>
    </xf>
    <xf numFmtId="0" fontId="6" fillId="0" borderId="9" xfId="0" applyFont="1" applyBorder="1" applyAlignment="1" applyProtection="1">
      <alignment horizontal="center" vertical="center" wrapText="1"/>
      <protection hidden="1"/>
    </xf>
    <xf numFmtId="0" fontId="7" fillId="0" borderId="0" xfId="0" applyFont="1" applyAlignment="1" applyProtection="1">
      <alignment horizontal="center" vertical="center" wrapText="1"/>
      <protection hidden="1"/>
    </xf>
    <xf numFmtId="0" fontId="5" fillId="0" borderId="0" xfId="0" applyFont="1" applyAlignment="1" applyProtection="1">
      <alignment horizontal="center" vertical="center" wrapText="1"/>
      <protection hidden="1"/>
    </xf>
    <xf numFmtId="0" fontId="5" fillId="0" borderId="0" xfId="0" applyFont="1" applyAlignment="1" applyProtection="1">
      <alignment vertical="center" wrapText="1"/>
      <protection hidden="1"/>
    </xf>
    <xf numFmtId="165" fontId="5" fillId="0" borderId="0" xfId="0" applyNumberFormat="1" applyFont="1" applyAlignment="1" applyProtection="1">
      <alignment horizontal="center" vertical="center" wrapText="1"/>
      <protection hidden="1"/>
    </xf>
    <xf numFmtId="0" fontId="7" fillId="0" borderId="1" xfId="0" applyFont="1" applyBorder="1" applyAlignment="1" applyProtection="1">
      <alignment horizontal="center" vertical="center" wrapText="1"/>
      <protection hidden="1"/>
    </xf>
    <xf numFmtId="0" fontId="6" fillId="0" borderId="1" xfId="0" applyFont="1" applyBorder="1" applyAlignment="1" applyProtection="1">
      <alignment horizontal="center" vertical="center" wrapText="1"/>
      <protection hidden="1"/>
    </xf>
    <xf numFmtId="0" fontId="7" fillId="0" borderId="1" xfId="1" applyNumberFormat="1" applyFont="1" applyBorder="1" applyAlignment="1" applyProtection="1">
      <alignment horizontal="center" vertical="center" wrapText="1"/>
      <protection hidden="1"/>
    </xf>
    <xf numFmtId="0" fontId="5" fillId="0" borderId="0" xfId="1" applyNumberFormat="1"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5" fillId="0" borderId="1" xfId="0" applyFont="1" applyBorder="1" applyAlignment="1" applyProtection="1">
      <alignment horizontal="center" vertical="center" wrapText="1"/>
      <protection hidden="1"/>
    </xf>
    <xf numFmtId="0" fontId="1" fillId="0" borderId="1" xfId="0" applyFont="1" applyBorder="1" applyAlignment="1" applyProtection="1">
      <alignment horizontal="center" vertical="center" wrapText="1"/>
      <protection hidden="1"/>
    </xf>
    <xf numFmtId="0" fontId="5" fillId="0" borderId="1" xfId="1" applyNumberFormat="1" applyFont="1" applyBorder="1" applyAlignment="1" applyProtection="1">
      <alignment horizontal="center" vertical="center" wrapText="1"/>
      <protection hidden="1"/>
    </xf>
    <xf numFmtId="0" fontId="1" fillId="0" borderId="30" xfId="0" applyFont="1" applyBorder="1" applyAlignment="1" applyProtection="1">
      <alignment horizontal="center" vertical="center" wrapText="1"/>
      <protection hidden="1"/>
    </xf>
    <xf numFmtId="0" fontId="1" fillId="0" borderId="38" xfId="0" applyFont="1" applyBorder="1" applyAlignment="1" applyProtection="1">
      <alignment horizontal="center" vertical="center"/>
      <protection hidden="1"/>
    </xf>
    <xf numFmtId="0" fontId="1" fillId="0" borderId="39" xfId="0" applyFont="1" applyBorder="1" applyAlignment="1" applyProtection="1">
      <alignment horizontal="center" vertical="center" wrapText="1"/>
      <protection hidden="1"/>
    </xf>
    <xf numFmtId="0" fontId="7" fillId="0" borderId="39" xfId="0" applyFont="1" applyBorder="1" applyAlignment="1" applyProtection="1">
      <alignment horizontal="center" vertical="center" wrapText="1"/>
      <protection hidden="1"/>
    </xf>
    <xf numFmtId="0" fontId="5" fillId="0" borderId="39" xfId="0" applyFont="1" applyBorder="1" applyAlignment="1" applyProtection="1">
      <alignment horizontal="center" vertical="center" wrapText="1"/>
      <protection hidden="1"/>
    </xf>
    <xf numFmtId="0" fontId="5" fillId="0" borderId="39" xfId="0" applyFont="1" applyBorder="1" applyAlignment="1" applyProtection="1">
      <alignment vertical="center" wrapText="1"/>
      <protection hidden="1"/>
    </xf>
    <xf numFmtId="165" fontId="5" fillId="0" borderId="39" xfId="0" applyNumberFormat="1" applyFont="1" applyBorder="1" applyAlignment="1" applyProtection="1">
      <alignment horizontal="center" vertical="center" wrapText="1"/>
      <protection hidden="1"/>
    </xf>
    <xf numFmtId="164" fontId="5" fillId="0" borderId="39" xfId="0" applyNumberFormat="1" applyFont="1" applyBorder="1" applyAlignment="1" applyProtection="1">
      <alignment horizontal="center" vertical="center" wrapText="1"/>
      <protection hidden="1"/>
    </xf>
    <xf numFmtId="0" fontId="1" fillId="0" borderId="40" xfId="0" applyFont="1" applyBorder="1" applyAlignment="1" applyProtection="1">
      <alignment horizontal="center" vertical="center" wrapText="1"/>
      <protection hidden="1"/>
    </xf>
    <xf numFmtId="164" fontId="1" fillId="0" borderId="1" xfId="0" applyNumberFormat="1" applyFont="1" applyBorder="1" applyAlignment="1" applyProtection="1">
      <alignment horizontal="center" vertical="center" wrapText="1"/>
      <protection hidden="1"/>
    </xf>
    <xf numFmtId="0" fontId="1" fillId="0" borderId="3" xfId="0" applyFont="1" applyBorder="1" applyAlignment="1" applyProtection="1">
      <alignment horizontal="center" vertical="center" wrapText="1"/>
      <protection hidden="1"/>
    </xf>
    <xf numFmtId="0" fontId="1" fillId="0" borderId="4" xfId="0" applyFont="1" applyBorder="1" applyAlignment="1" applyProtection="1">
      <alignment horizontal="center" vertical="center" wrapText="1"/>
      <protection hidden="1"/>
    </xf>
    <xf numFmtId="0" fontId="9" fillId="0" borderId="9" xfId="0" applyFont="1" applyBorder="1" applyAlignment="1" applyProtection="1">
      <alignment horizontal="center" vertical="center"/>
      <protection hidden="1"/>
    </xf>
    <xf numFmtId="0" fontId="9" fillId="0" borderId="0" xfId="0" applyFont="1" applyAlignment="1" applyProtection="1">
      <alignment horizontal="center" vertical="center"/>
      <protection hidden="1"/>
    </xf>
    <xf numFmtId="0" fontId="5" fillId="0" borderId="1" xfId="0" applyFont="1" applyBorder="1" applyAlignment="1" applyProtection="1">
      <alignment horizontal="center" vertical="center" wrapText="1"/>
      <protection locked="0"/>
    </xf>
    <xf numFmtId="0" fontId="3" fillId="4" borderId="25" xfId="0" applyFont="1" applyFill="1" applyBorder="1" applyAlignment="1" applyProtection="1">
      <alignment horizontal="center" vertical="center" wrapText="1"/>
      <protection locked="0"/>
    </xf>
    <xf numFmtId="0" fontId="8" fillId="0" borderId="25" xfId="0" applyFont="1" applyBorder="1" applyAlignment="1" applyProtection="1">
      <alignment wrapText="1"/>
      <protection locked="0"/>
    </xf>
    <xf numFmtId="0" fontId="1" fillId="0" borderId="16" xfId="0" applyFont="1" applyBorder="1" applyAlignment="1" applyProtection="1">
      <alignment horizontal="center" vertical="center"/>
      <protection locked="0"/>
    </xf>
    <xf numFmtId="0" fontId="1" fillId="0" borderId="23" xfId="0" applyFont="1" applyBorder="1" applyAlignment="1" applyProtection="1">
      <alignment horizontal="center" vertical="center" wrapText="1"/>
      <protection locked="0"/>
    </xf>
    <xf numFmtId="164" fontId="1" fillId="0" borderId="23" xfId="0" applyNumberFormat="1" applyFont="1" applyBorder="1" applyAlignment="1" applyProtection="1">
      <alignment horizontal="center" vertical="center" wrapText="1"/>
      <protection locked="0"/>
    </xf>
    <xf numFmtId="0" fontId="1" fillId="0" borderId="16" xfId="0" applyFont="1" applyBorder="1" applyAlignment="1" applyProtection="1">
      <alignment horizontal="center" vertical="center" wrapText="1"/>
      <protection locked="0"/>
    </xf>
    <xf numFmtId="0" fontId="8" fillId="0" borderId="23" xfId="0" applyFont="1" applyBorder="1" applyAlignment="1" applyProtection="1">
      <alignment horizontal="center" vertical="center" wrapText="1"/>
      <protection locked="0"/>
    </xf>
    <xf numFmtId="0" fontId="1" fillId="0" borderId="0" xfId="0" applyFont="1" applyAlignment="1" applyProtection="1">
      <alignment horizontal="center" vertical="center"/>
      <protection locked="0"/>
    </xf>
    <xf numFmtId="164" fontId="1" fillId="0" borderId="0" xfId="0" applyNumberFormat="1" applyFont="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8" fillId="0" borderId="1" xfId="0" applyFont="1" applyBorder="1" applyAlignment="1" applyProtection="1">
      <alignment wrapText="1"/>
      <protection locked="0"/>
    </xf>
    <xf numFmtId="0" fontId="1" fillId="0" borderId="2" xfId="0" applyFont="1" applyBorder="1" applyAlignment="1" applyProtection="1">
      <alignment horizontal="center" vertical="center" wrapText="1"/>
      <protection hidden="1"/>
    </xf>
    <xf numFmtId="0" fontId="3" fillId="4" borderId="31" xfId="0" applyFont="1" applyFill="1" applyBorder="1" applyAlignment="1" applyProtection="1">
      <alignment horizontal="center" vertical="center" wrapText="1"/>
      <protection locked="0"/>
    </xf>
    <xf numFmtId="0" fontId="3" fillId="4" borderId="11" xfId="0" applyFont="1" applyFill="1" applyBorder="1" applyAlignment="1" applyProtection="1">
      <alignment horizontal="center" vertical="center" wrapText="1"/>
      <protection locked="0"/>
    </xf>
    <xf numFmtId="164" fontId="3" fillId="4" borderId="11" xfId="0" applyNumberFormat="1" applyFont="1" applyFill="1" applyBorder="1" applyAlignment="1" applyProtection="1">
      <alignment horizontal="center" vertical="center" wrapText="1"/>
      <protection locked="0"/>
    </xf>
    <xf numFmtId="0" fontId="3" fillId="4" borderId="32" xfId="0" applyFont="1" applyFill="1" applyBorder="1" applyAlignment="1" applyProtection="1">
      <alignment horizontal="center" vertical="center" wrapText="1"/>
      <protection locked="0"/>
    </xf>
    <xf numFmtId="0" fontId="3" fillId="4" borderId="2" xfId="0" applyFont="1" applyFill="1" applyBorder="1" applyAlignment="1" applyProtection="1">
      <alignment horizontal="center" vertical="center" wrapText="1"/>
      <protection locked="0"/>
    </xf>
    <xf numFmtId="0" fontId="1" fillId="0" borderId="12" xfId="0" applyFont="1" applyBorder="1" applyAlignment="1" applyProtection="1">
      <alignment horizontal="center" vertical="center"/>
      <protection locked="0"/>
    </xf>
    <xf numFmtId="0" fontId="1" fillId="0" borderId="10" xfId="0" applyFont="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164" fontId="1" fillId="0" borderId="11" xfId="0" applyNumberFormat="1" applyFont="1" applyBorder="1" applyAlignment="1" applyProtection="1">
      <alignment horizontal="center" vertical="center" wrapText="1"/>
      <protection locked="0"/>
    </xf>
    <xf numFmtId="0" fontId="1" fillId="0" borderId="13" xfId="0" applyFont="1" applyBorder="1" applyAlignment="1" applyProtection="1">
      <alignment horizontal="center" vertical="center"/>
      <protection locked="0"/>
    </xf>
    <xf numFmtId="0" fontId="1" fillId="0" borderId="15"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164" fontId="1" fillId="0" borderId="14" xfId="0" applyNumberFormat="1" applyFont="1" applyBorder="1" applyAlignment="1" applyProtection="1">
      <alignment horizontal="center" vertical="center" wrapText="1"/>
      <protection locked="0"/>
    </xf>
    <xf numFmtId="0" fontId="1" fillId="0" borderId="42" xfId="0" applyFont="1" applyBorder="1" applyAlignment="1" applyProtection="1">
      <alignment horizontal="center" vertical="center" wrapText="1"/>
      <protection locked="0"/>
    </xf>
    <xf numFmtId="164" fontId="1" fillId="0" borderId="11" xfId="0" applyNumberFormat="1" applyFont="1" applyBorder="1" applyAlignment="1" applyProtection="1">
      <alignment horizontal="center" vertical="center" wrapText="1"/>
      <protection hidden="1"/>
    </xf>
    <xf numFmtId="0" fontId="1" fillId="0" borderId="11" xfId="0" applyFont="1" applyBorder="1" applyAlignment="1" applyProtection="1">
      <alignment horizontal="center" vertical="center" wrapText="1"/>
      <protection hidden="1"/>
    </xf>
    <xf numFmtId="164" fontId="1" fillId="0" borderId="14" xfId="0" applyNumberFormat="1" applyFont="1" applyBorder="1" applyAlignment="1" applyProtection="1">
      <alignment horizontal="center" vertical="center" wrapText="1"/>
      <protection hidden="1"/>
    </xf>
    <xf numFmtId="0" fontId="1" fillId="0" borderId="14" xfId="0" applyFont="1" applyBorder="1" applyAlignment="1" applyProtection="1">
      <alignment horizontal="center" vertical="center" wrapText="1"/>
      <protection hidden="1"/>
    </xf>
    <xf numFmtId="0" fontId="1" fillId="0" borderId="0" xfId="0" applyFont="1" applyAlignment="1" applyProtection="1">
      <alignment horizontal="center" vertical="center"/>
      <protection hidden="1"/>
    </xf>
    <xf numFmtId="164" fontId="1" fillId="0" borderId="0" xfId="0" applyNumberFormat="1" applyFont="1" applyAlignment="1" applyProtection="1">
      <alignment horizontal="center" vertical="center" wrapText="1"/>
      <protection hidden="1"/>
    </xf>
    <xf numFmtId="0" fontId="3" fillId="4" borderId="12" xfId="0" applyFont="1" applyFill="1" applyBorder="1" applyAlignment="1" applyProtection="1">
      <alignment horizontal="center" vertical="center" wrapText="1"/>
      <protection locked="0"/>
    </xf>
    <xf numFmtId="0" fontId="1" fillId="4" borderId="12" xfId="0" applyFont="1" applyFill="1" applyBorder="1" applyAlignment="1" applyProtection="1">
      <alignment horizontal="center" vertical="center" wrapText="1"/>
      <protection locked="0"/>
    </xf>
    <xf numFmtId="0" fontId="1" fillId="4" borderId="32" xfId="0" applyFont="1" applyFill="1" applyBorder="1" applyAlignment="1" applyProtection="1">
      <alignment horizontal="center" vertical="center" wrapText="1"/>
      <protection locked="0"/>
    </xf>
    <xf numFmtId="164" fontId="6" fillId="0" borderId="7" xfId="0" applyNumberFormat="1" applyFont="1" applyBorder="1" applyAlignment="1" applyProtection="1">
      <alignment horizontal="center" vertical="center" wrapText="1"/>
      <protection hidden="1"/>
    </xf>
    <xf numFmtId="0" fontId="1" fillId="0" borderId="20" xfId="0" applyFont="1" applyBorder="1" applyAlignment="1" applyProtection="1">
      <alignment horizontal="center" vertical="center" wrapText="1"/>
      <protection hidden="1"/>
    </xf>
    <xf numFmtId="164" fontId="6" fillId="0" borderId="0" xfId="0" applyNumberFormat="1" applyFont="1" applyAlignment="1" applyProtection="1">
      <alignment horizontal="center" vertical="center" wrapText="1"/>
      <protection hidden="1"/>
    </xf>
    <xf numFmtId="0" fontId="1" fillId="0" borderId="9" xfId="0" applyFont="1" applyBorder="1" applyAlignment="1" applyProtection="1">
      <alignment horizontal="center" vertical="center"/>
      <protection hidden="1"/>
    </xf>
    <xf numFmtId="164" fontId="6" fillId="0" borderId="39" xfId="0" applyNumberFormat="1" applyFont="1" applyBorder="1" applyAlignment="1" applyProtection="1">
      <alignment horizontal="center" vertical="center" wrapText="1"/>
      <protection hidden="1"/>
    </xf>
    <xf numFmtId="0" fontId="8" fillId="0" borderId="0" xfId="0" applyFont="1" applyProtection="1">
      <protection locked="0"/>
    </xf>
    <xf numFmtId="0" fontId="5" fillId="0" borderId="1" xfId="0" pivotButton="1" applyFont="1" applyBorder="1" applyAlignment="1" applyProtection="1">
      <alignment horizontal="center" vertical="center" wrapText="1"/>
      <protection locked="0"/>
    </xf>
    <xf numFmtId="0" fontId="8" fillId="0" borderId="0" xfId="0" applyFont="1" applyProtection="1">
      <protection hidden="1"/>
    </xf>
    <xf numFmtId="0" fontId="15" fillId="0" borderId="0" xfId="0" applyFont="1" applyAlignment="1" applyProtection="1">
      <alignment vertical="center"/>
      <protection hidden="1"/>
    </xf>
    <xf numFmtId="0" fontId="15" fillId="0" borderId="0" xfId="0" applyFont="1" applyProtection="1">
      <protection locked="0"/>
    </xf>
    <xf numFmtId="0" fontId="15" fillId="0" borderId="0" xfId="0" applyFont="1" applyProtection="1">
      <protection hidden="1"/>
    </xf>
    <xf numFmtId="0" fontId="5" fillId="0" borderId="1" xfId="0" pivotButton="1" applyFont="1" applyBorder="1" applyAlignment="1" applyProtection="1">
      <alignment horizontal="center"/>
      <protection locked="0"/>
    </xf>
    <xf numFmtId="0" fontId="5" fillId="0" borderId="1" xfId="0" applyFont="1" applyBorder="1" applyAlignment="1" applyProtection="1">
      <alignment horizontal="center"/>
      <protection locked="0"/>
    </xf>
    <xf numFmtId="0" fontId="14" fillId="0" borderId="0" xfId="0" applyFont="1" applyProtection="1">
      <protection hidden="1"/>
    </xf>
    <xf numFmtId="0" fontId="13" fillId="0" borderId="0" xfId="3" applyProtection="1">
      <protection hidden="1"/>
    </xf>
    <xf numFmtId="0" fontId="3" fillId="4" borderId="43" xfId="0" applyFont="1" applyFill="1" applyBorder="1" applyAlignment="1" applyProtection="1">
      <alignment horizontal="center" vertical="center" wrapText="1"/>
      <protection locked="0"/>
    </xf>
    <xf numFmtId="0" fontId="8" fillId="0" borderId="43" xfId="0" applyFont="1" applyBorder="1" applyAlignment="1" applyProtection="1">
      <alignment wrapText="1"/>
      <protection locked="0"/>
    </xf>
    <xf numFmtId="0" fontId="19" fillId="0" borderId="0" xfId="0" applyFont="1" applyAlignment="1" applyProtection="1">
      <alignment vertical="center"/>
      <protection hidden="1"/>
    </xf>
    <xf numFmtId="1" fontId="1" fillId="0" borderId="2" xfId="0" applyNumberFormat="1" applyFont="1" applyBorder="1" applyAlignment="1" applyProtection="1">
      <alignment horizontal="center" vertical="center" wrapText="1"/>
      <protection locked="0"/>
    </xf>
    <xf numFmtId="1" fontId="1" fillId="0" borderId="5" xfId="0" applyNumberFormat="1" applyFont="1" applyBorder="1" applyAlignment="1" applyProtection="1">
      <alignment horizontal="center" vertical="center" wrapText="1"/>
      <protection locked="0"/>
    </xf>
    <xf numFmtId="0" fontId="12" fillId="0" borderId="1" xfId="0" pivotButton="1" applyFont="1" applyBorder="1" applyAlignment="1">
      <alignment horizontal="center" vertical="center"/>
    </xf>
    <xf numFmtId="0" fontId="12" fillId="0" borderId="1" xfId="0" applyFont="1" applyBorder="1" applyAlignment="1">
      <alignment horizontal="center" vertical="center"/>
    </xf>
    <xf numFmtId="0" fontId="12" fillId="0" borderId="1" xfId="0" pivotButton="1" applyFont="1" applyBorder="1" applyAlignment="1">
      <alignment horizontal="center" vertical="center" wrapText="1"/>
    </xf>
    <xf numFmtId="0" fontId="12" fillId="0" borderId="1" xfId="0" applyFont="1" applyBorder="1" applyAlignment="1">
      <alignment horizontal="center" vertical="center" wrapText="1"/>
    </xf>
    <xf numFmtId="1" fontId="1" fillId="0" borderId="22" xfId="0" applyNumberFormat="1" applyFont="1" applyBorder="1" applyAlignment="1" applyProtection="1">
      <alignment horizontal="center" vertical="center" wrapText="1"/>
      <protection locked="0"/>
    </xf>
    <xf numFmtId="1" fontId="1" fillId="0" borderId="24" xfId="0" applyNumberFormat="1" applyFont="1" applyBorder="1" applyAlignment="1" applyProtection="1">
      <alignment horizontal="center" vertical="center" wrapText="1"/>
      <protection locked="0"/>
    </xf>
    <xf numFmtId="1" fontId="1" fillId="0" borderId="1" xfId="0" applyNumberFormat="1" applyFont="1" applyBorder="1" applyAlignment="1" applyProtection="1">
      <alignment horizontal="center" vertical="center" wrapText="1"/>
      <protection locked="0"/>
    </xf>
    <xf numFmtId="1" fontId="1" fillId="0" borderId="23" xfId="0" applyNumberFormat="1" applyFont="1" applyBorder="1" applyAlignment="1" applyProtection="1">
      <alignment horizontal="center" vertical="center" wrapText="1"/>
      <protection locked="0"/>
    </xf>
    <xf numFmtId="0" fontId="20" fillId="0" borderId="0" xfId="0" applyFont="1" applyAlignment="1" applyProtection="1">
      <alignment vertical="center"/>
      <protection hidden="1"/>
    </xf>
    <xf numFmtId="1" fontId="1" fillId="0" borderId="10" xfId="0" applyNumberFormat="1" applyFont="1" applyBorder="1" applyAlignment="1" applyProtection="1">
      <alignment horizontal="center" vertical="center" wrapText="1"/>
      <protection locked="0"/>
    </xf>
    <xf numFmtId="1" fontId="1" fillId="0" borderId="41" xfId="0" applyNumberFormat="1" applyFont="1" applyBorder="1" applyAlignment="1" applyProtection="1">
      <alignment horizontal="center" vertical="center" wrapText="1"/>
      <protection locked="0"/>
    </xf>
    <xf numFmtId="1" fontId="1" fillId="0" borderId="15" xfId="0" applyNumberFormat="1" applyFont="1" applyBorder="1" applyAlignment="1" applyProtection="1">
      <alignment horizontal="center" vertical="center" wrapText="1"/>
      <protection locked="0"/>
    </xf>
    <xf numFmtId="1" fontId="1" fillId="0" borderId="21" xfId="0" applyNumberFormat="1" applyFont="1" applyBorder="1" applyAlignment="1" applyProtection="1">
      <alignment horizontal="center" vertical="center" wrapText="1"/>
      <protection locked="0"/>
    </xf>
    <xf numFmtId="1" fontId="1" fillId="0" borderId="11" xfId="0" applyNumberFormat="1" applyFont="1" applyBorder="1" applyAlignment="1" applyProtection="1">
      <alignment horizontal="center" vertical="center" wrapText="1"/>
      <protection locked="0"/>
    </xf>
    <xf numFmtId="0" fontId="5" fillId="0" borderId="1" xfId="0" pivotButton="1"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1" fillId="0" borderId="1" xfId="0" applyFont="1" applyBorder="1" applyAlignment="1" applyProtection="1">
      <alignment vertical="center"/>
      <protection locked="0"/>
    </xf>
    <xf numFmtId="14" fontId="1" fillId="0" borderId="1" xfId="0" applyNumberFormat="1" applyFont="1" applyBorder="1" applyAlignment="1" applyProtection="1">
      <alignment horizontal="center" vertical="center" wrapText="1"/>
      <protection locked="0"/>
    </xf>
    <xf numFmtId="14" fontId="1" fillId="0" borderId="1" xfId="0" quotePrefix="1" applyNumberFormat="1" applyFont="1" applyBorder="1" applyAlignment="1" applyProtection="1">
      <alignment horizontal="center" vertical="center" wrapText="1"/>
      <protection locked="0"/>
    </xf>
    <xf numFmtId="0" fontId="17" fillId="0" borderId="0" xfId="0" applyFont="1" applyAlignment="1" applyProtection="1">
      <alignment horizontal="center"/>
      <protection hidden="1"/>
    </xf>
    <xf numFmtId="0" fontId="9" fillId="0" borderId="9" xfId="0" applyFont="1" applyBorder="1" applyAlignment="1" applyProtection="1">
      <alignment horizontal="center" vertical="center"/>
      <protection hidden="1"/>
    </xf>
    <xf numFmtId="0" fontId="9" fillId="0" borderId="0" xfId="0" applyFont="1" applyAlignment="1" applyProtection="1">
      <alignment horizontal="center" vertical="center"/>
      <protection hidden="1"/>
    </xf>
    <xf numFmtId="0" fontId="7" fillId="0" borderId="7" xfId="0" applyFont="1" applyBorder="1" applyAlignment="1" applyProtection="1">
      <alignment horizontal="center" vertical="center" wrapText="1"/>
      <protection hidden="1"/>
    </xf>
    <xf numFmtId="0" fontId="7" fillId="0" borderId="20" xfId="0" applyFont="1" applyBorder="1" applyAlignment="1" applyProtection="1">
      <alignment horizontal="center" vertical="center" wrapText="1"/>
      <protection hidden="1"/>
    </xf>
    <xf numFmtId="164" fontId="5" fillId="0" borderId="7" xfId="0" applyNumberFormat="1" applyFont="1" applyBorder="1" applyAlignment="1" applyProtection="1">
      <alignment horizontal="center" vertical="center" wrapText="1"/>
      <protection hidden="1"/>
    </xf>
    <xf numFmtId="164" fontId="5" fillId="0" borderId="0" xfId="0" applyNumberFormat="1" applyFont="1" applyAlignment="1" applyProtection="1">
      <alignment horizontal="center" vertical="center" wrapText="1"/>
      <protection hidden="1"/>
    </xf>
    <xf numFmtId="165" fontId="7" fillId="0" borderId="28" xfId="1" applyNumberFormat="1" applyFont="1" applyBorder="1" applyAlignment="1" applyProtection="1">
      <alignment horizontal="center" vertical="center" wrapText="1"/>
      <protection hidden="1"/>
    </xf>
    <xf numFmtId="0" fontId="7" fillId="0" borderId="28" xfId="0" applyFont="1" applyBorder="1" applyAlignment="1" applyProtection="1">
      <alignment horizontal="center" vertical="center" wrapText="1"/>
      <protection hidden="1"/>
    </xf>
    <xf numFmtId="0" fontId="7" fillId="0" borderId="0" xfId="0" applyFont="1" applyAlignment="1" applyProtection="1">
      <alignment horizontal="center" vertical="center" wrapText="1"/>
      <protection hidden="1"/>
    </xf>
    <xf numFmtId="0" fontId="1" fillId="5" borderId="26" xfId="0" applyFont="1" applyFill="1" applyBorder="1" applyAlignment="1" applyProtection="1">
      <alignment horizontal="center" vertical="center" wrapText="1"/>
      <protection locked="0"/>
    </xf>
    <xf numFmtId="0" fontId="1" fillId="5" borderId="27" xfId="0" applyFont="1" applyFill="1" applyBorder="1" applyAlignment="1" applyProtection="1">
      <alignment horizontal="center" vertical="center" wrapText="1"/>
      <protection locked="0"/>
    </xf>
    <xf numFmtId="0" fontId="5" fillId="0" borderId="39" xfId="0" applyFont="1" applyBorder="1" applyAlignment="1" applyProtection="1">
      <alignment horizontal="center" vertical="center" wrapText="1"/>
      <protection hidden="1"/>
    </xf>
    <xf numFmtId="0" fontId="2" fillId="2" borderId="6" xfId="0" applyFont="1" applyFill="1" applyBorder="1" applyAlignment="1" applyProtection="1">
      <alignment horizontal="center" vertical="center" wrapText="1"/>
      <protection locked="0"/>
    </xf>
    <xf numFmtId="0" fontId="2" fillId="2" borderId="7" xfId="0" applyFont="1" applyFill="1" applyBorder="1" applyAlignment="1" applyProtection="1">
      <alignment horizontal="center" vertical="center" wrapText="1"/>
      <protection locked="0"/>
    </xf>
    <xf numFmtId="0" fontId="2" fillId="2" borderId="20" xfId="0" applyFont="1" applyFill="1" applyBorder="1" applyAlignment="1" applyProtection="1">
      <alignment horizontal="center" vertical="center" wrapText="1"/>
      <protection locked="0"/>
    </xf>
    <xf numFmtId="0" fontId="2" fillId="3" borderId="17" xfId="0" applyFont="1" applyFill="1" applyBorder="1" applyAlignment="1" applyProtection="1">
      <alignment horizontal="center" vertical="center" wrapText="1"/>
      <protection locked="0"/>
    </xf>
    <xf numFmtId="0" fontId="2" fillId="3" borderId="18" xfId="0" applyFont="1" applyFill="1" applyBorder="1" applyAlignment="1" applyProtection="1">
      <alignment horizontal="center" vertical="center" wrapText="1"/>
      <protection locked="0"/>
    </xf>
    <xf numFmtId="0" fontId="2" fillId="3" borderId="19" xfId="0" applyFont="1" applyFill="1" applyBorder="1" applyAlignment="1" applyProtection="1">
      <alignment horizontal="center" vertical="center" wrapText="1"/>
      <protection locked="0"/>
    </xf>
    <xf numFmtId="164" fontId="5" fillId="0" borderId="28" xfId="0" applyNumberFormat="1" applyFont="1" applyBorder="1" applyAlignment="1" applyProtection="1">
      <alignment horizontal="center" vertical="center" wrapText="1"/>
      <protection hidden="1"/>
    </xf>
    <xf numFmtId="164" fontId="5" fillId="0" borderId="1" xfId="0" applyNumberFormat="1" applyFont="1" applyBorder="1" applyAlignment="1" applyProtection="1">
      <alignment horizontal="center" vertical="center" wrapText="1"/>
      <protection hidden="1"/>
    </xf>
    <xf numFmtId="0" fontId="2" fillId="2" borderId="33" xfId="0" applyFont="1" applyFill="1" applyBorder="1" applyAlignment="1" applyProtection="1">
      <alignment horizontal="center" vertical="center" wrapText="1"/>
      <protection locked="0"/>
    </xf>
    <xf numFmtId="0" fontId="2" fillId="2" borderId="34" xfId="0" applyFont="1" applyFill="1" applyBorder="1" applyAlignment="1" applyProtection="1">
      <alignment horizontal="center" vertical="center" wrapText="1"/>
      <protection locked="0"/>
    </xf>
    <xf numFmtId="0" fontId="2" fillId="2" borderId="35" xfId="0" applyFont="1" applyFill="1" applyBorder="1" applyAlignment="1" applyProtection="1">
      <alignment horizontal="center" vertical="center" wrapText="1"/>
      <protection locked="0"/>
    </xf>
    <xf numFmtId="0" fontId="2" fillId="3" borderId="33" xfId="0" applyFont="1" applyFill="1" applyBorder="1" applyAlignment="1" applyProtection="1">
      <alignment horizontal="center" vertical="center" wrapText="1"/>
      <protection locked="0"/>
    </xf>
    <xf numFmtId="0" fontId="2" fillId="3" borderId="34" xfId="0" applyFont="1" applyFill="1" applyBorder="1" applyAlignment="1" applyProtection="1">
      <alignment horizontal="center" vertical="center" wrapText="1"/>
      <protection locked="0"/>
    </xf>
    <xf numFmtId="0" fontId="2" fillId="3" borderId="35" xfId="0"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hidden="1"/>
    </xf>
    <xf numFmtId="0" fontId="1" fillId="5" borderId="36" xfId="0" applyFont="1" applyFill="1" applyBorder="1" applyAlignment="1" applyProtection="1">
      <alignment horizontal="center" vertical="center" wrapText="1"/>
      <protection locked="0"/>
    </xf>
    <xf numFmtId="0" fontId="1" fillId="5" borderId="37" xfId="0" applyFont="1" applyFill="1" applyBorder="1" applyAlignment="1" applyProtection="1">
      <alignment horizontal="center" vertical="center" wrapText="1"/>
      <protection locked="0"/>
    </xf>
    <xf numFmtId="0" fontId="16" fillId="6" borderId="0" xfId="0" applyFont="1" applyFill="1" applyAlignment="1" applyProtection="1">
      <alignment horizontal="center"/>
      <protection locked="0"/>
    </xf>
    <xf numFmtId="0" fontId="0" fillId="0" borderId="0" xfId="0" applyAlignment="1">
      <alignment horizontal="center"/>
    </xf>
    <xf numFmtId="0" fontId="0" fillId="0" borderId="0" xfId="0" applyAlignment="1">
      <alignment horizontal="center" vertical="center" wrapText="1"/>
    </xf>
  </cellXfs>
  <cellStyles count="4">
    <cellStyle name="Hyperlink" xfId="3" builtinId="8"/>
    <cellStyle name="Normal" xfId="0" builtinId="0"/>
    <cellStyle name="Normal 2 2" xfId="2" xr:uid="{C03A4C82-2113-4735-B250-1C48DE3C2EC5}"/>
    <cellStyle name="Percent" xfId="1" builtinId="5"/>
  </cellStyles>
  <dxfs count="637">
    <dxf>
      <alignment horizontal="center"/>
    </dxf>
    <dxf>
      <alignment vertical="center"/>
    </dxf>
    <dxf>
      <font>
        <sz val="14"/>
      </font>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font>
        <sz val="14"/>
        <name val="Times New Roman"/>
        <family val="1"/>
        <scheme val="none"/>
      </font>
      <alignment horizontal="center" vertical="center"/>
    </dxf>
    <dxf>
      <alignment wrapText="1"/>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alignment wrapText="1"/>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Times New Roman"/>
        <family val="1"/>
        <scheme val="none"/>
      </font>
    </dxf>
    <dxf>
      <font>
        <sz val="14"/>
      </font>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horizontal="center"/>
    </dxf>
    <dxf>
      <alignment vertical="center"/>
    </dxf>
    <dxf>
      <font>
        <sz val="14"/>
      </font>
    </dxf>
    <dxf>
      <font>
        <name val="Times New Roman"/>
        <family val="1"/>
        <scheme val="none"/>
      </font>
    </dxf>
    <dxf>
      <alignment wrapText="1"/>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horizontal="center"/>
    </dxf>
    <dxf>
      <alignment vertical="center"/>
    </dxf>
    <dxf>
      <font>
        <sz val="14"/>
      </font>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horizontal="center"/>
    </dxf>
    <dxf>
      <alignment vertical="center"/>
    </dxf>
    <dxf>
      <font>
        <sz val="14"/>
      </font>
    </dxf>
    <dxf>
      <font>
        <name val="Times New Roman"/>
        <family val="1"/>
        <scheme val="none"/>
      </font>
    </dxf>
    <dxf>
      <font>
        <sz val="14"/>
      </font>
    </dxf>
    <dxf>
      <font>
        <name val="Times New Roman"/>
        <family val="1"/>
        <scheme val="none"/>
      </font>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font>
        <sz val="14"/>
      </font>
    </dxf>
    <dxf>
      <font>
        <name val="Times New Roman"/>
        <family val="1"/>
      </font>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sz val="14"/>
        <name val="Times New Roman"/>
        <family val="1"/>
        <scheme val="none"/>
      </font>
      <alignment horizontal="center" vertical="center"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font>
        <sz val="12"/>
      </font>
    </dxf>
    <dxf>
      <font>
        <name val="Times New Roman"/>
        <family val="1"/>
        <scheme val="none"/>
      </font>
    </dxf>
    <dxf>
      <alignment horizont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protection locked="0"/>
    </dxf>
    <dxf>
      <protection locked="0"/>
    </dxf>
    <dxf>
      <protection locked="0"/>
    </dxf>
    <dxf>
      <protection locked="0"/>
    </dxf>
    <dxf>
      <protection locked="0"/>
    </dxf>
    <dxf>
      <protection locked="0"/>
    </dxf>
    <dxf>
      <protection locked="0"/>
    </dxf>
    <dxf>
      <font>
        <sz val="13"/>
      </font>
    </dxf>
    <dxf>
      <font>
        <name val="Times New Roman"/>
        <family val="1"/>
        <scheme val="none"/>
      </font>
    </dxf>
    <dxf>
      <font>
        <sz val="13"/>
        <name val="Times New Roman"/>
        <family val="1"/>
        <scheme val="none"/>
      </font>
      <alignment horizontal="center" vertical="center" wrapText="1"/>
    </dxf>
    <dxf>
      <protection locked="0"/>
    </dxf>
    <dxf>
      <protection locked="0"/>
    </dxf>
    <dxf>
      <protection locked="0"/>
    </dxf>
    <dxf>
      <protection locked="0"/>
    </dxf>
    <dxf>
      <protection locked="0"/>
    </dxf>
    <dxf>
      <protection locked="0"/>
    </dxf>
    <dxf>
      <protection locked="0"/>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3"/>
      </font>
    </dxf>
    <dxf>
      <font>
        <name val="Times New Roman"/>
        <family val="1"/>
        <scheme val="none"/>
      </font>
    </dxf>
    <dxf>
      <alignment wrapText="1"/>
    </dxf>
    <dxf>
      <alignment horizontal="center"/>
    </dxf>
    <dxf>
      <alignment vertical="center"/>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alignment horizontal="center"/>
    </dxf>
    <dxf>
      <alignment vertical="center"/>
    </dxf>
    <dxf>
      <alignment horizontal="center"/>
    </dxf>
    <dxf>
      <alignment vertical="center"/>
    </dxf>
    <dxf>
      <protection locked="0"/>
    </dxf>
    <dxf>
      <protection locked="0"/>
    </dxf>
    <dxf>
      <protection locked="0"/>
    </dxf>
    <dxf>
      <protection locked="0"/>
    </dxf>
    <dxf>
      <protection locked="0"/>
    </dxf>
    <dxf>
      <protection locked="0"/>
    </dxf>
    <dxf>
      <protection locked="0"/>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Times New Roman"/>
        <family val="1"/>
        <scheme val="none"/>
      </font>
    </dxf>
    <dxf>
      <font>
        <sz val="13"/>
      </font>
    </dxf>
    <dxf>
      <font>
        <sz val="13"/>
        <name val="Times New Roman"/>
        <family val="1"/>
        <scheme val="none"/>
      </font>
      <alignment horizontal="center" vertical="center" wrapText="1"/>
    </dxf>
    <dxf>
      <protection locked="0"/>
    </dxf>
    <dxf>
      <protection locked="0"/>
    </dxf>
    <dxf>
      <protection locked="0"/>
    </dxf>
    <dxf>
      <protection locked="0"/>
    </dxf>
    <dxf>
      <protection locked="0"/>
    </dxf>
    <dxf>
      <protection locked="0"/>
    </dxf>
    <dxf>
      <protection locked="0"/>
    </dxf>
    <dxf>
      <font>
        <sz val="13"/>
      </font>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horizontal="center"/>
    </dxf>
    <dxf>
      <alignment vertical="cent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ont>
        <sz val="13"/>
      </font>
    </dxf>
    <dxf>
      <font>
        <name val="Times New Roman"/>
        <family val="1"/>
        <scheme val="none"/>
      </font>
    </dxf>
    <dxf>
      <border>
        <vertical style="thin">
          <color indexed="64"/>
        </vertical>
        <horizontal style="thin">
          <color indexed="64"/>
        </horizontal>
      </border>
    </dxf>
    <dxf>
      <alignment horizontal="center"/>
    </dxf>
    <dxf>
      <border>
        <left style="thin">
          <color indexed="64"/>
        </left>
        <right style="thin">
          <color indexed="64"/>
        </right>
        <top style="thin">
          <color indexed="64"/>
        </top>
        <bottom style="thin">
          <color indexed="64"/>
        </bottom>
      </border>
    </dxf>
    <dxf>
      <alignment horizontal="center" vertical="center" wrapText="1"/>
    </dxf>
    <dxf>
      <alignment wrapText="1"/>
    </dxf>
    <dxf>
      <alignment wrapText="1"/>
    </dxf>
    <dxf>
      <alignment wrapText="1"/>
    </dxf>
    <dxf>
      <alignment wrapText="1"/>
    </dxf>
    <dxf>
      <alignment wrapText="1"/>
    </dxf>
    <dxf>
      <alignment wrapText="1"/>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ont>
        <name val="Times New Roman"/>
        <family val="1"/>
        <scheme val="none"/>
      </font>
    </dxf>
    <dxf>
      <font>
        <sz val="13"/>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wrapText="1"/>
    </dxf>
    <dxf>
      <alignment wrapText="1"/>
    </dxf>
    <dxf>
      <alignment wrapText="1"/>
    </dxf>
    <dxf>
      <alignment wrapText="1"/>
    </dxf>
    <dxf>
      <alignment wrapText="1"/>
    </dxf>
    <dxf>
      <alignment wrapText="1"/>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font>
        <sz val="14"/>
      </font>
    </dxf>
    <dxf>
      <font>
        <name val="Times New Roman"/>
        <family val="1"/>
        <scheme val="none"/>
      </font>
    </dxf>
    <dxf>
      <alignment horizontal="center"/>
    </dxf>
    <dxf>
      <alignment vertical="cent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sz val="13"/>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wrapText="1"/>
    </dxf>
    <dxf>
      <font>
        <sz val="13"/>
      </fon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4"/>
      </font>
    </dxf>
    <dxf>
      <font>
        <name val="Times New Roman"/>
        <family val="1"/>
        <scheme val="none"/>
      </font>
    </dxf>
    <dxf>
      <alignment horizontal="center"/>
    </dxf>
    <dxf>
      <alignment vertical="cent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font>
        <sz val="13"/>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protection locked="0"/>
    </dxf>
    <dxf>
      <protection locked="0"/>
    </dxf>
    <dxf>
      <protection locked="0"/>
    </dxf>
    <dxf>
      <protection locked="0"/>
    </dxf>
    <dxf>
      <protection locked="0"/>
    </dxf>
    <dxf>
      <protection locked="0"/>
    </dxf>
    <dxf>
      <protection locked="0"/>
    </dxf>
    <dxf>
      <protection locked="0"/>
    </dxf>
    <dxf>
      <protection locked="0"/>
    </dxf>
    <dxf>
      <protection locked="0"/>
    </dxf>
    <dxf>
      <alignment wrapText="1"/>
    </dxf>
    <dxf>
      <font>
        <sz val="13"/>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wrapText="1"/>
    </dxf>
    <dxf>
      <alignment wrapText="1"/>
    </dxf>
    <dxf>
      <alignment wrapText="1"/>
    </dxf>
    <dxf>
      <alignment wrapText="1"/>
    </dxf>
    <dxf>
      <alignment wrapText="1"/>
    </dxf>
    <dxf>
      <font>
        <sz val="14"/>
      </font>
    </dxf>
    <dxf>
      <font>
        <sz val="14"/>
      </font>
    </dxf>
    <dxf>
      <font>
        <sz val="14"/>
      </font>
    </dxf>
    <dxf>
      <font>
        <sz val="14"/>
      </font>
    </dxf>
    <dxf>
      <font>
        <sz val="14"/>
      </font>
    </dxf>
    <dxf>
      <font>
        <sz val="14"/>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6" tint="0.39994506668294322"/>
        </patternFill>
      </fill>
    </dxf>
    <dxf>
      <fill>
        <patternFill>
          <bgColor theme="4"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4" tint="0.39994506668294322"/>
        </patternFill>
      </fill>
    </dxf>
    <dxf>
      <fill>
        <patternFill>
          <bgColor theme="4" tint="0.39994506668294322"/>
        </patternFill>
      </fill>
    </dxf>
    <dxf>
      <fill>
        <patternFill>
          <bgColor theme="6" tint="0.39994506668294322"/>
        </patternFill>
      </fill>
    </dxf>
    <dxf>
      <fill>
        <patternFill>
          <bgColor theme="6" tint="0.39994506668294322"/>
        </patternFill>
      </fill>
    </dxf>
    <dxf>
      <fill>
        <patternFill>
          <bgColor theme="4" tint="0.39994506668294322"/>
        </patternFill>
      </fill>
    </dxf>
    <dxf>
      <fill>
        <patternFill>
          <bgColor theme="4"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4" tint="0.39994506668294322"/>
        </patternFill>
      </fill>
    </dxf>
    <dxf>
      <fill>
        <patternFill>
          <bgColor theme="4" tint="0.39994506668294322"/>
        </patternFill>
      </fill>
    </dxf>
    <dxf>
      <fill>
        <patternFill>
          <bgColor theme="6" tint="0.39994506668294322"/>
        </patternFill>
      </fill>
    </dxf>
    <dxf>
      <fill>
        <patternFill>
          <bgColor theme="6" tint="0.39994506668294322"/>
        </patternFill>
      </fill>
    </dxf>
    <dxf>
      <fill>
        <patternFill>
          <bgColor theme="4" tint="0.39994506668294322"/>
        </patternFill>
      </fill>
    </dxf>
    <dxf>
      <fill>
        <patternFill>
          <bgColor theme="4" tint="0.39994506668294322"/>
        </patternFill>
      </fill>
    </dxf>
    <dxf>
      <fill>
        <patternFill>
          <bgColor theme="6" tint="0.39994506668294322"/>
        </patternFill>
      </fill>
    </dxf>
    <dxf>
      <font>
        <color rgb="FF9C0006"/>
      </font>
      <fill>
        <patternFill>
          <bgColor rgb="FFFFC7CE"/>
        </patternFill>
      </fill>
    </dxf>
    <dxf>
      <font>
        <color rgb="FF9C0006"/>
      </font>
      <fill>
        <patternFill>
          <bgColor rgb="FFFFC7CE"/>
        </patternFill>
      </fill>
    </dxf>
    <dxf>
      <fill>
        <patternFill>
          <bgColor theme="6" tint="0.39994506668294322"/>
        </patternFill>
      </fill>
    </dxf>
    <dxf>
      <fill>
        <patternFill>
          <bgColor theme="6" tint="0.39994506668294322"/>
        </patternFill>
      </fill>
    </dxf>
    <dxf>
      <fill>
        <patternFill>
          <bgColor theme="4" tint="0.39994506668294322"/>
        </patternFill>
      </fill>
    </dxf>
    <dxf>
      <fill>
        <patternFill>
          <bgColor theme="4" tint="0.39994506668294322"/>
        </patternFill>
      </fill>
    </dxf>
    <dxf>
      <fill>
        <patternFill>
          <bgColor theme="6"/>
        </patternFill>
      </fill>
    </dxf>
    <dxf>
      <fill>
        <patternFill>
          <bgColor theme="6"/>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8.xml"/><Relationship Id="rId39" Type="http://schemas.openxmlformats.org/officeDocument/2006/relationships/pivotCacheDefinition" Target="pivotCache/pivotCacheDefinition21.xml"/><Relationship Id="rId21" Type="http://schemas.openxmlformats.org/officeDocument/2006/relationships/pivotCacheDefinition" Target="pivotCache/pivotCacheDefinition3.xml"/><Relationship Id="rId34" Type="http://schemas.openxmlformats.org/officeDocument/2006/relationships/pivotCacheDefinition" Target="pivotCache/pivotCacheDefinition16.xml"/><Relationship Id="rId42" Type="http://schemas.openxmlformats.org/officeDocument/2006/relationships/pivotCacheDefinition" Target="pivotCache/pivotCacheDefinition24.xml"/><Relationship Id="rId47" Type="http://schemas.openxmlformats.org/officeDocument/2006/relationships/pivotCacheDefinition" Target="pivotCache/pivotCacheDefinition29.xml"/><Relationship Id="rId50" Type="http://schemas.openxmlformats.org/officeDocument/2006/relationships/pivotCacheDefinition" Target="pivotCache/pivotCacheDefinition32.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1.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openxmlformats.org/officeDocument/2006/relationships/pivotCacheDefinition" Target="pivotCache/pivotCacheDefinition14.xml"/><Relationship Id="rId37" Type="http://schemas.openxmlformats.org/officeDocument/2006/relationships/pivotCacheDefinition" Target="pivotCache/pivotCacheDefinition19.xml"/><Relationship Id="rId40" Type="http://schemas.openxmlformats.org/officeDocument/2006/relationships/pivotCacheDefinition" Target="pivotCache/pivotCacheDefinition22.xml"/><Relationship Id="rId45" Type="http://schemas.openxmlformats.org/officeDocument/2006/relationships/pivotCacheDefinition" Target="pivotCache/pivotCacheDefinition27.xml"/><Relationship Id="rId53" Type="http://schemas.openxmlformats.org/officeDocument/2006/relationships/pivotCacheDefinition" Target="pivotCache/pivotCacheDefinition35.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pivotCacheDefinition" Target="pivotCache/pivotCacheDefinition9.xml"/><Relationship Id="rId30" Type="http://schemas.openxmlformats.org/officeDocument/2006/relationships/pivotCacheDefinition" Target="pivotCache/pivotCacheDefinition12.xml"/><Relationship Id="rId35" Type="http://schemas.openxmlformats.org/officeDocument/2006/relationships/pivotCacheDefinition" Target="pivotCache/pivotCacheDefinition17.xml"/><Relationship Id="rId43" Type="http://schemas.openxmlformats.org/officeDocument/2006/relationships/pivotCacheDefinition" Target="pivotCache/pivotCacheDefinition25.xml"/><Relationship Id="rId48" Type="http://schemas.openxmlformats.org/officeDocument/2006/relationships/pivotCacheDefinition" Target="pivotCache/pivotCacheDefinition30.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3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7.xml"/><Relationship Id="rId33" Type="http://schemas.openxmlformats.org/officeDocument/2006/relationships/pivotCacheDefinition" Target="pivotCache/pivotCacheDefinition15.xml"/><Relationship Id="rId38" Type="http://schemas.openxmlformats.org/officeDocument/2006/relationships/pivotCacheDefinition" Target="pivotCache/pivotCacheDefinition20.xml"/><Relationship Id="rId46" Type="http://schemas.openxmlformats.org/officeDocument/2006/relationships/pivotCacheDefinition" Target="pivotCache/pivotCacheDefinition28.xml"/><Relationship Id="rId20" Type="http://schemas.openxmlformats.org/officeDocument/2006/relationships/pivotCacheDefinition" Target="pivotCache/pivotCacheDefinition2.xml"/><Relationship Id="rId41" Type="http://schemas.openxmlformats.org/officeDocument/2006/relationships/pivotCacheDefinition" Target="pivotCache/pivotCacheDefinition23.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openxmlformats.org/officeDocument/2006/relationships/pivotCacheDefinition" Target="pivotCache/pivotCacheDefinition10.xml"/><Relationship Id="rId36" Type="http://schemas.openxmlformats.org/officeDocument/2006/relationships/pivotCacheDefinition" Target="pivotCache/pivotCacheDefinition18.xml"/><Relationship Id="rId49" Type="http://schemas.openxmlformats.org/officeDocument/2006/relationships/pivotCacheDefinition" Target="pivotCache/pivotCacheDefinition31.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pivotCacheDefinition" Target="pivotCache/pivotCacheDefinition13.xml"/><Relationship Id="rId44" Type="http://schemas.openxmlformats.org/officeDocument/2006/relationships/pivotCacheDefinition" Target="pivotCache/pivotCacheDefinition26.xml"/><Relationship Id="rId52" Type="http://schemas.openxmlformats.org/officeDocument/2006/relationships/pivotCacheDefinition" Target="pivotCache/pivotCacheDefinition34.xml"/></Relationships>
</file>

<file path=xl/diagrams/_rels/data1.xml.rels><?xml version="1.0" encoding="UTF-8" standalone="yes"?>
<Relationships xmlns="http://schemas.openxmlformats.org/package/2006/relationships"><Relationship Id="rId3" Type="http://schemas.openxmlformats.org/officeDocument/2006/relationships/hyperlink" Target="#HC!A1"/><Relationship Id="rId2" Type="http://schemas.openxmlformats.org/officeDocument/2006/relationships/hyperlink" Target="#DS!A1"/><Relationship Id="rId1" Type="http://schemas.openxmlformats.org/officeDocument/2006/relationships/hyperlink" Target="#HNG&#272;!A1"/><Relationship Id="rId5" Type="http://schemas.openxmlformats.org/officeDocument/2006/relationships/hyperlink" Target="#L&#272;!A1"/><Relationship Id="rId4" Type="http://schemas.openxmlformats.org/officeDocument/2006/relationships/hyperlink" Target="#KDTM!A1"/></Relationships>
</file>

<file path=xl/diagrams/_rels/data2.xml.rels><?xml version="1.0" encoding="UTF-8" standalone="yes"?>
<Relationships xmlns="http://schemas.openxmlformats.org/package/2006/relationships"><Relationship Id="rId3" Type="http://schemas.openxmlformats.org/officeDocument/2006/relationships/hyperlink" Target="#'Th&#7889;ng k&#234; HC th&#225;ng'!A1"/><Relationship Id="rId2" Type="http://schemas.openxmlformats.org/officeDocument/2006/relationships/hyperlink" Target="#'Th&#7889;ng k&#234; DS th&#225;ng'!A1"/><Relationship Id="rId1" Type="http://schemas.openxmlformats.org/officeDocument/2006/relationships/hyperlink" Target="#'Th&#7889;ng k&#234; HNG&#272; th&#225;ng'!A1"/><Relationship Id="rId5" Type="http://schemas.openxmlformats.org/officeDocument/2006/relationships/hyperlink" Target="#'Th&#7889;ng k&#234; L&#272; th&#225;ng'!A1"/><Relationship Id="rId4" Type="http://schemas.openxmlformats.org/officeDocument/2006/relationships/hyperlink" Target="#'Th&#7889;ng k&#234; KDTM th&#225;ng'!A1"/></Relationships>
</file>

<file path=xl/diagrams/_rels/data3.xml.rels><?xml version="1.0" encoding="UTF-8" standalone="yes"?>
<Relationships xmlns="http://schemas.openxmlformats.org/package/2006/relationships"><Relationship Id="rId3" Type="http://schemas.openxmlformats.org/officeDocument/2006/relationships/hyperlink" Target="#KDTM!A1"/><Relationship Id="rId2" Type="http://schemas.openxmlformats.org/officeDocument/2006/relationships/hyperlink" Target="#DS!A1"/><Relationship Id="rId1" Type="http://schemas.openxmlformats.org/officeDocument/2006/relationships/hyperlink" Target="#'Trang ch&#7911;'!A1"/><Relationship Id="rId5" Type="http://schemas.openxmlformats.org/officeDocument/2006/relationships/hyperlink" Target="#HC!A1"/><Relationship Id="rId4" Type="http://schemas.openxmlformats.org/officeDocument/2006/relationships/hyperlink" Target="#L&#272;!A1"/></Relationships>
</file>

<file path=xl/diagrams/_rels/data4.xml.rels><?xml version="1.0" encoding="UTF-8" standalone="yes"?>
<Relationships xmlns="http://schemas.openxmlformats.org/package/2006/relationships"><Relationship Id="rId3" Type="http://schemas.openxmlformats.org/officeDocument/2006/relationships/hyperlink" Target="#KDTM!A1"/><Relationship Id="rId2" Type="http://schemas.openxmlformats.org/officeDocument/2006/relationships/hyperlink" Target="#HNG&#272;!A1"/><Relationship Id="rId1" Type="http://schemas.openxmlformats.org/officeDocument/2006/relationships/hyperlink" Target="#'Trang ch&#7911;'!A1"/><Relationship Id="rId5" Type="http://schemas.openxmlformats.org/officeDocument/2006/relationships/hyperlink" Target="#HC!A1"/><Relationship Id="rId4" Type="http://schemas.openxmlformats.org/officeDocument/2006/relationships/hyperlink" Target="#L&#272;!A1"/></Relationships>
</file>

<file path=xl/diagrams/_rels/data5.xml.rels><?xml version="1.0" encoding="UTF-8" standalone="yes"?>
<Relationships xmlns="http://schemas.openxmlformats.org/package/2006/relationships"><Relationship Id="rId3" Type="http://schemas.openxmlformats.org/officeDocument/2006/relationships/hyperlink" Target="#DS!A1"/><Relationship Id="rId2" Type="http://schemas.openxmlformats.org/officeDocument/2006/relationships/hyperlink" Target="#HNG&#272;!A1"/><Relationship Id="rId1" Type="http://schemas.openxmlformats.org/officeDocument/2006/relationships/hyperlink" Target="#'Trang ch&#7911;'!A1"/><Relationship Id="rId5" Type="http://schemas.openxmlformats.org/officeDocument/2006/relationships/hyperlink" Target="#HC!A1"/><Relationship Id="rId4" Type="http://schemas.openxmlformats.org/officeDocument/2006/relationships/hyperlink" Target="#L&#272;!A1"/></Relationships>
</file>

<file path=xl/diagrams/_rels/data6.xml.rels><?xml version="1.0" encoding="UTF-8" standalone="yes"?>
<Relationships xmlns="http://schemas.openxmlformats.org/package/2006/relationships"><Relationship Id="rId3" Type="http://schemas.openxmlformats.org/officeDocument/2006/relationships/hyperlink" Target="#DS!A1"/><Relationship Id="rId2" Type="http://schemas.openxmlformats.org/officeDocument/2006/relationships/hyperlink" Target="#HNG&#272;!A1"/><Relationship Id="rId1" Type="http://schemas.openxmlformats.org/officeDocument/2006/relationships/hyperlink" Target="#'Trang ch&#7911;'!A1"/><Relationship Id="rId5" Type="http://schemas.openxmlformats.org/officeDocument/2006/relationships/hyperlink" Target="#HC!A1"/><Relationship Id="rId4" Type="http://schemas.openxmlformats.org/officeDocument/2006/relationships/hyperlink" Target="#KDTM!A1"/></Relationships>
</file>

<file path=xl/diagrams/_rels/data7.xml.rels><?xml version="1.0" encoding="UTF-8" standalone="yes"?>
<Relationships xmlns="http://schemas.openxmlformats.org/package/2006/relationships"><Relationship Id="rId3" Type="http://schemas.openxmlformats.org/officeDocument/2006/relationships/hyperlink" Target="#KDTM!A1"/><Relationship Id="rId2" Type="http://schemas.openxmlformats.org/officeDocument/2006/relationships/hyperlink" Target="#HNG&#272;!A1"/><Relationship Id="rId1" Type="http://schemas.openxmlformats.org/officeDocument/2006/relationships/hyperlink" Target="#'Trang ch&#7911;'!A1"/><Relationship Id="rId4" Type="http://schemas.openxmlformats.org/officeDocument/2006/relationships/hyperlink" Target="#L&#272;!A1"/></Relationships>
</file>

<file path=xl/diagrams/_rels/data8.xml.rels><?xml version="1.0" encoding="UTF-8" standalone="yes"?>
<Relationships xmlns="http://schemas.openxmlformats.org/package/2006/relationships"><Relationship Id="rId3" Type="http://schemas.openxmlformats.org/officeDocument/2006/relationships/hyperlink" Target="#'Th&#7889;ng k&#234; KDTM th&#225;ng'!A1"/><Relationship Id="rId2" Type="http://schemas.openxmlformats.org/officeDocument/2006/relationships/hyperlink" Target="#'Th&#7889;ng k&#234; DS th&#225;ng'!A1"/><Relationship Id="rId1" Type="http://schemas.openxmlformats.org/officeDocument/2006/relationships/hyperlink" Target="#'Trang ch&#7911;'!A1"/><Relationship Id="rId5" Type="http://schemas.openxmlformats.org/officeDocument/2006/relationships/hyperlink" Target="#'Th&#7889;ng k&#234; HC th&#225;ng'!A1"/><Relationship Id="rId4" Type="http://schemas.openxmlformats.org/officeDocument/2006/relationships/hyperlink" Target="#'Th&#7889;ng k&#234; L&#272; th&#225;ng'!A1"/></Relationships>
</file>

<file path=xl/diagrams/_rels/data9.xml.rels><?xml version="1.0" encoding="UTF-8" standalone="yes"?>
<Relationships xmlns="http://schemas.openxmlformats.org/package/2006/relationships"><Relationship Id="rId3" Type="http://schemas.openxmlformats.org/officeDocument/2006/relationships/hyperlink" Target="#'Th&#7889;ng k&#234; KDTM th&#225;ng'!A1"/><Relationship Id="rId2" Type="http://schemas.openxmlformats.org/officeDocument/2006/relationships/hyperlink" Target="#'Th&#7889;ng k&#234; HNG&#272; th&#225;ng'!A1"/><Relationship Id="rId1" Type="http://schemas.openxmlformats.org/officeDocument/2006/relationships/hyperlink" Target="#'Trang ch&#7911;'!A1"/><Relationship Id="rId5" Type="http://schemas.openxmlformats.org/officeDocument/2006/relationships/hyperlink" Target="#'Th&#7889;ng k&#234; HC th&#225;ng'!A1"/><Relationship Id="rId4" Type="http://schemas.openxmlformats.org/officeDocument/2006/relationships/hyperlink" Target="#'Th&#7889;ng k&#234; L&#272; th&#225;ng'!A1"/></Relationships>
</file>

<file path=xl/diagrams/_rels/data10.xml.rels><?xml version="1.0" encoding="UTF-8" standalone="yes"?>
<Relationships xmlns="http://schemas.openxmlformats.org/package/2006/relationships"><Relationship Id="rId3" Type="http://schemas.openxmlformats.org/officeDocument/2006/relationships/hyperlink" Target="#'Th&#7889;ng k&#234; DS th&#225;ng'!A1"/><Relationship Id="rId2" Type="http://schemas.openxmlformats.org/officeDocument/2006/relationships/hyperlink" Target="#'Th&#7889;ng k&#234; HNG&#272; th&#225;ng'!A1"/><Relationship Id="rId1" Type="http://schemas.openxmlformats.org/officeDocument/2006/relationships/hyperlink" Target="#'Trang ch&#7911;'!A1"/><Relationship Id="rId5" Type="http://schemas.openxmlformats.org/officeDocument/2006/relationships/hyperlink" Target="#'Th&#7889;ng k&#234; HC th&#225;ng'!A1"/><Relationship Id="rId4" Type="http://schemas.openxmlformats.org/officeDocument/2006/relationships/hyperlink" Target="#'Th&#7889;ng k&#234; L&#272; th&#225;ng'!A1"/></Relationships>
</file>

<file path=xl/diagrams/_rels/data11.xml.rels><?xml version="1.0" encoding="UTF-8" standalone="yes"?>
<Relationships xmlns="http://schemas.openxmlformats.org/package/2006/relationships"><Relationship Id="rId3" Type="http://schemas.openxmlformats.org/officeDocument/2006/relationships/hyperlink" Target="#'Th&#7889;ng k&#234; DS th&#225;ng'!A1"/><Relationship Id="rId2" Type="http://schemas.openxmlformats.org/officeDocument/2006/relationships/hyperlink" Target="#'Th&#7889;ng k&#234; HNG&#272; th&#225;ng'!A1"/><Relationship Id="rId1" Type="http://schemas.openxmlformats.org/officeDocument/2006/relationships/hyperlink" Target="#'Trang ch&#7911;'!A1"/><Relationship Id="rId5" Type="http://schemas.openxmlformats.org/officeDocument/2006/relationships/hyperlink" Target="#'Th&#7889;ng k&#234; HC th&#225;ng'!A1"/><Relationship Id="rId4" Type="http://schemas.openxmlformats.org/officeDocument/2006/relationships/hyperlink" Target="#'Th&#7889;ng k&#234; KDTM th&#225;ng'!A1"/></Relationships>
</file>

<file path=xl/diagrams/_rels/data12.xml.rels><?xml version="1.0" encoding="UTF-8" standalone="yes"?>
<Relationships xmlns="http://schemas.openxmlformats.org/package/2006/relationships"><Relationship Id="rId3" Type="http://schemas.openxmlformats.org/officeDocument/2006/relationships/hyperlink" Target="#'Th&#7889;ng k&#234; DS th&#225;ng'!A1"/><Relationship Id="rId2" Type="http://schemas.openxmlformats.org/officeDocument/2006/relationships/hyperlink" Target="#'Th&#7889;ng k&#234; HNG&#272; th&#225;ng'!A1"/><Relationship Id="rId1" Type="http://schemas.openxmlformats.org/officeDocument/2006/relationships/hyperlink" Target="#'Trang ch&#7911;'!A1"/><Relationship Id="rId5" Type="http://schemas.openxmlformats.org/officeDocument/2006/relationships/hyperlink" Target="#'Th&#7889;ng k&#234; L&#272; th&#225;ng'!A1"/><Relationship Id="rId4" Type="http://schemas.openxmlformats.org/officeDocument/2006/relationships/hyperlink" Target="#'Th&#7889;ng k&#234; KDTM th&#225;ng'!A1"/></Relationships>
</file>

<file path=xl/diagrams/_rels/data13.xml.rels><?xml version="1.0" encoding="UTF-8" standalone="yes"?>
<Relationships xmlns="http://schemas.openxmlformats.org/package/2006/relationships"><Relationship Id="rId3" Type="http://schemas.openxmlformats.org/officeDocument/2006/relationships/hyperlink" Target="#'Th&#7889;ng k&#234; KDTM tu&#7847;n'!A1"/><Relationship Id="rId2" Type="http://schemas.openxmlformats.org/officeDocument/2006/relationships/hyperlink" Target="#'Th&#7889;ng k&#234; DS tu&#7847;n'!A1"/><Relationship Id="rId1" Type="http://schemas.openxmlformats.org/officeDocument/2006/relationships/hyperlink" Target="#'Trang ch&#7911;'!A1"/><Relationship Id="rId5" Type="http://schemas.openxmlformats.org/officeDocument/2006/relationships/hyperlink" Target="#'Th&#7889;ng k&#234; HC tu&#7847;n'!A1"/><Relationship Id="rId4" Type="http://schemas.openxmlformats.org/officeDocument/2006/relationships/hyperlink" Target="#'Th&#7889;ng k&#234; L&#272; tu&#7847;n'!A1"/></Relationships>
</file>

<file path=xl/diagrams/_rels/data14.xml.rels><?xml version="1.0" encoding="UTF-8" standalone="yes"?>
<Relationships xmlns="http://schemas.openxmlformats.org/package/2006/relationships"><Relationship Id="rId3" Type="http://schemas.openxmlformats.org/officeDocument/2006/relationships/hyperlink" Target="#'Th&#7889;ng k&#234; KDTM tu&#7847;n'!A1"/><Relationship Id="rId2" Type="http://schemas.openxmlformats.org/officeDocument/2006/relationships/hyperlink" Target="#'Th&#7889;ng k&#234; HNG&#272; tu&#7847;n'!A1"/><Relationship Id="rId1" Type="http://schemas.openxmlformats.org/officeDocument/2006/relationships/hyperlink" Target="#'Trang ch&#7911;'!A1"/><Relationship Id="rId5" Type="http://schemas.openxmlformats.org/officeDocument/2006/relationships/hyperlink" Target="#'Th&#7889;ng k&#234; HC tu&#7847;n'!A1"/><Relationship Id="rId4" Type="http://schemas.openxmlformats.org/officeDocument/2006/relationships/hyperlink" Target="#'Th&#7889;ng k&#234; L&#272; tu&#7847;n'!A1"/></Relationships>
</file>

<file path=xl/diagrams/_rels/data15.xml.rels><?xml version="1.0" encoding="UTF-8" standalone="yes"?>
<Relationships xmlns="http://schemas.openxmlformats.org/package/2006/relationships"><Relationship Id="rId3" Type="http://schemas.openxmlformats.org/officeDocument/2006/relationships/hyperlink" Target="#DS!A1"/><Relationship Id="rId2" Type="http://schemas.openxmlformats.org/officeDocument/2006/relationships/hyperlink" Target="#'Th&#7889;ng k&#234; HNG&#272; tu&#7847;n'!A1"/><Relationship Id="rId1" Type="http://schemas.openxmlformats.org/officeDocument/2006/relationships/hyperlink" Target="#'Trang ch&#7911;'!A1"/><Relationship Id="rId5" Type="http://schemas.openxmlformats.org/officeDocument/2006/relationships/hyperlink" Target="#'Th&#7889;ng k&#234; HC tu&#7847;n'!A1"/><Relationship Id="rId4" Type="http://schemas.openxmlformats.org/officeDocument/2006/relationships/hyperlink" Target="#'Th&#7889;ng k&#234; L&#272; tu&#7847;n'!A1"/></Relationships>
</file>

<file path=xl/diagrams/_rels/data16.xml.rels><?xml version="1.0" encoding="UTF-8" standalone="yes"?>
<Relationships xmlns="http://schemas.openxmlformats.org/package/2006/relationships"><Relationship Id="rId3" Type="http://schemas.openxmlformats.org/officeDocument/2006/relationships/hyperlink" Target="#'Th&#7889;ng k&#234; DS tu&#7847;n'!A1"/><Relationship Id="rId2" Type="http://schemas.openxmlformats.org/officeDocument/2006/relationships/hyperlink" Target="#'Th&#7889;ng k&#234; HNG&#272; tu&#7847;n'!A1"/><Relationship Id="rId1" Type="http://schemas.openxmlformats.org/officeDocument/2006/relationships/hyperlink" Target="#'Trang ch&#7911;'!A1"/><Relationship Id="rId5" Type="http://schemas.openxmlformats.org/officeDocument/2006/relationships/hyperlink" Target="#'Th&#7889;ng k&#234; HC tu&#7847;n'!A1"/><Relationship Id="rId4" Type="http://schemas.openxmlformats.org/officeDocument/2006/relationships/hyperlink" Target="#'Th&#7889;ng k&#234; KDTM tu&#7847;n'!A1"/></Relationships>
</file>

<file path=xl/diagrams/_rels/data17.xml.rels><?xml version="1.0" encoding="UTF-8" standalone="yes"?>
<Relationships xmlns="http://schemas.openxmlformats.org/package/2006/relationships"><Relationship Id="rId3" Type="http://schemas.openxmlformats.org/officeDocument/2006/relationships/hyperlink" Target="#'Th&#7889;ng k&#234; DS tu&#7847;n'!A1"/><Relationship Id="rId2" Type="http://schemas.openxmlformats.org/officeDocument/2006/relationships/hyperlink" Target="#'Th&#7889;ng k&#234; HNG&#272; tu&#7847;n'!A1"/><Relationship Id="rId1" Type="http://schemas.openxmlformats.org/officeDocument/2006/relationships/hyperlink" Target="#'Trang ch&#7911;'!A1"/><Relationship Id="rId5" Type="http://schemas.openxmlformats.org/officeDocument/2006/relationships/hyperlink" Target="#'Th&#7889;ng k&#234; L&#272; tu&#7847;n'!A1"/><Relationship Id="rId4" Type="http://schemas.openxmlformats.org/officeDocument/2006/relationships/hyperlink" Target="#'Th&#7889;ng k&#234; KDTM tu&#7847;n'!A1"/></Relationships>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8.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9.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0.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3.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4.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17.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F7210800-DEA8-4B31-A39C-2CAD8A4B45B8}" type="doc">
      <dgm:prSet loTypeId="urn:microsoft.com/office/officeart/2005/8/layout/hierarchy3" loCatId="hierarchy" qsTypeId="urn:microsoft.com/office/officeart/2005/8/quickstyle/3d1" qsCatId="3D" csTypeId="urn:microsoft.com/office/officeart/2005/8/colors/accent1_2" csCatId="accent1" phldr="1"/>
      <dgm:spPr/>
      <dgm:t>
        <a:bodyPr/>
        <a:lstStyle/>
        <a:p>
          <a:endParaRPr lang="en-US"/>
        </a:p>
      </dgm:t>
    </dgm:pt>
    <dgm:pt modelId="{9B2E827F-DB8D-43D9-A0D0-3E53D13D921A}">
      <dgm:prSet phldrT="[Text]"/>
      <dgm:spPr/>
      <dgm:t>
        <a:bodyPr/>
        <a:lstStyle/>
        <a:p>
          <a:r>
            <a:rPr lang="en-US">
              <a:latin typeface="Times New Roman" panose="02020603050405020304" pitchFamily="18" charset="0"/>
              <a:cs typeface="Times New Roman" panose="02020603050405020304" pitchFamily="18" charset="0"/>
            </a:rPr>
            <a:t>Cập nhật số liệu</a:t>
          </a:r>
        </a:p>
      </dgm:t>
    </dgm:pt>
    <dgm:pt modelId="{C88E190F-E4B5-4E33-B9D9-419F21197769}" type="parTrans" cxnId="{0696CB85-6EBF-44A1-8A00-5FDA1DDFE9AA}">
      <dgm:prSet/>
      <dgm:spPr/>
      <dgm:t>
        <a:bodyPr/>
        <a:lstStyle/>
        <a:p>
          <a:endParaRPr lang="en-US"/>
        </a:p>
      </dgm:t>
    </dgm:pt>
    <dgm:pt modelId="{078C00D1-1917-43E6-B6DB-9C21046CD699}" type="sibTrans" cxnId="{0696CB85-6EBF-44A1-8A00-5FDA1DDFE9AA}">
      <dgm:prSet/>
      <dgm:spPr/>
      <dgm:t>
        <a:bodyPr/>
        <a:lstStyle/>
        <a:p>
          <a:endParaRPr lang="en-US"/>
        </a:p>
      </dgm:t>
    </dgm:pt>
    <dgm:pt modelId="{E2329890-6292-4F6D-A8EA-24B4AF8D57AB}">
      <dgm:prSet phldrT="[Text]"/>
      <dgm:spPr/>
      <dgm:t>
        <a:bodyPr/>
        <a:lstStyle/>
        <a:p>
          <a:r>
            <a:rPr lang="en-US">
              <a:latin typeface="Times New Roman" panose="02020603050405020304" pitchFamily="18" charset="0"/>
              <a:cs typeface="Times New Roman" panose="02020603050405020304" pitchFamily="18" charset="0"/>
            </a:rPr>
            <a:t>HÔN NHÂN VÀ GIA ĐÌNH</a:t>
          </a:r>
        </a:p>
      </dgm:t>
      <dgm:extLst>
        <a:ext uri="{E40237B7-FDA0-4F09-8148-C483321AD2D9}">
          <dgm14:cNvPr xmlns:dgm14="http://schemas.microsoft.com/office/drawing/2010/diagram" id="0" name="">
            <a:hlinkClick xmlns:r="http://schemas.openxmlformats.org/officeDocument/2006/relationships" r:id="rId1"/>
          </dgm14:cNvPr>
        </a:ext>
      </dgm:extLst>
    </dgm:pt>
    <dgm:pt modelId="{4EE10101-D2C3-4ED6-99FD-287990AF8838}" type="parTrans" cxnId="{BE99AAB0-E3D3-48F9-B67B-3C5FAE350F32}">
      <dgm:prSet/>
      <dgm:spPr/>
      <dgm:t>
        <a:bodyPr/>
        <a:lstStyle/>
        <a:p>
          <a:endParaRPr lang="en-US"/>
        </a:p>
      </dgm:t>
    </dgm:pt>
    <dgm:pt modelId="{7378F979-0E1D-4180-B083-02042A290E41}" type="sibTrans" cxnId="{BE99AAB0-E3D3-48F9-B67B-3C5FAE350F32}">
      <dgm:prSet/>
      <dgm:spPr/>
      <dgm:t>
        <a:bodyPr/>
        <a:lstStyle/>
        <a:p>
          <a:endParaRPr lang="en-US"/>
        </a:p>
      </dgm:t>
    </dgm:pt>
    <dgm:pt modelId="{F31C338D-131F-4788-A367-5B3954E5DA56}">
      <dgm:prSet phldrT="[Text]"/>
      <dgm:spPr/>
      <dgm:t>
        <a:bodyPr/>
        <a:lstStyle/>
        <a:p>
          <a:r>
            <a:rPr lang="en-US">
              <a:latin typeface="Times New Roman" panose="02020603050405020304" pitchFamily="18" charset="0"/>
              <a:cs typeface="Times New Roman" panose="02020603050405020304" pitchFamily="18" charset="0"/>
            </a:rPr>
            <a:t>DÂN SỰ</a:t>
          </a:r>
        </a:p>
      </dgm:t>
      <dgm:extLst>
        <a:ext uri="{E40237B7-FDA0-4F09-8148-C483321AD2D9}">
          <dgm14:cNvPr xmlns:dgm14="http://schemas.microsoft.com/office/drawing/2010/diagram" id="0" name="">
            <a:hlinkClick xmlns:r="http://schemas.openxmlformats.org/officeDocument/2006/relationships" r:id="rId2"/>
          </dgm14:cNvPr>
        </a:ext>
      </dgm:extLst>
    </dgm:pt>
    <dgm:pt modelId="{8E2999A3-93D4-40BD-A1C8-BF40179D9A8D}" type="parTrans" cxnId="{B00B8012-E3A8-41E7-BA9E-35AF82E82486}">
      <dgm:prSet/>
      <dgm:spPr/>
      <dgm:t>
        <a:bodyPr/>
        <a:lstStyle/>
        <a:p>
          <a:endParaRPr lang="en-US"/>
        </a:p>
      </dgm:t>
    </dgm:pt>
    <dgm:pt modelId="{993DB8EE-418F-4AD9-A499-18427AAE419E}" type="sibTrans" cxnId="{B00B8012-E3A8-41E7-BA9E-35AF82E82486}">
      <dgm:prSet/>
      <dgm:spPr/>
      <dgm:t>
        <a:bodyPr/>
        <a:lstStyle/>
        <a:p>
          <a:endParaRPr lang="en-US"/>
        </a:p>
      </dgm:t>
    </dgm:pt>
    <dgm:pt modelId="{A9A63A66-FDE8-4F0E-9F61-97F437ADED05}">
      <dgm:prSet phldrT="[Text]"/>
      <dgm:spPr/>
      <dgm:t>
        <a:bodyPr/>
        <a:lstStyle/>
        <a:p>
          <a:r>
            <a:rPr lang="en-US">
              <a:latin typeface="Times New Roman" panose="02020603050405020304" pitchFamily="18" charset="0"/>
              <a:cs typeface="Times New Roman" panose="02020603050405020304" pitchFamily="18" charset="0"/>
            </a:rPr>
            <a:t>HÀNH CHÍNH</a:t>
          </a:r>
        </a:p>
      </dgm:t>
      <dgm:extLst>
        <a:ext uri="{E40237B7-FDA0-4F09-8148-C483321AD2D9}">
          <dgm14:cNvPr xmlns:dgm14="http://schemas.microsoft.com/office/drawing/2010/diagram" id="0" name="">
            <a:hlinkClick xmlns:r="http://schemas.openxmlformats.org/officeDocument/2006/relationships" r:id="rId3"/>
          </dgm14:cNvPr>
        </a:ext>
      </dgm:extLst>
    </dgm:pt>
    <dgm:pt modelId="{C8EF6540-945F-4ADA-A3AF-2C4D18C39AB5}" type="parTrans" cxnId="{D1FB9781-4678-438F-B3F3-D94ABB690CEF}">
      <dgm:prSet/>
      <dgm:spPr/>
      <dgm:t>
        <a:bodyPr/>
        <a:lstStyle/>
        <a:p>
          <a:endParaRPr lang="en-US"/>
        </a:p>
      </dgm:t>
    </dgm:pt>
    <dgm:pt modelId="{E6AF9651-9FB5-40F6-9BB9-9100F8E44DAD}" type="sibTrans" cxnId="{D1FB9781-4678-438F-B3F3-D94ABB690CEF}">
      <dgm:prSet/>
      <dgm:spPr/>
      <dgm:t>
        <a:bodyPr/>
        <a:lstStyle/>
        <a:p>
          <a:endParaRPr lang="en-US"/>
        </a:p>
      </dgm:t>
    </dgm:pt>
    <dgm:pt modelId="{DE7149DC-1A03-4241-8B99-E9423AD1374E}">
      <dgm:prSet phldrT="[Text]"/>
      <dgm:spPr/>
      <dgm:t>
        <a:bodyPr/>
        <a:lstStyle/>
        <a:p>
          <a:r>
            <a:rPr lang="en-US">
              <a:latin typeface="Times New Roman" panose="02020603050405020304" pitchFamily="18" charset="0"/>
              <a:cs typeface="Times New Roman" panose="02020603050405020304" pitchFamily="18" charset="0"/>
            </a:rPr>
            <a:t>KINH DOANH THƯƠNG MẠI</a:t>
          </a:r>
        </a:p>
      </dgm:t>
      <dgm:extLst>
        <a:ext uri="{E40237B7-FDA0-4F09-8148-C483321AD2D9}">
          <dgm14:cNvPr xmlns:dgm14="http://schemas.microsoft.com/office/drawing/2010/diagram" id="0" name="">
            <a:hlinkClick xmlns:r="http://schemas.openxmlformats.org/officeDocument/2006/relationships" r:id="rId4"/>
          </dgm14:cNvPr>
        </a:ext>
      </dgm:extLst>
    </dgm:pt>
    <dgm:pt modelId="{60B907B1-F685-49A6-8CE2-7E8880424517}" type="parTrans" cxnId="{CCF00064-D402-4802-91BA-EA4A9FBBB556}">
      <dgm:prSet/>
      <dgm:spPr/>
      <dgm:t>
        <a:bodyPr/>
        <a:lstStyle/>
        <a:p>
          <a:endParaRPr lang="en-US"/>
        </a:p>
      </dgm:t>
    </dgm:pt>
    <dgm:pt modelId="{4C69BD40-4BD4-4B24-97A5-DB5FF6F4CB4F}" type="sibTrans" cxnId="{CCF00064-D402-4802-91BA-EA4A9FBBB556}">
      <dgm:prSet/>
      <dgm:spPr/>
      <dgm:t>
        <a:bodyPr/>
        <a:lstStyle/>
        <a:p>
          <a:endParaRPr lang="en-US"/>
        </a:p>
      </dgm:t>
    </dgm:pt>
    <dgm:pt modelId="{EA4773BC-336B-4B29-A29F-61E40E33266C}">
      <dgm:prSet phldrT="[Text]"/>
      <dgm:spPr/>
      <dgm:t>
        <a:bodyPr/>
        <a:lstStyle/>
        <a:p>
          <a:r>
            <a:rPr lang="en-US">
              <a:latin typeface="Times New Roman" panose="02020603050405020304" pitchFamily="18" charset="0"/>
              <a:cs typeface="Times New Roman" panose="02020603050405020304" pitchFamily="18" charset="0"/>
            </a:rPr>
            <a:t>LAO ĐỘNG</a:t>
          </a:r>
        </a:p>
      </dgm:t>
      <dgm:extLst>
        <a:ext uri="{E40237B7-FDA0-4F09-8148-C483321AD2D9}">
          <dgm14:cNvPr xmlns:dgm14="http://schemas.microsoft.com/office/drawing/2010/diagram" id="0" name="">
            <a:hlinkClick xmlns:r="http://schemas.openxmlformats.org/officeDocument/2006/relationships" r:id="rId5"/>
          </dgm14:cNvPr>
        </a:ext>
      </dgm:extLst>
    </dgm:pt>
    <dgm:pt modelId="{212290BB-3464-4E79-A629-C9D2743E06F0}" type="parTrans" cxnId="{0FDE8E2F-6DA1-4C26-946F-70E058CEA7B6}">
      <dgm:prSet/>
      <dgm:spPr/>
      <dgm:t>
        <a:bodyPr/>
        <a:lstStyle/>
        <a:p>
          <a:endParaRPr lang="en-US"/>
        </a:p>
      </dgm:t>
    </dgm:pt>
    <dgm:pt modelId="{B335FD92-C5EF-4485-BC0D-B2446897A3C4}" type="sibTrans" cxnId="{0FDE8E2F-6DA1-4C26-946F-70E058CEA7B6}">
      <dgm:prSet/>
      <dgm:spPr/>
      <dgm:t>
        <a:bodyPr/>
        <a:lstStyle/>
        <a:p>
          <a:endParaRPr lang="en-US"/>
        </a:p>
      </dgm:t>
    </dgm:pt>
    <dgm:pt modelId="{1CEBE599-000D-48D7-9A33-2FE7A62CC4AB}" type="pres">
      <dgm:prSet presAssocID="{F7210800-DEA8-4B31-A39C-2CAD8A4B45B8}" presName="diagram" presStyleCnt="0">
        <dgm:presLayoutVars>
          <dgm:chPref val="1"/>
          <dgm:dir/>
          <dgm:animOne val="branch"/>
          <dgm:animLvl val="lvl"/>
          <dgm:resizeHandles/>
        </dgm:presLayoutVars>
      </dgm:prSet>
      <dgm:spPr/>
    </dgm:pt>
    <dgm:pt modelId="{B9124239-AA40-42E8-9336-350620176785}" type="pres">
      <dgm:prSet presAssocID="{9B2E827F-DB8D-43D9-A0D0-3E53D13D921A}" presName="root" presStyleCnt="0"/>
      <dgm:spPr/>
    </dgm:pt>
    <dgm:pt modelId="{4416F0D9-CDEC-44B4-ACEA-D12E13C2A74E}" type="pres">
      <dgm:prSet presAssocID="{9B2E827F-DB8D-43D9-A0D0-3E53D13D921A}" presName="rootComposite" presStyleCnt="0"/>
      <dgm:spPr/>
    </dgm:pt>
    <dgm:pt modelId="{CB34F1CA-46FC-4E9B-A188-3AE9D303F538}" type="pres">
      <dgm:prSet presAssocID="{9B2E827F-DB8D-43D9-A0D0-3E53D13D921A}" presName="rootText" presStyleLbl="node1" presStyleIdx="0" presStyleCnt="1" custScaleX="352757" custScaleY="151747"/>
      <dgm:spPr/>
    </dgm:pt>
    <dgm:pt modelId="{341C7747-E76B-4AA6-BDF0-C79CE5E009FF}" type="pres">
      <dgm:prSet presAssocID="{9B2E827F-DB8D-43D9-A0D0-3E53D13D921A}" presName="rootConnector" presStyleLbl="node1" presStyleIdx="0" presStyleCnt="1"/>
      <dgm:spPr/>
    </dgm:pt>
    <dgm:pt modelId="{C2F6160E-1E68-4DF7-91D7-3AFE51BC43B6}" type="pres">
      <dgm:prSet presAssocID="{9B2E827F-DB8D-43D9-A0D0-3E53D13D921A}" presName="childShape" presStyleCnt="0"/>
      <dgm:spPr/>
    </dgm:pt>
    <dgm:pt modelId="{DFE9BB07-2864-4397-80C3-CFF3B4BC7F9E}" type="pres">
      <dgm:prSet presAssocID="{4EE10101-D2C3-4ED6-99FD-287990AF8838}" presName="Name13" presStyleLbl="parChTrans1D2" presStyleIdx="0" presStyleCnt="5"/>
      <dgm:spPr/>
    </dgm:pt>
    <dgm:pt modelId="{78105A09-5365-40E0-A08B-B6059863957F}" type="pres">
      <dgm:prSet presAssocID="{E2329890-6292-4F6D-A8EA-24B4AF8D57AB}" presName="childText" presStyleLbl="bgAcc1" presStyleIdx="0" presStyleCnt="5" custScaleX="471071">
        <dgm:presLayoutVars>
          <dgm:bulletEnabled val="1"/>
        </dgm:presLayoutVars>
      </dgm:prSet>
      <dgm:spPr/>
    </dgm:pt>
    <dgm:pt modelId="{71E4ECD9-0DC7-48EA-BB46-DEDD231122DF}" type="pres">
      <dgm:prSet presAssocID="{8E2999A3-93D4-40BD-A1C8-BF40179D9A8D}" presName="Name13" presStyleLbl="parChTrans1D2" presStyleIdx="1" presStyleCnt="5"/>
      <dgm:spPr/>
    </dgm:pt>
    <dgm:pt modelId="{6F9965CF-CAB8-482F-B417-666881F6B24D}" type="pres">
      <dgm:prSet presAssocID="{F31C338D-131F-4788-A367-5B3954E5DA56}" presName="childText" presStyleLbl="bgAcc1" presStyleIdx="1" presStyleCnt="5" custScaleX="472962">
        <dgm:presLayoutVars>
          <dgm:bulletEnabled val="1"/>
        </dgm:presLayoutVars>
      </dgm:prSet>
      <dgm:spPr/>
    </dgm:pt>
    <dgm:pt modelId="{1E3A1C36-53A0-4B0A-A730-535CE110BBA2}" type="pres">
      <dgm:prSet presAssocID="{60B907B1-F685-49A6-8CE2-7E8880424517}" presName="Name13" presStyleLbl="parChTrans1D2" presStyleIdx="2" presStyleCnt="5"/>
      <dgm:spPr/>
    </dgm:pt>
    <dgm:pt modelId="{5C11D74E-E5ED-45A0-A2BB-8AF397AFF51F}" type="pres">
      <dgm:prSet presAssocID="{DE7149DC-1A03-4241-8B99-E9423AD1374E}" presName="childText" presStyleLbl="bgAcc1" presStyleIdx="2" presStyleCnt="5" custScaleX="470801">
        <dgm:presLayoutVars>
          <dgm:bulletEnabled val="1"/>
        </dgm:presLayoutVars>
      </dgm:prSet>
      <dgm:spPr/>
    </dgm:pt>
    <dgm:pt modelId="{823A9FA9-C43D-4C2A-A87F-B0F1786155EE}" type="pres">
      <dgm:prSet presAssocID="{212290BB-3464-4E79-A629-C9D2743E06F0}" presName="Name13" presStyleLbl="parChTrans1D2" presStyleIdx="3" presStyleCnt="5"/>
      <dgm:spPr/>
    </dgm:pt>
    <dgm:pt modelId="{998A3A8D-3936-46B8-8732-75D5A63E291D}" type="pres">
      <dgm:prSet presAssocID="{EA4773BC-336B-4B29-A29F-61E40E33266C}" presName="childText" presStyleLbl="bgAcc1" presStyleIdx="3" presStyleCnt="5" custScaleX="472226">
        <dgm:presLayoutVars>
          <dgm:bulletEnabled val="1"/>
        </dgm:presLayoutVars>
      </dgm:prSet>
      <dgm:spPr/>
    </dgm:pt>
    <dgm:pt modelId="{A268D368-C0BB-4432-B4D4-09BF8110216D}" type="pres">
      <dgm:prSet presAssocID="{C8EF6540-945F-4ADA-A3AF-2C4D18C39AB5}" presName="Name13" presStyleLbl="parChTrans1D2" presStyleIdx="4" presStyleCnt="5"/>
      <dgm:spPr/>
    </dgm:pt>
    <dgm:pt modelId="{25E951F8-0BBA-4744-A956-5989ED1420A2}" type="pres">
      <dgm:prSet presAssocID="{A9A63A66-FDE8-4F0E-9F61-97F437ADED05}" presName="childText" presStyleLbl="bgAcc1" presStyleIdx="4" presStyleCnt="5" custScaleX="475080">
        <dgm:presLayoutVars>
          <dgm:bulletEnabled val="1"/>
        </dgm:presLayoutVars>
      </dgm:prSet>
      <dgm:spPr/>
    </dgm:pt>
  </dgm:ptLst>
  <dgm:cxnLst>
    <dgm:cxn modelId="{B00B8012-E3A8-41E7-BA9E-35AF82E82486}" srcId="{9B2E827F-DB8D-43D9-A0D0-3E53D13D921A}" destId="{F31C338D-131F-4788-A367-5B3954E5DA56}" srcOrd="1" destOrd="0" parTransId="{8E2999A3-93D4-40BD-A1C8-BF40179D9A8D}" sibTransId="{993DB8EE-418F-4AD9-A499-18427AAE419E}"/>
    <dgm:cxn modelId="{3DE21914-47E7-4132-A722-99D4D2DD9E56}" type="presOf" srcId="{A9A63A66-FDE8-4F0E-9F61-97F437ADED05}" destId="{25E951F8-0BBA-4744-A956-5989ED1420A2}" srcOrd="0" destOrd="0" presId="urn:microsoft.com/office/officeart/2005/8/layout/hierarchy3"/>
    <dgm:cxn modelId="{7759C428-0DCD-4A9D-B1E9-67EC3A7F0F99}" type="presOf" srcId="{9B2E827F-DB8D-43D9-A0D0-3E53D13D921A}" destId="{CB34F1CA-46FC-4E9B-A188-3AE9D303F538}" srcOrd="0" destOrd="0" presId="urn:microsoft.com/office/officeart/2005/8/layout/hierarchy3"/>
    <dgm:cxn modelId="{0FDE8E2F-6DA1-4C26-946F-70E058CEA7B6}" srcId="{9B2E827F-DB8D-43D9-A0D0-3E53D13D921A}" destId="{EA4773BC-336B-4B29-A29F-61E40E33266C}" srcOrd="3" destOrd="0" parTransId="{212290BB-3464-4E79-A629-C9D2743E06F0}" sibTransId="{B335FD92-C5EF-4485-BC0D-B2446897A3C4}"/>
    <dgm:cxn modelId="{A53EFF32-E547-4841-9263-031CE0B244FD}" type="presOf" srcId="{C8EF6540-945F-4ADA-A3AF-2C4D18C39AB5}" destId="{A268D368-C0BB-4432-B4D4-09BF8110216D}" srcOrd="0" destOrd="0" presId="urn:microsoft.com/office/officeart/2005/8/layout/hierarchy3"/>
    <dgm:cxn modelId="{CCF00064-D402-4802-91BA-EA4A9FBBB556}" srcId="{9B2E827F-DB8D-43D9-A0D0-3E53D13D921A}" destId="{DE7149DC-1A03-4241-8B99-E9423AD1374E}" srcOrd="2" destOrd="0" parTransId="{60B907B1-F685-49A6-8CE2-7E8880424517}" sibTransId="{4C69BD40-4BD4-4B24-97A5-DB5FF6F4CB4F}"/>
    <dgm:cxn modelId="{D1FB9781-4678-438F-B3F3-D94ABB690CEF}" srcId="{9B2E827F-DB8D-43D9-A0D0-3E53D13D921A}" destId="{A9A63A66-FDE8-4F0E-9F61-97F437ADED05}" srcOrd="4" destOrd="0" parTransId="{C8EF6540-945F-4ADA-A3AF-2C4D18C39AB5}" sibTransId="{E6AF9651-9FB5-40F6-9BB9-9100F8E44DAD}"/>
    <dgm:cxn modelId="{5904D284-AB80-4B7E-A8E2-36C679651ECC}" type="presOf" srcId="{9B2E827F-DB8D-43D9-A0D0-3E53D13D921A}" destId="{341C7747-E76B-4AA6-BDF0-C79CE5E009FF}" srcOrd="1" destOrd="0" presId="urn:microsoft.com/office/officeart/2005/8/layout/hierarchy3"/>
    <dgm:cxn modelId="{0696CB85-6EBF-44A1-8A00-5FDA1DDFE9AA}" srcId="{F7210800-DEA8-4B31-A39C-2CAD8A4B45B8}" destId="{9B2E827F-DB8D-43D9-A0D0-3E53D13D921A}" srcOrd="0" destOrd="0" parTransId="{C88E190F-E4B5-4E33-B9D9-419F21197769}" sibTransId="{078C00D1-1917-43E6-B6DB-9C21046CD699}"/>
    <dgm:cxn modelId="{64871D94-E977-4DF0-9BA7-D922CF3EDD91}" type="presOf" srcId="{8E2999A3-93D4-40BD-A1C8-BF40179D9A8D}" destId="{71E4ECD9-0DC7-48EA-BB46-DEDD231122DF}" srcOrd="0" destOrd="0" presId="urn:microsoft.com/office/officeart/2005/8/layout/hierarchy3"/>
    <dgm:cxn modelId="{BE99AAB0-E3D3-48F9-B67B-3C5FAE350F32}" srcId="{9B2E827F-DB8D-43D9-A0D0-3E53D13D921A}" destId="{E2329890-6292-4F6D-A8EA-24B4AF8D57AB}" srcOrd="0" destOrd="0" parTransId="{4EE10101-D2C3-4ED6-99FD-287990AF8838}" sibTransId="{7378F979-0E1D-4180-B083-02042A290E41}"/>
    <dgm:cxn modelId="{B5FFBCBC-54F8-476F-8737-AFFB6E406FEA}" type="presOf" srcId="{EA4773BC-336B-4B29-A29F-61E40E33266C}" destId="{998A3A8D-3936-46B8-8732-75D5A63E291D}" srcOrd="0" destOrd="0" presId="urn:microsoft.com/office/officeart/2005/8/layout/hierarchy3"/>
    <dgm:cxn modelId="{C594A5BF-F776-48C7-8D81-58B82C6558C4}" type="presOf" srcId="{E2329890-6292-4F6D-A8EA-24B4AF8D57AB}" destId="{78105A09-5365-40E0-A08B-B6059863957F}" srcOrd="0" destOrd="0" presId="urn:microsoft.com/office/officeart/2005/8/layout/hierarchy3"/>
    <dgm:cxn modelId="{674000C0-D78B-4660-BD14-3FC587F664D6}" type="presOf" srcId="{212290BB-3464-4E79-A629-C9D2743E06F0}" destId="{823A9FA9-C43D-4C2A-A87F-B0F1786155EE}" srcOrd="0" destOrd="0" presId="urn:microsoft.com/office/officeart/2005/8/layout/hierarchy3"/>
    <dgm:cxn modelId="{33CA63D0-F2BB-4935-B4B7-1646357C932F}" type="presOf" srcId="{4EE10101-D2C3-4ED6-99FD-287990AF8838}" destId="{DFE9BB07-2864-4397-80C3-CFF3B4BC7F9E}" srcOrd="0" destOrd="0" presId="urn:microsoft.com/office/officeart/2005/8/layout/hierarchy3"/>
    <dgm:cxn modelId="{9F71FEE8-F1BE-4D4E-A388-294544631E63}" type="presOf" srcId="{DE7149DC-1A03-4241-8B99-E9423AD1374E}" destId="{5C11D74E-E5ED-45A0-A2BB-8AF397AFF51F}" srcOrd="0" destOrd="0" presId="urn:microsoft.com/office/officeart/2005/8/layout/hierarchy3"/>
    <dgm:cxn modelId="{A524EDED-875D-4D59-86E7-8E0A0175EE28}" type="presOf" srcId="{F31C338D-131F-4788-A367-5B3954E5DA56}" destId="{6F9965CF-CAB8-482F-B417-666881F6B24D}" srcOrd="0" destOrd="0" presId="urn:microsoft.com/office/officeart/2005/8/layout/hierarchy3"/>
    <dgm:cxn modelId="{69518CF1-4DDF-4C76-9959-549B07F82892}" type="presOf" srcId="{60B907B1-F685-49A6-8CE2-7E8880424517}" destId="{1E3A1C36-53A0-4B0A-A730-535CE110BBA2}" srcOrd="0" destOrd="0" presId="urn:microsoft.com/office/officeart/2005/8/layout/hierarchy3"/>
    <dgm:cxn modelId="{F93872F2-D3FC-4779-B1EE-50C5E63B0FE0}" type="presOf" srcId="{F7210800-DEA8-4B31-A39C-2CAD8A4B45B8}" destId="{1CEBE599-000D-48D7-9A33-2FE7A62CC4AB}" srcOrd="0" destOrd="0" presId="urn:microsoft.com/office/officeart/2005/8/layout/hierarchy3"/>
    <dgm:cxn modelId="{EA81B9E4-B9DC-4BDF-89AE-D40707AB0EEF}" type="presParOf" srcId="{1CEBE599-000D-48D7-9A33-2FE7A62CC4AB}" destId="{B9124239-AA40-42E8-9336-350620176785}" srcOrd="0" destOrd="0" presId="urn:microsoft.com/office/officeart/2005/8/layout/hierarchy3"/>
    <dgm:cxn modelId="{4167B4C1-1123-451B-8614-A35639BFD32B}" type="presParOf" srcId="{B9124239-AA40-42E8-9336-350620176785}" destId="{4416F0D9-CDEC-44B4-ACEA-D12E13C2A74E}" srcOrd="0" destOrd="0" presId="urn:microsoft.com/office/officeart/2005/8/layout/hierarchy3"/>
    <dgm:cxn modelId="{5A2B086B-69E0-4DFB-BC58-861712E8A99E}" type="presParOf" srcId="{4416F0D9-CDEC-44B4-ACEA-D12E13C2A74E}" destId="{CB34F1CA-46FC-4E9B-A188-3AE9D303F538}" srcOrd="0" destOrd="0" presId="urn:microsoft.com/office/officeart/2005/8/layout/hierarchy3"/>
    <dgm:cxn modelId="{1F90CFB2-A15C-4920-B1D9-E124E77BF4E6}" type="presParOf" srcId="{4416F0D9-CDEC-44B4-ACEA-D12E13C2A74E}" destId="{341C7747-E76B-4AA6-BDF0-C79CE5E009FF}" srcOrd="1" destOrd="0" presId="urn:microsoft.com/office/officeart/2005/8/layout/hierarchy3"/>
    <dgm:cxn modelId="{701EF823-4346-4C9C-9B2B-53678696951C}" type="presParOf" srcId="{B9124239-AA40-42E8-9336-350620176785}" destId="{C2F6160E-1E68-4DF7-91D7-3AFE51BC43B6}" srcOrd="1" destOrd="0" presId="urn:microsoft.com/office/officeart/2005/8/layout/hierarchy3"/>
    <dgm:cxn modelId="{82BADF3D-BB72-4DF9-A2B1-CC278AD7E93A}" type="presParOf" srcId="{C2F6160E-1E68-4DF7-91D7-3AFE51BC43B6}" destId="{DFE9BB07-2864-4397-80C3-CFF3B4BC7F9E}" srcOrd="0" destOrd="0" presId="urn:microsoft.com/office/officeart/2005/8/layout/hierarchy3"/>
    <dgm:cxn modelId="{95744BF2-413E-4623-8C9A-C38D69E36F3B}" type="presParOf" srcId="{C2F6160E-1E68-4DF7-91D7-3AFE51BC43B6}" destId="{78105A09-5365-40E0-A08B-B6059863957F}" srcOrd="1" destOrd="0" presId="urn:microsoft.com/office/officeart/2005/8/layout/hierarchy3"/>
    <dgm:cxn modelId="{39ABC0B5-3FA1-4E49-923D-4D61D6FD15DB}" type="presParOf" srcId="{C2F6160E-1E68-4DF7-91D7-3AFE51BC43B6}" destId="{71E4ECD9-0DC7-48EA-BB46-DEDD231122DF}" srcOrd="2" destOrd="0" presId="urn:microsoft.com/office/officeart/2005/8/layout/hierarchy3"/>
    <dgm:cxn modelId="{B43A3F5A-6052-4557-B559-56D7A7BFEF60}" type="presParOf" srcId="{C2F6160E-1E68-4DF7-91D7-3AFE51BC43B6}" destId="{6F9965CF-CAB8-482F-B417-666881F6B24D}" srcOrd="3" destOrd="0" presId="urn:microsoft.com/office/officeart/2005/8/layout/hierarchy3"/>
    <dgm:cxn modelId="{9011883A-9863-4E9E-97EB-2E6B88AFE407}" type="presParOf" srcId="{C2F6160E-1E68-4DF7-91D7-3AFE51BC43B6}" destId="{1E3A1C36-53A0-4B0A-A730-535CE110BBA2}" srcOrd="4" destOrd="0" presId="urn:microsoft.com/office/officeart/2005/8/layout/hierarchy3"/>
    <dgm:cxn modelId="{FBECE0DB-2FD1-43A8-ACD0-F16CC96E133C}" type="presParOf" srcId="{C2F6160E-1E68-4DF7-91D7-3AFE51BC43B6}" destId="{5C11D74E-E5ED-45A0-A2BB-8AF397AFF51F}" srcOrd="5" destOrd="0" presId="urn:microsoft.com/office/officeart/2005/8/layout/hierarchy3"/>
    <dgm:cxn modelId="{9AEAE283-1C71-4865-8F1D-CFF4090C6E19}" type="presParOf" srcId="{C2F6160E-1E68-4DF7-91D7-3AFE51BC43B6}" destId="{823A9FA9-C43D-4C2A-A87F-B0F1786155EE}" srcOrd="6" destOrd="0" presId="urn:microsoft.com/office/officeart/2005/8/layout/hierarchy3"/>
    <dgm:cxn modelId="{48855F8E-B589-436F-8F62-C3C4172C929F}" type="presParOf" srcId="{C2F6160E-1E68-4DF7-91D7-3AFE51BC43B6}" destId="{998A3A8D-3936-46B8-8732-75D5A63E291D}" srcOrd="7" destOrd="0" presId="urn:microsoft.com/office/officeart/2005/8/layout/hierarchy3"/>
    <dgm:cxn modelId="{CBDA24BE-C341-4B0E-BBA8-BCDFCC2F384F}" type="presParOf" srcId="{C2F6160E-1E68-4DF7-91D7-3AFE51BC43B6}" destId="{A268D368-C0BB-4432-B4D4-09BF8110216D}" srcOrd="8" destOrd="0" presId="urn:microsoft.com/office/officeart/2005/8/layout/hierarchy3"/>
    <dgm:cxn modelId="{5E28EA9E-F4D8-4B9C-BF4D-FACBE6B15719}" type="presParOf" srcId="{C2F6160E-1E68-4DF7-91D7-3AFE51BC43B6}" destId="{25E951F8-0BBA-4744-A956-5989ED1420A2}" srcOrd="9" destOrd="0" presId="urn:microsoft.com/office/officeart/2005/8/layout/hierarchy3"/>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F7210800-DEA8-4B31-A39C-2CAD8A4B45B8}" type="doc">
      <dgm:prSet loTypeId="urn:microsoft.com/office/officeart/2005/8/layout/hierarchy3" loCatId="hierarchy" qsTypeId="urn:microsoft.com/office/officeart/2005/8/quickstyle/3d1" qsCatId="3D" csTypeId="urn:microsoft.com/office/officeart/2005/8/colors/accent1_2" csCatId="accent1" phldr="1"/>
      <dgm:spPr/>
      <dgm:t>
        <a:bodyPr/>
        <a:lstStyle/>
        <a:p>
          <a:endParaRPr lang="en-US"/>
        </a:p>
      </dgm:t>
    </dgm:pt>
    <dgm:pt modelId="{9B2E827F-DB8D-43D9-A0D0-3E53D13D921A}">
      <dgm:prSet phldrT="[Text]"/>
      <dgm:spPr/>
      <dgm:t>
        <a:bodyPr/>
        <a:lstStyle/>
        <a:p>
          <a:r>
            <a:rPr lang="en-US">
              <a:latin typeface="Times New Roman" panose="02020603050405020304" pitchFamily="18" charset="0"/>
              <a:cs typeface="Times New Roman" panose="02020603050405020304" pitchFamily="18" charset="0"/>
            </a:rPr>
            <a:t>Thống kê</a:t>
          </a:r>
        </a:p>
      </dgm:t>
    </dgm:pt>
    <dgm:pt modelId="{C88E190F-E4B5-4E33-B9D9-419F21197769}" type="parTrans" cxnId="{0696CB85-6EBF-44A1-8A00-5FDA1DDFE9AA}">
      <dgm:prSet/>
      <dgm:spPr/>
      <dgm:t>
        <a:bodyPr/>
        <a:lstStyle/>
        <a:p>
          <a:endParaRPr lang="en-US"/>
        </a:p>
      </dgm:t>
    </dgm:pt>
    <dgm:pt modelId="{078C00D1-1917-43E6-B6DB-9C21046CD699}" type="sibTrans" cxnId="{0696CB85-6EBF-44A1-8A00-5FDA1DDFE9AA}">
      <dgm:prSet/>
      <dgm:spPr/>
      <dgm:t>
        <a:bodyPr/>
        <a:lstStyle/>
        <a:p>
          <a:endParaRPr lang="en-US"/>
        </a:p>
      </dgm:t>
    </dgm:pt>
    <dgm:pt modelId="{E2329890-6292-4F6D-A8EA-24B4AF8D57AB}">
      <dgm:prSet phldrT="[Text]"/>
      <dgm:spPr/>
      <dgm:t>
        <a:bodyPr/>
        <a:lstStyle/>
        <a:p>
          <a:r>
            <a:rPr lang="en-US">
              <a:latin typeface="Times New Roman" panose="02020603050405020304" pitchFamily="18" charset="0"/>
              <a:cs typeface="Times New Roman" panose="02020603050405020304" pitchFamily="18" charset="0"/>
            </a:rPr>
            <a:t>HÔN NHÂN VÀ GIA ĐÌNH</a:t>
          </a:r>
        </a:p>
      </dgm:t>
      <dgm:extLst>
        <a:ext uri="{E40237B7-FDA0-4F09-8148-C483321AD2D9}">
          <dgm14:cNvPr xmlns:dgm14="http://schemas.microsoft.com/office/drawing/2010/diagram" id="0" name="">
            <a:hlinkClick xmlns:r="http://schemas.openxmlformats.org/officeDocument/2006/relationships" r:id="rId1"/>
          </dgm14:cNvPr>
        </a:ext>
      </dgm:extLst>
    </dgm:pt>
    <dgm:pt modelId="{4EE10101-D2C3-4ED6-99FD-287990AF8838}" type="parTrans" cxnId="{BE99AAB0-E3D3-48F9-B67B-3C5FAE350F32}">
      <dgm:prSet/>
      <dgm:spPr/>
      <dgm:t>
        <a:bodyPr/>
        <a:lstStyle/>
        <a:p>
          <a:endParaRPr lang="en-US"/>
        </a:p>
      </dgm:t>
    </dgm:pt>
    <dgm:pt modelId="{7378F979-0E1D-4180-B083-02042A290E41}" type="sibTrans" cxnId="{BE99AAB0-E3D3-48F9-B67B-3C5FAE350F32}">
      <dgm:prSet/>
      <dgm:spPr/>
      <dgm:t>
        <a:bodyPr/>
        <a:lstStyle/>
        <a:p>
          <a:endParaRPr lang="en-US"/>
        </a:p>
      </dgm:t>
    </dgm:pt>
    <dgm:pt modelId="{F31C338D-131F-4788-A367-5B3954E5DA56}">
      <dgm:prSet phldrT="[Text]"/>
      <dgm:spPr/>
      <dgm:t>
        <a:bodyPr/>
        <a:lstStyle/>
        <a:p>
          <a:r>
            <a:rPr lang="en-US">
              <a:latin typeface="Times New Roman" panose="02020603050405020304" pitchFamily="18" charset="0"/>
              <a:cs typeface="Times New Roman" panose="02020603050405020304" pitchFamily="18" charset="0"/>
            </a:rPr>
            <a:t>DÂN SỰ</a:t>
          </a:r>
        </a:p>
      </dgm:t>
      <dgm:extLst>
        <a:ext uri="{E40237B7-FDA0-4F09-8148-C483321AD2D9}">
          <dgm14:cNvPr xmlns:dgm14="http://schemas.microsoft.com/office/drawing/2010/diagram" id="0" name="">
            <a:hlinkClick xmlns:r="http://schemas.openxmlformats.org/officeDocument/2006/relationships" r:id="rId2"/>
          </dgm14:cNvPr>
        </a:ext>
      </dgm:extLst>
    </dgm:pt>
    <dgm:pt modelId="{8E2999A3-93D4-40BD-A1C8-BF40179D9A8D}" type="parTrans" cxnId="{B00B8012-E3A8-41E7-BA9E-35AF82E82486}">
      <dgm:prSet/>
      <dgm:spPr/>
      <dgm:t>
        <a:bodyPr/>
        <a:lstStyle/>
        <a:p>
          <a:endParaRPr lang="en-US"/>
        </a:p>
      </dgm:t>
    </dgm:pt>
    <dgm:pt modelId="{993DB8EE-418F-4AD9-A499-18427AAE419E}" type="sibTrans" cxnId="{B00B8012-E3A8-41E7-BA9E-35AF82E82486}">
      <dgm:prSet/>
      <dgm:spPr/>
      <dgm:t>
        <a:bodyPr/>
        <a:lstStyle/>
        <a:p>
          <a:endParaRPr lang="en-US"/>
        </a:p>
      </dgm:t>
    </dgm:pt>
    <dgm:pt modelId="{A9A63A66-FDE8-4F0E-9F61-97F437ADED05}">
      <dgm:prSet phldrT="[Text]"/>
      <dgm:spPr/>
      <dgm:t>
        <a:bodyPr/>
        <a:lstStyle/>
        <a:p>
          <a:r>
            <a:rPr lang="en-US">
              <a:latin typeface="Times New Roman" panose="02020603050405020304" pitchFamily="18" charset="0"/>
              <a:cs typeface="Times New Roman" panose="02020603050405020304" pitchFamily="18" charset="0"/>
            </a:rPr>
            <a:t>HÀNH CHÍNH</a:t>
          </a:r>
        </a:p>
      </dgm:t>
      <dgm:extLst>
        <a:ext uri="{E40237B7-FDA0-4F09-8148-C483321AD2D9}">
          <dgm14:cNvPr xmlns:dgm14="http://schemas.microsoft.com/office/drawing/2010/diagram" id="0" name="">
            <a:hlinkClick xmlns:r="http://schemas.openxmlformats.org/officeDocument/2006/relationships" r:id="rId3"/>
          </dgm14:cNvPr>
        </a:ext>
      </dgm:extLst>
    </dgm:pt>
    <dgm:pt modelId="{C8EF6540-945F-4ADA-A3AF-2C4D18C39AB5}" type="parTrans" cxnId="{D1FB9781-4678-438F-B3F3-D94ABB690CEF}">
      <dgm:prSet/>
      <dgm:spPr/>
      <dgm:t>
        <a:bodyPr/>
        <a:lstStyle/>
        <a:p>
          <a:endParaRPr lang="en-US"/>
        </a:p>
      </dgm:t>
    </dgm:pt>
    <dgm:pt modelId="{E6AF9651-9FB5-40F6-9BB9-9100F8E44DAD}" type="sibTrans" cxnId="{D1FB9781-4678-438F-B3F3-D94ABB690CEF}">
      <dgm:prSet/>
      <dgm:spPr/>
      <dgm:t>
        <a:bodyPr/>
        <a:lstStyle/>
        <a:p>
          <a:endParaRPr lang="en-US"/>
        </a:p>
      </dgm:t>
    </dgm:pt>
    <dgm:pt modelId="{DE7149DC-1A03-4241-8B99-E9423AD1374E}">
      <dgm:prSet phldrT="[Text]"/>
      <dgm:spPr/>
      <dgm:t>
        <a:bodyPr/>
        <a:lstStyle/>
        <a:p>
          <a:r>
            <a:rPr lang="en-US">
              <a:latin typeface="Times New Roman" panose="02020603050405020304" pitchFamily="18" charset="0"/>
              <a:cs typeface="Times New Roman" panose="02020603050405020304" pitchFamily="18" charset="0"/>
            </a:rPr>
            <a:t>KINH DOANH THƯƠNG MẠI</a:t>
          </a:r>
        </a:p>
      </dgm:t>
      <dgm:extLst>
        <a:ext uri="{E40237B7-FDA0-4F09-8148-C483321AD2D9}">
          <dgm14:cNvPr xmlns:dgm14="http://schemas.microsoft.com/office/drawing/2010/diagram" id="0" name="">
            <a:hlinkClick xmlns:r="http://schemas.openxmlformats.org/officeDocument/2006/relationships" r:id="rId4"/>
          </dgm14:cNvPr>
        </a:ext>
      </dgm:extLst>
    </dgm:pt>
    <dgm:pt modelId="{60B907B1-F685-49A6-8CE2-7E8880424517}" type="parTrans" cxnId="{CCF00064-D402-4802-91BA-EA4A9FBBB556}">
      <dgm:prSet/>
      <dgm:spPr/>
      <dgm:t>
        <a:bodyPr/>
        <a:lstStyle/>
        <a:p>
          <a:endParaRPr lang="en-US"/>
        </a:p>
      </dgm:t>
    </dgm:pt>
    <dgm:pt modelId="{4C69BD40-4BD4-4B24-97A5-DB5FF6F4CB4F}" type="sibTrans" cxnId="{CCF00064-D402-4802-91BA-EA4A9FBBB556}">
      <dgm:prSet/>
      <dgm:spPr/>
      <dgm:t>
        <a:bodyPr/>
        <a:lstStyle/>
        <a:p>
          <a:endParaRPr lang="en-US"/>
        </a:p>
      </dgm:t>
    </dgm:pt>
    <dgm:pt modelId="{EA4773BC-336B-4B29-A29F-61E40E33266C}">
      <dgm:prSet phldrT="[Text]"/>
      <dgm:spPr/>
      <dgm:t>
        <a:bodyPr/>
        <a:lstStyle/>
        <a:p>
          <a:r>
            <a:rPr lang="en-US">
              <a:latin typeface="Times New Roman" panose="02020603050405020304" pitchFamily="18" charset="0"/>
              <a:cs typeface="Times New Roman" panose="02020603050405020304" pitchFamily="18" charset="0"/>
            </a:rPr>
            <a:t>LAO ĐỘNG</a:t>
          </a:r>
        </a:p>
      </dgm:t>
      <dgm:extLst>
        <a:ext uri="{E40237B7-FDA0-4F09-8148-C483321AD2D9}">
          <dgm14:cNvPr xmlns:dgm14="http://schemas.microsoft.com/office/drawing/2010/diagram" id="0" name="">
            <a:hlinkClick xmlns:r="http://schemas.openxmlformats.org/officeDocument/2006/relationships" r:id="rId5"/>
          </dgm14:cNvPr>
        </a:ext>
      </dgm:extLst>
    </dgm:pt>
    <dgm:pt modelId="{212290BB-3464-4E79-A629-C9D2743E06F0}" type="parTrans" cxnId="{0FDE8E2F-6DA1-4C26-946F-70E058CEA7B6}">
      <dgm:prSet/>
      <dgm:spPr/>
      <dgm:t>
        <a:bodyPr/>
        <a:lstStyle/>
        <a:p>
          <a:endParaRPr lang="en-US"/>
        </a:p>
      </dgm:t>
    </dgm:pt>
    <dgm:pt modelId="{B335FD92-C5EF-4485-BC0D-B2446897A3C4}" type="sibTrans" cxnId="{0FDE8E2F-6DA1-4C26-946F-70E058CEA7B6}">
      <dgm:prSet/>
      <dgm:spPr/>
      <dgm:t>
        <a:bodyPr/>
        <a:lstStyle/>
        <a:p>
          <a:endParaRPr lang="en-US"/>
        </a:p>
      </dgm:t>
    </dgm:pt>
    <dgm:pt modelId="{1CEBE599-000D-48D7-9A33-2FE7A62CC4AB}" type="pres">
      <dgm:prSet presAssocID="{F7210800-DEA8-4B31-A39C-2CAD8A4B45B8}" presName="diagram" presStyleCnt="0">
        <dgm:presLayoutVars>
          <dgm:chPref val="1"/>
          <dgm:dir/>
          <dgm:animOne val="branch"/>
          <dgm:animLvl val="lvl"/>
          <dgm:resizeHandles/>
        </dgm:presLayoutVars>
      </dgm:prSet>
      <dgm:spPr/>
    </dgm:pt>
    <dgm:pt modelId="{B9124239-AA40-42E8-9336-350620176785}" type="pres">
      <dgm:prSet presAssocID="{9B2E827F-DB8D-43D9-A0D0-3E53D13D921A}" presName="root" presStyleCnt="0"/>
      <dgm:spPr/>
    </dgm:pt>
    <dgm:pt modelId="{4416F0D9-CDEC-44B4-ACEA-D12E13C2A74E}" type="pres">
      <dgm:prSet presAssocID="{9B2E827F-DB8D-43D9-A0D0-3E53D13D921A}" presName="rootComposite" presStyleCnt="0"/>
      <dgm:spPr/>
    </dgm:pt>
    <dgm:pt modelId="{CB34F1CA-46FC-4E9B-A188-3AE9D303F538}" type="pres">
      <dgm:prSet presAssocID="{9B2E827F-DB8D-43D9-A0D0-3E53D13D921A}" presName="rootText" presStyleLbl="node1" presStyleIdx="0" presStyleCnt="1" custScaleX="352757" custScaleY="133063"/>
      <dgm:spPr/>
    </dgm:pt>
    <dgm:pt modelId="{341C7747-E76B-4AA6-BDF0-C79CE5E009FF}" type="pres">
      <dgm:prSet presAssocID="{9B2E827F-DB8D-43D9-A0D0-3E53D13D921A}" presName="rootConnector" presStyleLbl="node1" presStyleIdx="0" presStyleCnt="1"/>
      <dgm:spPr/>
    </dgm:pt>
    <dgm:pt modelId="{C2F6160E-1E68-4DF7-91D7-3AFE51BC43B6}" type="pres">
      <dgm:prSet presAssocID="{9B2E827F-DB8D-43D9-A0D0-3E53D13D921A}" presName="childShape" presStyleCnt="0"/>
      <dgm:spPr/>
    </dgm:pt>
    <dgm:pt modelId="{DFE9BB07-2864-4397-80C3-CFF3B4BC7F9E}" type="pres">
      <dgm:prSet presAssocID="{4EE10101-D2C3-4ED6-99FD-287990AF8838}" presName="Name13" presStyleLbl="parChTrans1D2" presStyleIdx="0" presStyleCnt="5"/>
      <dgm:spPr/>
    </dgm:pt>
    <dgm:pt modelId="{78105A09-5365-40E0-A08B-B6059863957F}" type="pres">
      <dgm:prSet presAssocID="{E2329890-6292-4F6D-A8EA-24B4AF8D57AB}" presName="childText" presStyleLbl="bgAcc1" presStyleIdx="0" presStyleCnt="5" custScaleX="471071">
        <dgm:presLayoutVars>
          <dgm:bulletEnabled val="1"/>
        </dgm:presLayoutVars>
      </dgm:prSet>
      <dgm:spPr/>
    </dgm:pt>
    <dgm:pt modelId="{71E4ECD9-0DC7-48EA-BB46-DEDD231122DF}" type="pres">
      <dgm:prSet presAssocID="{8E2999A3-93D4-40BD-A1C8-BF40179D9A8D}" presName="Name13" presStyleLbl="parChTrans1D2" presStyleIdx="1" presStyleCnt="5"/>
      <dgm:spPr/>
    </dgm:pt>
    <dgm:pt modelId="{6F9965CF-CAB8-482F-B417-666881F6B24D}" type="pres">
      <dgm:prSet presAssocID="{F31C338D-131F-4788-A367-5B3954E5DA56}" presName="childText" presStyleLbl="bgAcc1" presStyleIdx="1" presStyleCnt="5" custScaleX="472962">
        <dgm:presLayoutVars>
          <dgm:bulletEnabled val="1"/>
        </dgm:presLayoutVars>
      </dgm:prSet>
      <dgm:spPr/>
    </dgm:pt>
    <dgm:pt modelId="{1E3A1C36-53A0-4B0A-A730-535CE110BBA2}" type="pres">
      <dgm:prSet presAssocID="{60B907B1-F685-49A6-8CE2-7E8880424517}" presName="Name13" presStyleLbl="parChTrans1D2" presStyleIdx="2" presStyleCnt="5"/>
      <dgm:spPr/>
    </dgm:pt>
    <dgm:pt modelId="{5C11D74E-E5ED-45A0-A2BB-8AF397AFF51F}" type="pres">
      <dgm:prSet presAssocID="{DE7149DC-1A03-4241-8B99-E9423AD1374E}" presName="childText" presStyleLbl="bgAcc1" presStyleIdx="2" presStyleCnt="5" custScaleX="470801">
        <dgm:presLayoutVars>
          <dgm:bulletEnabled val="1"/>
        </dgm:presLayoutVars>
      </dgm:prSet>
      <dgm:spPr/>
    </dgm:pt>
    <dgm:pt modelId="{823A9FA9-C43D-4C2A-A87F-B0F1786155EE}" type="pres">
      <dgm:prSet presAssocID="{212290BB-3464-4E79-A629-C9D2743E06F0}" presName="Name13" presStyleLbl="parChTrans1D2" presStyleIdx="3" presStyleCnt="5"/>
      <dgm:spPr/>
    </dgm:pt>
    <dgm:pt modelId="{998A3A8D-3936-46B8-8732-75D5A63E291D}" type="pres">
      <dgm:prSet presAssocID="{EA4773BC-336B-4B29-A29F-61E40E33266C}" presName="childText" presStyleLbl="bgAcc1" presStyleIdx="3" presStyleCnt="5" custScaleX="472226">
        <dgm:presLayoutVars>
          <dgm:bulletEnabled val="1"/>
        </dgm:presLayoutVars>
      </dgm:prSet>
      <dgm:spPr/>
    </dgm:pt>
    <dgm:pt modelId="{A268D368-C0BB-4432-B4D4-09BF8110216D}" type="pres">
      <dgm:prSet presAssocID="{C8EF6540-945F-4ADA-A3AF-2C4D18C39AB5}" presName="Name13" presStyleLbl="parChTrans1D2" presStyleIdx="4" presStyleCnt="5"/>
      <dgm:spPr/>
    </dgm:pt>
    <dgm:pt modelId="{25E951F8-0BBA-4744-A956-5989ED1420A2}" type="pres">
      <dgm:prSet presAssocID="{A9A63A66-FDE8-4F0E-9F61-97F437ADED05}" presName="childText" presStyleLbl="bgAcc1" presStyleIdx="4" presStyleCnt="5" custScaleX="475080">
        <dgm:presLayoutVars>
          <dgm:bulletEnabled val="1"/>
        </dgm:presLayoutVars>
      </dgm:prSet>
      <dgm:spPr/>
    </dgm:pt>
  </dgm:ptLst>
  <dgm:cxnLst>
    <dgm:cxn modelId="{B00B8012-E3A8-41E7-BA9E-35AF82E82486}" srcId="{9B2E827F-DB8D-43D9-A0D0-3E53D13D921A}" destId="{F31C338D-131F-4788-A367-5B3954E5DA56}" srcOrd="1" destOrd="0" parTransId="{8E2999A3-93D4-40BD-A1C8-BF40179D9A8D}" sibTransId="{993DB8EE-418F-4AD9-A499-18427AAE419E}"/>
    <dgm:cxn modelId="{3DE21914-47E7-4132-A722-99D4D2DD9E56}" type="presOf" srcId="{A9A63A66-FDE8-4F0E-9F61-97F437ADED05}" destId="{25E951F8-0BBA-4744-A956-5989ED1420A2}" srcOrd="0" destOrd="0" presId="urn:microsoft.com/office/officeart/2005/8/layout/hierarchy3"/>
    <dgm:cxn modelId="{7759C428-0DCD-4A9D-B1E9-67EC3A7F0F99}" type="presOf" srcId="{9B2E827F-DB8D-43D9-A0D0-3E53D13D921A}" destId="{CB34F1CA-46FC-4E9B-A188-3AE9D303F538}" srcOrd="0" destOrd="0" presId="urn:microsoft.com/office/officeart/2005/8/layout/hierarchy3"/>
    <dgm:cxn modelId="{0FDE8E2F-6DA1-4C26-946F-70E058CEA7B6}" srcId="{9B2E827F-DB8D-43D9-A0D0-3E53D13D921A}" destId="{EA4773BC-336B-4B29-A29F-61E40E33266C}" srcOrd="3" destOrd="0" parTransId="{212290BB-3464-4E79-A629-C9D2743E06F0}" sibTransId="{B335FD92-C5EF-4485-BC0D-B2446897A3C4}"/>
    <dgm:cxn modelId="{A53EFF32-E547-4841-9263-031CE0B244FD}" type="presOf" srcId="{C8EF6540-945F-4ADA-A3AF-2C4D18C39AB5}" destId="{A268D368-C0BB-4432-B4D4-09BF8110216D}" srcOrd="0" destOrd="0" presId="urn:microsoft.com/office/officeart/2005/8/layout/hierarchy3"/>
    <dgm:cxn modelId="{CCF00064-D402-4802-91BA-EA4A9FBBB556}" srcId="{9B2E827F-DB8D-43D9-A0D0-3E53D13D921A}" destId="{DE7149DC-1A03-4241-8B99-E9423AD1374E}" srcOrd="2" destOrd="0" parTransId="{60B907B1-F685-49A6-8CE2-7E8880424517}" sibTransId="{4C69BD40-4BD4-4B24-97A5-DB5FF6F4CB4F}"/>
    <dgm:cxn modelId="{D1FB9781-4678-438F-B3F3-D94ABB690CEF}" srcId="{9B2E827F-DB8D-43D9-A0D0-3E53D13D921A}" destId="{A9A63A66-FDE8-4F0E-9F61-97F437ADED05}" srcOrd="4" destOrd="0" parTransId="{C8EF6540-945F-4ADA-A3AF-2C4D18C39AB5}" sibTransId="{E6AF9651-9FB5-40F6-9BB9-9100F8E44DAD}"/>
    <dgm:cxn modelId="{5904D284-AB80-4B7E-A8E2-36C679651ECC}" type="presOf" srcId="{9B2E827F-DB8D-43D9-A0D0-3E53D13D921A}" destId="{341C7747-E76B-4AA6-BDF0-C79CE5E009FF}" srcOrd="1" destOrd="0" presId="urn:microsoft.com/office/officeart/2005/8/layout/hierarchy3"/>
    <dgm:cxn modelId="{0696CB85-6EBF-44A1-8A00-5FDA1DDFE9AA}" srcId="{F7210800-DEA8-4B31-A39C-2CAD8A4B45B8}" destId="{9B2E827F-DB8D-43D9-A0D0-3E53D13D921A}" srcOrd="0" destOrd="0" parTransId="{C88E190F-E4B5-4E33-B9D9-419F21197769}" sibTransId="{078C00D1-1917-43E6-B6DB-9C21046CD699}"/>
    <dgm:cxn modelId="{64871D94-E977-4DF0-9BA7-D922CF3EDD91}" type="presOf" srcId="{8E2999A3-93D4-40BD-A1C8-BF40179D9A8D}" destId="{71E4ECD9-0DC7-48EA-BB46-DEDD231122DF}" srcOrd="0" destOrd="0" presId="urn:microsoft.com/office/officeart/2005/8/layout/hierarchy3"/>
    <dgm:cxn modelId="{BE99AAB0-E3D3-48F9-B67B-3C5FAE350F32}" srcId="{9B2E827F-DB8D-43D9-A0D0-3E53D13D921A}" destId="{E2329890-6292-4F6D-A8EA-24B4AF8D57AB}" srcOrd="0" destOrd="0" parTransId="{4EE10101-D2C3-4ED6-99FD-287990AF8838}" sibTransId="{7378F979-0E1D-4180-B083-02042A290E41}"/>
    <dgm:cxn modelId="{B5FFBCBC-54F8-476F-8737-AFFB6E406FEA}" type="presOf" srcId="{EA4773BC-336B-4B29-A29F-61E40E33266C}" destId="{998A3A8D-3936-46B8-8732-75D5A63E291D}" srcOrd="0" destOrd="0" presId="urn:microsoft.com/office/officeart/2005/8/layout/hierarchy3"/>
    <dgm:cxn modelId="{C594A5BF-F776-48C7-8D81-58B82C6558C4}" type="presOf" srcId="{E2329890-6292-4F6D-A8EA-24B4AF8D57AB}" destId="{78105A09-5365-40E0-A08B-B6059863957F}" srcOrd="0" destOrd="0" presId="urn:microsoft.com/office/officeart/2005/8/layout/hierarchy3"/>
    <dgm:cxn modelId="{674000C0-D78B-4660-BD14-3FC587F664D6}" type="presOf" srcId="{212290BB-3464-4E79-A629-C9D2743E06F0}" destId="{823A9FA9-C43D-4C2A-A87F-B0F1786155EE}" srcOrd="0" destOrd="0" presId="urn:microsoft.com/office/officeart/2005/8/layout/hierarchy3"/>
    <dgm:cxn modelId="{33CA63D0-F2BB-4935-B4B7-1646357C932F}" type="presOf" srcId="{4EE10101-D2C3-4ED6-99FD-287990AF8838}" destId="{DFE9BB07-2864-4397-80C3-CFF3B4BC7F9E}" srcOrd="0" destOrd="0" presId="urn:microsoft.com/office/officeart/2005/8/layout/hierarchy3"/>
    <dgm:cxn modelId="{9F71FEE8-F1BE-4D4E-A388-294544631E63}" type="presOf" srcId="{DE7149DC-1A03-4241-8B99-E9423AD1374E}" destId="{5C11D74E-E5ED-45A0-A2BB-8AF397AFF51F}" srcOrd="0" destOrd="0" presId="urn:microsoft.com/office/officeart/2005/8/layout/hierarchy3"/>
    <dgm:cxn modelId="{A524EDED-875D-4D59-86E7-8E0A0175EE28}" type="presOf" srcId="{F31C338D-131F-4788-A367-5B3954E5DA56}" destId="{6F9965CF-CAB8-482F-B417-666881F6B24D}" srcOrd="0" destOrd="0" presId="urn:microsoft.com/office/officeart/2005/8/layout/hierarchy3"/>
    <dgm:cxn modelId="{69518CF1-4DDF-4C76-9959-549B07F82892}" type="presOf" srcId="{60B907B1-F685-49A6-8CE2-7E8880424517}" destId="{1E3A1C36-53A0-4B0A-A730-535CE110BBA2}" srcOrd="0" destOrd="0" presId="urn:microsoft.com/office/officeart/2005/8/layout/hierarchy3"/>
    <dgm:cxn modelId="{F93872F2-D3FC-4779-B1EE-50C5E63B0FE0}" type="presOf" srcId="{F7210800-DEA8-4B31-A39C-2CAD8A4B45B8}" destId="{1CEBE599-000D-48D7-9A33-2FE7A62CC4AB}" srcOrd="0" destOrd="0" presId="urn:microsoft.com/office/officeart/2005/8/layout/hierarchy3"/>
    <dgm:cxn modelId="{EA81B9E4-B9DC-4BDF-89AE-D40707AB0EEF}" type="presParOf" srcId="{1CEBE599-000D-48D7-9A33-2FE7A62CC4AB}" destId="{B9124239-AA40-42E8-9336-350620176785}" srcOrd="0" destOrd="0" presId="urn:microsoft.com/office/officeart/2005/8/layout/hierarchy3"/>
    <dgm:cxn modelId="{4167B4C1-1123-451B-8614-A35639BFD32B}" type="presParOf" srcId="{B9124239-AA40-42E8-9336-350620176785}" destId="{4416F0D9-CDEC-44B4-ACEA-D12E13C2A74E}" srcOrd="0" destOrd="0" presId="urn:microsoft.com/office/officeart/2005/8/layout/hierarchy3"/>
    <dgm:cxn modelId="{5A2B086B-69E0-4DFB-BC58-861712E8A99E}" type="presParOf" srcId="{4416F0D9-CDEC-44B4-ACEA-D12E13C2A74E}" destId="{CB34F1CA-46FC-4E9B-A188-3AE9D303F538}" srcOrd="0" destOrd="0" presId="urn:microsoft.com/office/officeart/2005/8/layout/hierarchy3"/>
    <dgm:cxn modelId="{1F90CFB2-A15C-4920-B1D9-E124E77BF4E6}" type="presParOf" srcId="{4416F0D9-CDEC-44B4-ACEA-D12E13C2A74E}" destId="{341C7747-E76B-4AA6-BDF0-C79CE5E009FF}" srcOrd="1" destOrd="0" presId="urn:microsoft.com/office/officeart/2005/8/layout/hierarchy3"/>
    <dgm:cxn modelId="{701EF823-4346-4C9C-9B2B-53678696951C}" type="presParOf" srcId="{B9124239-AA40-42E8-9336-350620176785}" destId="{C2F6160E-1E68-4DF7-91D7-3AFE51BC43B6}" srcOrd="1" destOrd="0" presId="urn:microsoft.com/office/officeart/2005/8/layout/hierarchy3"/>
    <dgm:cxn modelId="{82BADF3D-BB72-4DF9-A2B1-CC278AD7E93A}" type="presParOf" srcId="{C2F6160E-1E68-4DF7-91D7-3AFE51BC43B6}" destId="{DFE9BB07-2864-4397-80C3-CFF3B4BC7F9E}" srcOrd="0" destOrd="0" presId="urn:microsoft.com/office/officeart/2005/8/layout/hierarchy3"/>
    <dgm:cxn modelId="{95744BF2-413E-4623-8C9A-C38D69E36F3B}" type="presParOf" srcId="{C2F6160E-1E68-4DF7-91D7-3AFE51BC43B6}" destId="{78105A09-5365-40E0-A08B-B6059863957F}" srcOrd="1" destOrd="0" presId="urn:microsoft.com/office/officeart/2005/8/layout/hierarchy3"/>
    <dgm:cxn modelId="{39ABC0B5-3FA1-4E49-923D-4D61D6FD15DB}" type="presParOf" srcId="{C2F6160E-1E68-4DF7-91D7-3AFE51BC43B6}" destId="{71E4ECD9-0DC7-48EA-BB46-DEDD231122DF}" srcOrd="2" destOrd="0" presId="urn:microsoft.com/office/officeart/2005/8/layout/hierarchy3"/>
    <dgm:cxn modelId="{B43A3F5A-6052-4557-B559-56D7A7BFEF60}" type="presParOf" srcId="{C2F6160E-1E68-4DF7-91D7-3AFE51BC43B6}" destId="{6F9965CF-CAB8-482F-B417-666881F6B24D}" srcOrd="3" destOrd="0" presId="urn:microsoft.com/office/officeart/2005/8/layout/hierarchy3"/>
    <dgm:cxn modelId="{9011883A-9863-4E9E-97EB-2E6B88AFE407}" type="presParOf" srcId="{C2F6160E-1E68-4DF7-91D7-3AFE51BC43B6}" destId="{1E3A1C36-53A0-4B0A-A730-535CE110BBA2}" srcOrd="4" destOrd="0" presId="urn:microsoft.com/office/officeart/2005/8/layout/hierarchy3"/>
    <dgm:cxn modelId="{FBECE0DB-2FD1-43A8-ACD0-F16CC96E133C}" type="presParOf" srcId="{C2F6160E-1E68-4DF7-91D7-3AFE51BC43B6}" destId="{5C11D74E-E5ED-45A0-A2BB-8AF397AFF51F}" srcOrd="5" destOrd="0" presId="urn:microsoft.com/office/officeart/2005/8/layout/hierarchy3"/>
    <dgm:cxn modelId="{9AEAE283-1C71-4865-8F1D-CFF4090C6E19}" type="presParOf" srcId="{C2F6160E-1E68-4DF7-91D7-3AFE51BC43B6}" destId="{823A9FA9-C43D-4C2A-A87F-B0F1786155EE}" srcOrd="6" destOrd="0" presId="urn:microsoft.com/office/officeart/2005/8/layout/hierarchy3"/>
    <dgm:cxn modelId="{48855F8E-B589-436F-8F62-C3C4172C929F}" type="presParOf" srcId="{C2F6160E-1E68-4DF7-91D7-3AFE51BC43B6}" destId="{998A3A8D-3936-46B8-8732-75D5A63E291D}" srcOrd="7" destOrd="0" presId="urn:microsoft.com/office/officeart/2005/8/layout/hierarchy3"/>
    <dgm:cxn modelId="{CBDA24BE-C341-4B0E-BBA8-BCDFCC2F384F}" type="presParOf" srcId="{C2F6160E-1E68-4DF7-91D7-3AFE51BC43B6}" destId="{A268D368-C0BB-4432-B4D4-09BF8110216D}" srcOrd="8" destOrd="0" presId="urn:microsoft.com/office/officeart/2005/8/layout/hierarchy3"/>
    <dgm:cxn modelId="{5E28EA9E-F4D8-4B9C-BF4D-FACBE6B15719}" type="presParOf" srcId="{C2F6160E-1E68-4DF7-91D7-3AFE51BC43B6}" destId="{25E951F8-0BBA-4744-A956-5989ED1420A2}" srcOrd="9" destOrd="0" presId="urn:microsoft.com/office/officeart/2005/8/layout/hierarchy3"/>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Số liệu án DS</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Số liệu án KDTM</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Số liệu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Số liệu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Số liệu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Số liệu án KDTM</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Số liệu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Số liệu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Số liệu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Số liệu án DS</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Số liệu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Số liệu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Số liệu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Số liệu án DS</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Số liệu án KDTM</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Số liệu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Số liệu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Số liệu án DS</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Số liệu án KDTM</a:t>
          </a:r>
        </a:p>
      </dgm:t>
      <dgm:extLst>
        <a:ext uri="{E40237B7-FDA0-4F09-8148-C483321AD2D9}">
          <dgm14:cNvPr xmlns:dgm14="http://schemas.microsoft.com/office/drawing/2010/diagram" id="0" name="">
            <a:hlinkClick xmlns:r="http://schemas.openxmlformats.org/officeDocument/2006/relationships" r:id="rId3"/>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Số liệu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8.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DS</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KDTM</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9.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KDTM</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0.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DS</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LĐ</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1.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DS</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KDTM</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2.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DS</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KDTM</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LĐ</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3.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DS tuần</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KDTM tuần</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LĐ tuần</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 tuần</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ScaleX="10055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4.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 tuần</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KDTM tuần</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LĐ tuần</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 tuần</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5.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 tuần</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DS tuần</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LĐ tuần</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 tuần</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6.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 tuần</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DS tuần</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KDTM tuần</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HC tuần</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ata17.xml><?xml version="1.0" encoding="utf-8"?>
<dgm:dataModel xmlns:dgm="http://schemas.openxmlformats.org/drawingml/2006/diagram" xmlns:a="http://schemas.openxmlformats.org/drawingml/2006/main">
  <dgm:ptLst>
    <dgm:pt modelId="{B789EC45-738B-4697-9AB8-B0C0998E01C0}" type="doc">
      <dgm:prSet loTypeId="urn:microsoft.com/office/officeart/2005/8/layout/hList6" loCatId="list" qsTypeId="urn:microsoft.com/office/officeart/2005/8/quickstyle/3d1" qsCatId="3D" csTypeId="urn:microsoft.com/office/officeart/2005/8/colors/accent1_2" csCatId="accent1" phldr="1"/>
      <dgm:spPr/>
      <dgm:t>
        <a:bodyPr/>
        <a:lstStyle/>
        <a:p>
          <a:endParaRPr lang="en-US"/>
        </a:p>
      </dgm:t>
    </dgm:pt>
    <dgm:pt modelId="{9C9E4D15-68B2-4750-A049-582333CE6810}">
      <dgm:prSet phldrT="[Text]"/>
      <dgm:spPr>
        <a:solidFill>
          <a:schemeClr val="accent2"/>
        </a:solidFill>
      </dgm:spPr>
      <dgm:t>
        <a:bodyPr/>
        <a:lstStyle/>
        <a:p>
          <a:r>
            <a:rPr lang="en-US"/>
            <a:t>Về trang chủ</a:t>
          </a:r>
        </a:p>
      </dgm:t>
      <dgm:extLst>
        <a:ext uri="{E40237B7-FDA0-4F09-8148-C483321AD2D9}">
          <dgm14:cNvPr xmlns:dgm14="http://schemas.microsoft.com/office/drawing/2010/diagram" id="0" name="">
            <a:hlinkClick xmlns:r="http://schemas.openxmlformats.org/officeDocument/2006/relationships" r:id="rId1"/>
          </dgm14:cNvPr>
        </a:ext>
      </dgm:extLst>
    </dgm:pt>
    <dgm:pt modelId="{FDCF0421-9986-453E-AEE1-34EB66C0EA16}" type="parTrans" cxnId="{172DB92E-0F97-465D-9EAE-D5E00286DA7F}">
      <dgm:prSet/>
      <dgm:spPr/>
      <dgm:t>
        <a:bodyPr/>
        <a:lstStyle/>
        <a:p>
          <a:endParaRPr lang="en-US"/>
        </a:p>
      </dgm:t>
    </dgm:pt>
    <dgm:pt modelId="{FF87AFE2-AA20-4769-A726-E36FECCF04BA}" type="sibTrans" cxnId="{172DB92E-0F97-465D-9EAE-D5E00286DA7F}">
      <dgm:prSet/>
      <dgm:spPr/>
      <dgm:t>
        <a:bodyPr/>
        <a:lstStyle/>
        <a:p>
          <a:endParaRPr lang="en-US"/>
        </a:p>
      </dgm:t>
    </dgm:pt>
    <dgm:pt modelId="{4B1E8CA6-162A-40CB-81C0-C434122F4547}">
      <dgm:prSet phldrT="[Text]"/>
      <dgm:spPr/>
      <dgm:t>
        <a:bodyPr/>
        <a:lstStyle/>
        <a:p>
          <a:r>
            <a:rPr lang="en-US"/>
            <a:t>TK án HNGĐ tuần</a:t>
          </a:r>
        </a:p>
      </dgm:t>
      <dgm:extLst>
        <a:ext uri="{E40237B7-FDA0-4F09-8148-C483321AD2D9}">
          <dgm14:cNvPr xmlns:dgm14="http://schemas.microsoft.com/office/drawing/2010/diagram" id="0" name="">
            <a:hlinkClick xmlns:r="http://schemas.openxmlformats.org/officeDocument/2006/relationships" r:id="rId2"/>
          </dgm14:cNvPr>
        </a:ext>
      </dgm:extLst>
    </dgm:pt>
    <dgm:pt modelId="{579E5636-2EF8-46A5-8A92-7939A71B93DC}" type="parTrans" cxnId="{DB8FFA40-C19E-402A-BB3F-C9AD9B263330}">
      <dgm:prSet/>
      <dgm:spPr/>
      <dgm:t>
        <a:bodyPr/>
        <a:lstStyle/>
        <a:p>
          <a:endParaRPr lang="en-US"/>
        </a:p>
      </dgm:t>
    </dgm:pt>
    <dgm:pt modelId="{1FBF4ACA-ADDD-46C3-AC57-032A7771AF83}" type="sibTrans" cxnId="{DB8FFA40-C19E-402A-BB3F-C9AD9B263330}">
      <dgm:prSet/>
      <dgm:spPr/>
      <dgm:t>
        <a:bodyPr/>
        <a:lstStyle/>
        <a:p>
          <a:endParaRPr lang="en-US"/>
        </a:p>
      </dgm:t>
    </dgm:pt>
    <dgm:pt modelId="{06F6CF82-C325-434E-A79A-9F274D7574BC}">
      <dgm:prSet phldrT="[Text]"/>
      <dgm:spPr/>
      <dgm:t>
        <a:bodyPr/>
        <a:lstStyle/>
        <a:p>
          <a:r>
            <a:rPr lang="en-US"/>
            <a:t>TK án DS tuần</a:t>
          </a:r>
        </a:p>
      </dgm:t>
      <dgm:extLst>
        <a:ext uri="{E40237B7-FDA0-4F09-8148-C483321AD2D9}">
          <dgm14:cNvPr xmlns:dgm14="http://schemas.microsoft.com/office/drawing/2010/diagram" id="0" name="">
            <a:hlinkClick xmlns:r="http://schemas.openxmlformats.org/officeDocument/2006/relationships" r:id="rId3"/>
          </dgm14:cNvPr>
        </a:ext>
      </dgm:extLst>
    </dgm:pt>
    <dgm:pt modelId="{209E7B58-090C-46F5-B229-5BDD9FE6B9EF}" type="parTrans" cxnId="{1CA34262-1F6B-4A93-B580-4978A0D55338}">
      <dgm:prSet/>
      <dgm:spPr/>
      <dgm:t>
        <a:bodyPr/>
        <a:lstStyle/>
        <a:p>
          <a:endParaRPr lang="en-US"/>
        </a:p>
      </dgm:t>
    </dgm:pt>
    <dgm:pt modelId="{807958AB-277C-4F93-AFC9-ADD64072BC0E}" type="sibTrans" cxnId="{1CA34262-1F6B-4A93-B580-4978A0D55338}">
      <dgm:prSet/>
      <dgm:spPr/>
      <dgm:t>
        <a:bodyPr/>
        <a:lstStyle/>
        <a:p>
          <a:endParaRPr lang="en-US"/>
        </a:p>
      </dgm:t>
    </dgm:pt>
    <dgm:pt modelId="{AD89085C-F95B-4D0F-B75A-F62250960445}">
      <dgm:prSet phldrT="[Text]"/>
      <dgm:spPr/>
      <dgm:t>
        <a:bodyPr/>
        <a:lstStyle/>
        <a:p>
          <a:r>
            <a:rPr lang="en-US"/>
            <a:t>TK án KDTM tuần</a:t>
          </a:r>
        </a:p>
      </dgm:t>
      <dgm:extLst>
        <a:ext uri="{E40237B7-FDA0-4F09-8148-C483321AD2D9}">
          <dgm14:cNvPr xmlns:dgm14="http://schemas.microsoft.com/office/drawing/2010/diagram" id="0" name="">
            <a:hlinkClick xmlns:r="http://schemas.openxmlformats.org/officeDocument/2006/relationships" r:id="rId4"/>
          </dgm14:cNvPr>
        </a:ext>
      </dgm:extLst>
    </dgm:pt>
    <dgm:pt modelId="{32654CC2-AF12-459D-9F9E-BE3CD75E87D1}" type="parTrans" cxnId="{0A2C8128-F1A0-442A-85A1-D9473FC70E0A}">
      <dgm:prSet/>
      <dgm:spPr/>
      <dgm:t>
        <a:bodyPr/>
        <a:lstStyle/>
        <a:p>
          <a:endParaRPr lang="en-US"/>
        </a:p>
      </dgm:t>
    </dgm:pt>
    <dgm:pt modelId="{D9CA76A5-9211-434D-8B71-E901F5235830}" type="sibTrans" cxnId="{0A2C8128-F1A0-442A-85A1-D9473FC70E0A}">
      <dgm:prSet/>
      <dgm:spPr/>
      <dgm:t>
        <a:bodyPr/>
        <a:lstStyle/>
        <a:p>
          <a:endParaRPr lang="en-US"/>
        </a:p>
      </dgm:t>
    </dgm:pt>
    <dgm:pt modelId="{210A074A-7C6F-4D0C-93BA-AA2689547A3F}">
      <dgm:prSet phldrT="[Text]"/>
      <dgm:spPr/>
      <dgm:t>
        <a:bodyPr/>
        <a:lstStyle/>
        <a:p>
          <a:r>
            <a:rPr lang="en-US"/>
            <a:t>TK án LĐ tuần</a:t>
          </a:r>
        </a:p>
      </dgm:t>
      <dgm:extLst>
        <a:ext uri="{E40237B7-FDA0-4F09-8148-C483321AD2D9}">
          <dgm14:cNvPr xmlns:dgm14="http://schemas.microsoft.com/office/drawing/2010/diagram" id="0" name="">
            <a:hlinkClick xmlns:r="http://schemas.openxmlformats.org/officeDocument/2006/relationships" r:id="rId5"/>
          </dgm14:cNvPr>
        </a:ext>
      </dgm:extLst>
    </dgm:pt>
    <dgm:pt modelId="{F83CBEA7-B621-4840-8392-39224FA16BDF}" type="parTrans" cxnId="{9F4160E5-66A2-4922-B499-0398FB0964BC}">
      <dgm:prSet/>
      <dgm:spPr/>
      <dgm:t>
        <a:bodyPr/>
        <a:lstStyle/>
        <a:p>
          <a:endParaRPr lang="en-US"/>
        </a:p>
      </dgm:t>
    </dgm:pt>
    <dgm:pt modelId="{9E22987E-21B1-47EE-8E3A-558031D4EB0D}" type="sibTrans" cxnId="{9F4160E5-66A2-4922-B499-0398FB0964BC}">
      <dgm:prSet/>
      <dgm:spPr/>
      <dgm:t>
        <a:bodyPr/>
        <a:lstStyle/>
        <a:p>
          <a:endParaRPr lang="en-US"/>
        </a:p>
      </dgm:t>
    </dgm:pt>
    <dgm:pt modelId="{3A243438-7D8B-4651-A0DB-D3311E09DCDC}" type="pres">
      <dgm:prSet presAssocID="{B789EC45-738B-4697-9AB8-B0C0998E01C0}" presName="Name0" presStyleCnt="0">
        <dgm:presLayoutVars>
          <dgm:dir/>
          <dgm:resizeHandles val="exact"/>
        </dgm:presLayoutVars>
      </dgm:prSet>
      <dgm:spPr/>
    </dgm:pt>
    <dgm:pt modelId="{B092578C-CD5B-491E-822C-05814C363FED}" type="pres">
      <dgm:prSet presAssocID="{9C9E4D15-68B2-4750-A049-582333CE6810}" presName="node" presStyleLbl="node1" presStyleIdx="0" presStyleCnt="5" custLinFactNeighborX="-8752" custLinFactNeighborY="0">
        <dgm:presLayoutVars>
          <dgm:bulletEnabled val="1"/>
        </dgm:presLayoutVars>
      </dgm:prSet>
      <dgm:spPr/>
    </dgm:pt>
    <dgm:pt modelId="{D70CD880-3E6F-4174-8B63-78AC8C77599D}" type="pres">
      <dgm:prSet presAssocID="{FF87AFE2-AA20-4769-A726-E36FECCF04BA}" presName="sibTrans" presStyleCnt="0"/>
      <dgm:spPr/>
    </dgm:pt>
    <dgm:pt modelId="{6E8A34F7-70A0-4EC6-9F9C-913665A5AE28}" type="pres">
      <dgm:prSet presAssocID="{4B1E8CA6-162A-40CB-81C0-C434122F4547}" presName="node" presStyleLbl="node1" presStyleIdx="1" presStyleCnt="5">
        <dgm:presLayoutVars>
          <dgm:bulletEnabled val="1"/>
        </dgm:presLayoutVars>
      </dgm:prSet>
      <dgm:spPr/>
    </dgm:pt>
    <dgm:pt modelId="{F72CAC73-0DD6-472A-ABBF-2CE6E74AC327}" type="pres">
      <dgm:prSet presAssocID="{1FBF4ACA-ADDD-46C3-AC57-032A7771AF83}" presName="sibTrans" presStyleCnt="0"/>
      <dgm:spPr/>
    </dgm:pt>
    <dgm:pt modelId="{71E9181F-C3CF-494C-B5B7-41EAF5B3B180}" type="pres">
      <dgm:prSet presAssocID="{06F6CF82-C325-434E-A79A-9F274D7574BC}" presName="node" presStyleLbl="node1" presStyleIdx="2" presStyleCnt="5">
        <dgm:presLayoutVars>
          <dgm:bulletEnabled val="1"/>
        </dgm:presLayoutVars>
      </dgm:prSet>
      <dgm:spPr/>
    </dgm:pt>
    <dgm:pt modelId="{9869A2E3-90E5-4547-A310-DDF399374916}" type="pres">
      <dgm:prSet presAssocID="{807958AB-277C-4F93-AFC9-ADD64072BC0E}" presName="sibTrans" presStyleCnt="0"/>
      <dgm:spPr/>
    </dgm:pt>
    <dgm:pt modelId="{23EE2E24-4FDC-4779-9BA7-59BB5DC20507}" type="pres">
      <dgm:prSet presAssocID="{AD89085C-F95B-4D0F-B75A-F62250960445}" presName="node" presStyleLbl="node1" presStyleIdx="3" presStyleCnt="5">
        <dgm:presLayoutVars>
          <dgm:bulletEnabled val="1"/>
        </dgm:presLayoutVars>
      </dgm:prSet>
      <dgm:spPr/>
    </dgm:pt>
    <dgm:pt modelId="{F0A4CA52-9C98-4BA2-90CE-BB5804809DF5}" type="pres">
      <dgm:prSet presAssocID="{D9CA76A5-9211-434D-8B71-E901F5235830}" presName="sibTrans" presStyleCnt="0"/>
      <dgm:spPr/>
    </dgm:pt>
    <dgm:pt modelId="{CAC5AEF3-856A-46AC-9B6D-8EFB6BB73EF4}" type="pres">
      <dgm:prSet presAssocID="{210A074A-7C6F-4D0C-93BA-AA2689547A3F}" presName="node" presStyleLbl="node1" presStyleIdx="4" presStyleCnt="5">
        <dgm:presLayoutVars>
          <dgm:bulletEnabled val="1"/>
        </dgm:presLayoutVars>
      </dgm:prSet>
      <dgm:spPr/>
    </dgm:pt>
  </dgm:ptLst>
  <dgm:cxnLst>
    <dgm:cxn modelId="{580C8904-5E1E-4A51-BD86-97A7094C28F6}" type="presOf" srcId="{B789EC45-738B-4697-9AB8-B0C0998E01C0}" destId="{3A243438-7D8B-4651-A0DB-D3311E09DCDC}" srcOrd="0" destOrd="0" presId="urn:microsoft.com/office/officeart/2005/8/layout/hList6"/>
    <dgm:cxn modelId="{0A2C8128-F1A0-442A-85A1-D9473FC70E0A}" srcId="{B789EC45-738B-4697-9AB8-B0C0998E01C0}" destId="{AD89085C-F95B-4D0F-B75A-F62250960445}" srcOrd="3" destOrd="0" parTransId="{32654CC2-AF12-459D-9F9E-BE3CD75E87D1}" sibTransId="{D9CA76A5-9211-434D-8B71-E901F5235830}"/>
    <dgm:cxn modelId="{172DB92E-0F97-465D-9EAE-D5E00286DA7F}" srcId="{B789EC45-738B-4697-9AB8-B0C0998E01C0}" destId="{9C9E4D15-68B2-4750-A049-582333CE6810}" srcOrd="0" destOrd="0" parTransId="{FDCF0421-9986-453E-AEE1-34EB66C0EA16}" sibTransId="{FF87AFE2-AA20-4769-A726-E36FECCF04BA}"/>
    <dgm:cxn modelId="{DB8FFA40-C19E-402A-BB3F-C9AD9B263330}" srcId="{B789EC45-738B-4697-9AB8-B0C0998E01C0}" destId="{4B1E8CA6-162A-40CB-81C0-C434122F4547}" srcOrd="1" destOrd="0" parTransId="{579E5636-2EF8-46A5-8A92-7939A71B93DC}" sibTransId="{1FBF4ACA-ADDD-46C3-AC57-032A7771AF83}"/>
    <dgm:cxn modelId="{1CA34262-1F6B-4A93-B580-4978A0D55338}" srcId="{B789EC45-738B-4697-9AB8-B0C0998E01C0}" destId="{06F6CF82-C325-434E-A79A-9F274D7574BC}" srcOrd="2" destOrd="0" parTransId="{209E7B58-090C-46F5-B229-5BDD9FE6B9EF}" sibTransId="{807958AB-277C-4F93-AFC9-ADD64072BC0E}"/>
    <dgm:cxn modelId="{3DC46D4C-EE18-4C20-BDE2-5D8A8AB1C280}" type="presOf" srcId="{06F6CF82-C325-434E-A79A-9F274D7574BC}" destId="{71E9181F-C3CF-494C-B5B7-41EAF5B3B180}" srcOrd="0" destOrd="0" presId="urn:microsoft.com/office/officeart/2005/8/layout/hList6"/>
    <dgm:cxn modelId="{41DFA57C-B2F3-4410-B963-FCAD017F9D84}" type="presOf" srcId="{4B1E8CA6-162A-40CB-81C0-C434122F4547}" destId="{6E8A34F7-70A0-4EC6-9F9C-913665A5AE28}" srcOrd="0" destOrd="0" presId="urn:microsoft.com/office/officeart/2005/8/layout/hList6"/>
    <dgm:cxn modelId="{E64DF983-38B0-4FDF-A49A-8F727E2A648B}" type="presOf" srcId="{9C9E4D15-68B2-4750-A049-582333CE6810}" destId="{B092578C-CD5B-491E-822C-05814C363FED}" srcOrd="0" destOrd="0" presId="urn:microsoft.com/office/officeart/2005/8/layout/hList6"/>
    <dgm:cxn modelId="{D72935A1-A9EE-4AFC-98BB-22DDB67DBBC6}" type="presOf" srcId="{AD89085C-F95B-4D0F-B75A-F62250960445}" destId="{23EE2E24-4FDC-4779-9BA7-59BB5DC20507}" srcOrd="0" destOrd="0" presId="urn:microsoft.com/office/officeart/2005/8/layout/hList6"/>
    <dgm:cxn modelId="{FFEDA7C5-6B35-4D80-BC32-DE445671D665}" type="presOf" srcId="{210A074A-7C6F-4D0C-93BA-AA2689547A3F}" destId="{CAC5AEF3-856A-46AC-9B6D-8EFB6BB73EF4}" srcOrd="0" destOrd="0" presId="urn:microsoft.com/office/officeart/2005/8/layout/hList6"/>
    <dgm:cxn modelId="{9F4160E5-66A2-4922-B499-0398FB0964BC}" srcId="{B789EC45-738B-4697-9AB8-B0C0998E01C0}" destId="{210A074A-7C6F-4D0C-93BA-AA2689547A3F}" srcOrd="4" destOrd="0" parTransId="{F83CBEA7-B621-4840-8392-39224FA16BDF}" sibTransId="{9E22987E-21B1-47EE-8E3A-558031D4EB0D}"/>
    <dgm:cxn modelId="{1E6A73DF-501D-4CAD-90E4-3849BFD5D41F}" type="presParOf" srcId="{3A243438-7D8B-4651-A0DB-D3311E09DCDC}" destId="{B092578C-CD5B-491E-822C-05814C363FED}" srcOrd="0" destOrd="0" presId="urn:microsoft.com/office/officeart/2005/8/layout/hList6"/>
    <dgm:cxn modelId="{4EC5DB2C-3310-41E9-805A-A82597EF308D}" type="presParOf" srcId="{3A243438-7D8B-4651-A0DB-D3311E09DCDC}" destId="{D70CD880-3E6F-4174-8B63-78AC8C77599D}" srcOrd="1" destOrd="0" presId="urn:microsoft.com/office/officeart/2005/8/layout/hList6"/>
    <dgm:cxn modelId="{26FA2C54-9542-40C5-A9D9-2DC6039A8336}" type="presParOf" srcId="{3A243438-7D8B-4651-A0DB-D3311E09DCDC}" destId="{6E8A34F7-70A0-4EC6-9F9C-913665A5AE28}" srcOrd="2" destOrd="0" presId="urn:microsoft.com/office/officeart/2005/8/layout/hList6"/>
    <dgm:cxn modelId="{78BEDC61-EEED-4157-BF3F-849615092FF0}" type="presParOf" srcId="{3A243438-7D8B-4651-A0DB-D3311E09DCDC}" destId="{F72CAC73-0DD6-472A-ABBF-2CE6E74AC327}" srcOrd="3" destOrd="0" presId="urn:microsoft.com/office/officeart/2005/8/layout/hList6"/>
    <dgm:cxn modelId="{A715DB1F-FDD3-4ACC-8CB9-6AB138142B52}" type="presParOf" srcId="{3A243438-7D8B-4651-A0DB-D3311E09DCDC}" destId="{71E9181F-C3CF-494C-B5B7-41EAF5B3B180}" srcOrd="4" destOrd="0" presId="urn:microsoft.com/office/officeart/2005/8/layout/hList6"/>
    <dgm:cxn modelId="{2758EA3D-CE61-4FA8-9E80-1A0C0C7A5AED}" type="presParOf" srcId="{3A243438-7D8B-4651-A0DB-D3311E09DCDC}" destId="{9869A2E3-90E5-4547-A310-DDF399374916}" srcOrd="5" destOrd="0" presId="urn:microsoft.com/office/officeart/2005/8/layout/hList6"/>
    <dgm:cxn modelId="{BFE3A0B5-BAA5-42AB-887A-14892F35A862}" type="presParOf" srcId="{3A243438-7D8B-4651-A0DB-D3311E09DCDC}" destId="{23EE2E24-4FDC-4779-9BA7-59BB5DC20507}" srcOrd="6" destOrd="0" presId="urn:microsoft.com/office/officeart/2005/8/layout/hList6"/>
    <dgm:cxn modelId="{8A10532C-9DB7-442F-B8F8-C65D09183106}" type="presParOf" srcId="{3A243438-7D8B-4651-A0DB-D3311E09DCDC}" destId="{F0A4CA52-9C98-4BA2-90CE-BB5804809DF5}" srcOrd="7" destOrd="0" presId="urn:microsoft.com/office/officeart/2005/8/layout/hList6"/>
    <dgm:cxn modelId="{ABF0EE45-737B-4D9C-857D-757E2247B182}" type="presParOf" srcId="{3A243438-7D8B-4651-A0DB-D3311E09DCDC}" destId="{CAC5AEF3-856A-46AC-9B6D-8EFB6BB73EF4}" srcOrd="8" destOrd="0" presId="urn:microsoft.com/office/officeart/2005/8/layout/hList6"/>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B34F1CA-46FC-4E9B-A188-3AE9D303F538}">
      <dsp:nvSpPr>
        <dsp:cNvPr id="0" name=""/>
        <dsp:cNvSpPr/>
      </dsp:nvSpPr>
      <dsp:spPr>
        <a:xfrm>
          <a:off x="1632" y="9750"/>
          <a:ext cx="2370100" cy="509778"/>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51435" tIns="34290" rIns="51435" bIns="34290" numCol="1" spcCol="1270" anchor="ctr" anchorCtr="0">
          <a:noAutofit/>
        </a:bodyPr>
        <a:lstStyle/>
        <a:p>
          <a:pPr marL="0" lvl="0" indent="0" algn="ctr" defTabSz="1200150">
            <a:lnSpc>
              <a:spcPct val="90000"/>
            </a:lnSpc>
            <a:spcBef>
              <a:spcPct val="0"/>
            </a:spcBef>
            <a:spcAft>
              <a:spcPct val="35000"/>
            </a:spcAft>
            <a:buNone/>
          </a:pPr>
          <a:r>
            <a:rPr lang="en-US" sz="2700" kern="1200">
              <a:latin typeface="Times New Roman" panose="02020603050405020304" pitchFamily="18" charset="0"/>
              <a:cs typeface="Times New Roman" panose="02020603050405020304" pitchFamily="18" charset="0"/>
            </a:rPr>
            <a:t>Cập nhật số liệu</a:t>
          </a:r>
        </a:p>
      </dsp:txBody>
      <dsp:txXfrm>
        <a:off x="16563" y="24681"/>
        <a:ext cx="2340238" cy="479916"/>
      </dsp:txXfrm>
    </dsp:sp>
    <dsp:sp modelId="{DFE9BB07-2864-4397-80C3-CFF3B4BC7F9E}">
      <dsp:nvSpPr>
        <dsp:cNvPr id="0" name=""/>
        <dsp:cNvSpPr/>
      </dsp:nvSpPr>
      <dsp:spPr>
        <a:xfrm>
          <a:off x="238642" y="519528"/>
          <a:ext cx="237010" cy="251954"/>
        </a:xfrm>
        <a:custGeom>
          <a:avLst/>
          <a:gdLst/>
          <a:ahLst/>
          <a:cxnLst/>
          <a:rect l="0" t="0" r="0" b="0"/>
          <a:pathLst>
            <a:path>
              <a:moveTo>
                <a:pt x="0" y="0"/>
              </a:moveTo>
              <a:lnTo>
                <a:pt x="0" y="251954"/>
              </a:lnTo>
              <a:lnTo>
                <a:pt x="237010" y="251954"/>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8105A09-5365-40E0-A08B-B6059863957F}">
      <dsp:nvSpPr>
        <dsp:cNvPr id="0" name=""/>
        <dsp:cNvSpPr/>
      </dsp:nvSpPr>
      <dsp:spPr>
        <a:xfrm>
          <a:off x="475652" y="603513"/>
          <a:ext cx="2532021" cy="335939"/>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latin typeface="Times New Roman" panose="02020603050405020304" pitchFamily="18" charset="0"/>
              <a:cs typeface="Times New Roman" panose="02020603050405020304" pitchFamily="18" charset="0"/>
            </a:rPr>
            <a:t>HÔN NHÂN VÀ GIA ĐÌNH</a:t>
          </a:r>
        </a:p>
      </dsp:txBody>
      <dsp:txXfrm>
        <a:off x="485491" y="613352"/>
        <a:ext cx="2512343" cy="316261"/>
      </dsp:txXfrm>
    </dsp:sp>
    <dsp:sp modelId="{71E4ECD9-0DC7-48EA-BB46-DEDD231122DF}">
      <dsp:nvSpPr>
        <dsp:cNvPr id="0" name=""/>
        <dsp:cNvSpPr/>
      </dsp:nvSpPr>
      <dsp:spPr>
        <a:xfrm>
          <a:off x="238642" y="519528"/>
          <a:ext cx="237010" cy="671878"/>
        </a:xfrm>
        <a:custGeom>
          <a:avLst/>
          <a:gdLst/>
          <a:ahLst/>
          <a:cxnLst/>
          <a:rect l="0" t="0" r="0" b="0"/>
          <a:pathLst>
            <a:path>
              <a:moveTo>
                <a:pt x="0" y="0"/>
              </a:moveTo>
              <a:lnTo>
                <a:pt x="0" y="671878"/>
              </a:lnTo>
              <a:lnTo>
                <a:pt x="237010" y="671878"/>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F9965CF-CAB8-482F-B417-666881F6B24D}">
      <dsp:nvSpPr>
        <dsp:cNvPr id="0" name=""/>
        <dsp:cNvSpPr/>
      </dsp:nvSpPr>
      <dsp:spPr>
        <a:xfrm>
          <a:off x="475652" y="1023437"/>
          <a:ext cx="2542185" cy="335939"/>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latin typeface="Times New Roman" panose="02020603050405020304" pitchFamily="18" charset="0"/>
              <a:cs typeface="Times New Roman" panose="02020603050405020304" pitchFamily="18" charset="0"/>
            </a:rPr>
            <a:t>DÂN SỰ</a:t>
          </a:r>
        </a:p>
      </dsp:txBody>
      <dsp:txXfrm>
        <a:off x="485491" y="1033276"/>
        <a:ext cx="2522507" cy="316261"/>
      </dsp:txXfrm>
    </dsp:sp>
    <dsp:sp modelId="{1E3A1C36-53A0-4B0A-A730-535CE110BBA2}">
      <dsp:nvSpPr>
        <dsp:cNvPr id="0" name=""/>
        <dsp:cNvSpPr/>
      </dsp:nvSpPr>
      <dsp:spPr>
        <a:xfrm>
          <a:off x="238642" y="519528"/>
          <a:ext cx="237010" cy="1091803"/>
        </a:xfrm>
        <a:custGeom>
          <a:avLst/>
          <a:gdLst/>
          <a:ahLst/>
          <a:cxnLst/>
          <a:rect l="0" t="0" r="0" b="0"/>
          <a:pathLst>
            <a:path>
              <a:moveTo>
                <a:pt x="0" y="0"/>
              </a:moveTo>
              <a:lnTo>
                <a:pt x="0" y="1091803"/>
              </a:lnTo>
              <a:lnTo>
                <a:pt x="237010" y="1091803"/>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11D74E-E5ED-45A0-A2BB-8AF397AFF51F}">
      <dsp:nvSpPr>
        <dsp:cNvPr id="0" name=""/>
        <dsp:cNvSpPr/>
      </dsp:nvSpPr>
      <dsp:spPr>
        <a:xfrm>
          <a:off x="475652" y="1443361"/>
          <a:ext cx="2530570" cy="335939"/>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latin typeface="Times New Roman" panose="02020603050405020304" pitchFamily="18" charset="0"/>
              <a:cs typeface="Times New Roman" panose="02020603050405020304" pitchFamily="18" charset="0"/>
            </a:rPr>
            <a:t>KINH DOANH THƯƠNG MẠI</a:t>
          </a:r>
        </a:p>
      </dsp:txBody>
      <dsp:txXfrm>
        <a:off x="485491" y="1453200"/>
        <a:ext cx="2510892" cy="316261"/>
      </dsp:txXfrm>
    </dsp:sp>
    <dsp:sp modelId="{823A9FA9-C43D-4C2A-A87F-B0F1786155EE}">
      <dsp:nvSpPr>
        <dsp:cNvPr id="0" name=""/>
        <dsp:cNvSpPr/>
      </dsp:nvSpPr>
      <dsp:spPr>
        <a:xfrm>
          <a:off x="238642" y="519528"/>
          <a:ext cx="237010" cy="1511727"/>
        </a:xfrm>
        <a:custGeom>
          <a:avLst/>
          <a:gdLst/>
          <a:ahLst/>
          <a:cxnLst/>
          <a:rect l="0" t="0" r="0" b="0"/>
          <a:pathLst>
            <a:path>
              <a:moveTo>
                <a:pt x="0" y="0"/>
              </a:moveTo>
              <a:lnTo>
                <a:pt x="0" y="1511727"/>
              </a:lnTo>
              <a:lnTo>
                <a:pt x="237010" y="1511727"/>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98A3A8D-3936-46B8-8732-75D5A63E291D}">
      <dsp:nvSpPr>
        <dsp:cNvPr id="0" name=""/>
        <dsp:cNvSpPr/>
      </dsp:nvSpPr>
      <dsp:spPr>
        <a:xfrm>
          <a:off x="475652" y="1863286"/>
          <a:ext cx="2538229" cy="335939"/>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latin typeface="Times New Roman" panose="02020603050405020304" pitchFamily="18" charset="0"/>
              <a:cs typeface="Times New Roman" panose="02020603050405020304" pitchFamily="18" charset="0"/>
            </a:rPr>
            <a:t>LAO ĐỘNG</a:t>
          </a:r>
        </a:p>
      </dsp:txBody>
      <dsp:txXfrm>
        <a:off x="485491" y="1873125"/>
        <a:ext cx="2518551" cy="316261"/>
      </dsp:txXfrm>
    </dsp:sp>
    <dsp:sp modelId="{A268D368-C0BB-4432-B4D4-09BF8110216D}">
      <dsp:nvSpPr>
        <dsp:cNvPr id="0" name=""/>
        <dsp:cNvSpPr/>
      </dsp:nvSpPr>
      <dsp:spPr>
        <a:xfrm>
          <a:off x="238642" y="519528"/>
          <a:ext cx="237010" cy="1931652"/>
        </a:xfrm>
        <a:custGeom>
          <a:avLst/>
          <a:gdLst/>
          <a:ahLst/>
          <a:cxnLst/>
          <a:rect l="0" t="0" r="0" b="0"/>
          <a:pathLst>
            <a:path>
              <a:moveTo>
                <a:pt x="0" y="0"/>
              </a:moveTo>
              <a:lnTo>
                <a:pt x="0" y="1931652"/>
              </a:lnTo>
              <a:lnTo>
                <a:pt x="237010" y="1931652"/>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5E951F8-0BBA-4744-A956-5989ED1420A2}">
      <dsp:nvSpPr>
        <dsp:cNvPr id="0" name=""/>
        <dsp:cNvSpPr/>
      </dsp:nvSpPr>
      <dsp:spPr>
        <a:xfrm>
          <a:off x="475652" y="2283210"/>
          <a:ext cx="2553570" cy="335939"/>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6670" tIns="17780" rIns="26670" bIns="17780" numCol="1" spcCol="1270" anchor="ctr" anchorCtr="0">
          <a:noAutofit/>
        </a:bodyPr>
        <a:lstStyle/>
        <a:p>
          <a:pPr marL="0" lvl="0" indent="0" algn="ctr" defTabSz="622300">
            <a:lnSpc>
              <a:spcPct val="90000"/>
            </a:lnSpc>
            <a:spcBef>
              <a:spcPct val="0"/>
            </a:spcBef>
            <a:spcAft>
              <a:spcPct val="35000"/>
            </a:spcAft>
            <a:buNone/>
          </a:pPr>
          <a:r>
            <a:rPr lang="en-US" sz="1400" kern="1200">
              <a:latin typeface="Times New Roman" panose="02020603050405020304" pitchFamily="18" charset="0"/>
              <a:cs typeface="Times New Roman" panose="02020603050405020304" pitchFamily="18" charset="0"/>
            </a:rPr>
            <a:t>HÀNH CHÍNH</a:t>
          </a:r>
        </a:p>
      </dsp:txBody>
      <dsp:txXfrm>
        <a:off x="485491" y="2293049"/>
        <a:ext cx="2533892" cy="316261"/>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CB34F1CA-46FC-4E9B-A188-3AE9D303F538}">
      <dsp:nvSpPr>
        <dsp:cNvPr id="0" name=""/>
        <dsp:cNvSpPr/>
      </dsp:nvSpPr>
      <dsp:spPr>
        <a:xfrm>
          <a:off x="1674" y="8320"/>
          <a:ext cx="2431177" cy="458530"/>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51435" tIns="34290" rIns="51435" bIns="34290" numCol="1" spcCol="1270" anchor="ctr" anchorCtr="0">
          <a:noAutofit/>
        </a:bodyPr>
        <a:lstStyle/>
        <a:p>
          <a:pPr marL="0" lvl="0" indent="0" algn="ctr" defTabSz="1200150">
            <a:lnSpc>
              <a:spcPct val="90000"/>
            </a:lnSpc>
            <a:spcBef>
              <a:spcPct val="0"/>
            </a:spcBef>
            <a:spcAft>
              <a:spcPct val="35000"/>
            </a:spcAft>
            <a:buNone/>
          </a:pPr>
          <a:r>
            <a:rPr lang="en-US" sz="2700" kern="1200">
              <a:latin typeface="Times New Roman" panose="02020603050405020304" pitchFamily="18" charset="0"/>
              <a:cs typeface="Times New Roman" panose="02020603050405020304" pitchFamily="18" charset="0"/>
            </a:rPr>
            <a:t>Thống kê</a:t>
          </a:r>
        </a:p>
      </dsp:txBody>
      <dsp:txXfrm>
        <a:off x="15104" y="21750"/>
        <a:ext cx="2404317" cy="431670"/>
      </dsp:txXfrm>
    </dsp:sp>
    <dsp:sp modelId="{DFE9BB07-2864-4397-80C3-CFF3B4BC7F9E}">
      <dsp:nvSpPr>
        <dsp:cNvPr id="0" name=""/>
        <dsp:cNvSpPr/>
      </dsp:nvSpPr>
      <dsp:spPr>
        <a:xfrm>
          <a:off x="244792" y="466850"/>
          <a:ext cx="243117" cy="258447"/>
        </a:xfrm>
        <a:custGeom>
          <a:avLst/>
          <a:gdLst/>
          <a:ahLst/>
          <a:cxnLst/>
          <a:rect l="0" t="0" r="0" b="0"/>
          <a:pathLst>
            <a:path>
              <a:moveTo>
                <a:pt x="0" y="0"/>
              </a:moveTo>
              <a:lnTo>
                <a:pt x="0" y="258447"/>
              </a:lnTo>
              <a:lnTo>
                <a:pt x="243117" y="258447"/>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78105A09-5365-40E0-A08B-B6059863957F}">
      <dsp:nvSpPr>
        <dsp:cNvPr id="0" name=""/>
        <dsp:cNvSpPr/>
      </dsp:nvSpPr>
      <dsp:spPr>
        <a:xfrm>
          <a:off x="487909" y="552999"/>
          <a:ext cx="2597271" cy="344596"/>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latin typeface="Times New Roman" panose="02020603050405020304" pitchFamily="18" charset="0"/>
              <a:cs typeface="Times New Roman" panose="02020603050405020304" pitchFamily="18" charset="0"/>
            </a:rPr>
            <a:t>HÔN NHÂN VÀ GIA ĐÌNH</a:t>
          </a:r>
        </a:p>
      </dsp:txBody>
      <dsp:txXfrm>
        <a:off x="498002" y="563092"/>
        <a:ext cx="2577085" cy="324410"/>
      </dsp:txXfrm>
    </dsp:sp>
    <dsp:sp modelId="{71E4ECD9-0DC7-48EA-BB46-DEDD231122DF}">
      <dsp:nvSpPr>
        <dsp:cNvPr id="0" name=""/>
        <dsp:cNvSpPr/>
      </dsp:nvSpPr>
      <dsp:spPr>
        <a:xfrm>
          <a:off x="244792" y="466850"/>
          <a:ext cx="243117" cy="689193"/>
        </a:xfrm>
        <a:custGeom>
          <a:avLst/>
          <a:gdLst/>
          <a:ahLst/>
          <a:cxnLst/>
          <a:rect l="0" t="0" r="0" b="0"/>
          <a:pathLst>
            <a:path>
              <a:moveTo>
                <a:pt x="0" y="0"/>
              </a:moveTo>
              <a:lnTo>
                <a:pt x="0" y="689193"/>
              </a:lnTo>
              <a:lnTo>
                <a:pt x="243117" y="689193"/>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6F9965CF-CAB8-482F-B417-666881F6B24D}">
      <dsp:nvSpPr>
        <dsp:cNvPr id="0" name=""/>
        <dsp:cNvSpPr/>
      </dsp:nvSpPr>
      <dsp:spPr>
        <a:xfrm>
          <a:off x="487909" y="983745"/>
          <a:ext cx="2607697" cy="344596"/>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latin typeface="Times New Roman" panose="02020603050405020304" pitchFamily="18" charset="0"/>
              <a:cs typeface="Times New Roman" panose="02020603050405020304" pitchFamily="18" charset="0"/>
            </a:rPr>
            <a:t>DÂN SỰ</a:t>
          </a:r>
        </a:p>
      </dsp:txBody>
      <dsp:txXfrm>
        <a:off x="498002" y="993838"/>
        <a:ext cx="2587511" cy="324410"/>
      </dsp:txXfrm>
    </dsp:sp>
    <dsp:sp modelId="{1E3A1C36-53A0-4B0A-A730-535CE110BBA2}">
      <dsp:nvSpPr>
        <dsp:cNvPr id="0" name=""/>
        <dsp:cNvSpPr/>
      </dsp:nvSpPr>
      <dsp:spPr>
        <a:xfrm>
          <a:off x="244792" y="466850"/>
          <a:ext cx="243117" cy="1119939"/>
        </a:xfrm>
        <a:custGeom>
          <a:avLst/>
          <a:gdLst/>
          <a:ahLst/>
          <a:cxnLst/>
          <a:rect l="0" t="0" r="0" b="0"/>
          <a:pathLst>
            <a:path>
              <a:moveTo>
                <a:pt x="0" y="0"/>
              </a:moveTo>
              <a:lnTo>
                <a:pt x="0" y="1119939"/>
              </a:lnTo>
              <a:lnTo>
                <a:pt x="243117" y="1119939"/>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5C11D74E-E5ED-45A0-A2BB-8AF397AFF51F}">
      <dsp:nvSpPr>
        <dsp:cNvPr id="0" name=""/>
        <dsp:cNvSpPr/>
      </dsp:nvSpPr>
      <dsp:spPr>
        <a:xfrm>
          <a:off x="487909" y="1414491"/>
          <a:ext cx="2595783" cy="344596"/>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latin typeface="Times New Roman" panose="02020603050405020304" pitchFamily="18" charset="0"/>
              <a:cs typeface="Times New Roman" panose="02020603050405020304" pitchFamily="18" charset="0"/>
            </a:rPr>
            <a:t>KINH DOANH THƯƠNG MẠI</a:t>
          </a:r>
        </a:p>
      </dsp:txBody>
      <dsp:txXfrm>
        <a:off x="498002" y="1424584"/>
        <a:ext cx="2575597" cy="324410"/>
      </dsp:txXfrm>
    </dsp:sp>
    <dsp:sp modelId="{823A9FA9-C43D-4C2A-A87F-B0F1786155EE}">
      <dsp:nvSpPr>
        <dsp:cNvPr id="0" name=""/>
        <dsp:cNvSpPr/>
      </dsp:nvSpPr>
      <dsp:spPr>
        <a:xfrm>
          <a:off x="244792" y="466850"/>
          <a:ext cx="243117" cy="1550684"/>
        </a:xfrm>
        <a:custGeom>
          <a:avLst/>
          <a:gdLst/>
          <a:ahLst/>
          <a:cxnLst/>
          <a:rect l="0" t="0" r="0" b="0"/>
          <a:pathLst>
            <a:path>
              <a:moveTo>
                <a:pt x="0" y="0"/>
              </a:moveTo>
              <a:lnTo>
                <a:pt x="0" y="1550684"/>
              </a:lnTo>
              <a:lnTo>
                <a:pt x="243117" y="1550684"/>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998A3A8D-3936-46B8-8732-75D5A63E291D}">
      <dsp:nvSpPr>
        <dsp:cNvPr id="0" name=""/>
        <dsp:cNvSpPr/>
      </dsp:nvSpPr>
      <dsp:spPr>
        <a:xfrm>
          <a:off x="487909" y="1845237"/>
          <a:ext cx="2603639" cy="344596"/>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latin typeface="Times New Roman" panose="02020603050405020304" pitchFamily="18" charset="0"/>
              <a:cs typeface="Times New Roman" panose="02020603050405020304" pitchFamily="18" charset="0"/>
            </a:rPr>
            <a:t>LAO ĐỘNG</a:t>
          </a:r>
        </a:p>
      </dsp:txBody>
      <dsp:txXfrm>
        <a:off x="498002" y="1855330"/>
        <a:ext cx="2583453" cy="324410"/>
      </dsp:txXfrm>
    </dsp:sp>
    <dsp:sp modelId="{A268D368-C0BB-4432-B4D4-09BF8110216D}">
      <dsp:nvSpPr>
        <dsp:cNvPr id="0" name=""/>
        <dsp:cNvSpPr/>
      </dsp:nvSpPr>
      <dsp:spPr>
        <a:xfrm>
          <a:off x="244792" y="466850"/>
          <a:ext cx="243117" cy="1981430"/>
        </a:xfrm>
        <a:custGeom>
          <a:avLst/>
          <a:gdLst/>
          <a:ahLst/>
          <a:cxnLst/>
          <a:rect l="0" t="0" r="0" b="0"/>
          <a:pathLst>
            <a:path>
              <a:moveTo>
                <a:pt x="0" y="0"/>
              </a:moveTo>
              <a:lnTo>
                <a:pt x="0" y="1981430"/>
              </a:lnTo>
              <a:lnTo>
                <a:pt x="243117" y="1981430"/>
              </a:lnTo>
            </a:path>
          </a:pathLst>
        </a:custGeom>
        <a:noFill/>
        <a:ln w="25400" cap="flat" cmpd="sng" algn="ctr">
          <a:solidFill>
            <a:schemeClr val="accent1">
              <a:shade val="60000"/>
              <a:hueOff val="0"/>
              <a:satOff val="0"/>
              <a:lumOff val="0"/>
              <a:alphaOff val="0"/>
            </a:schemeClr>
          </a:solidFill>
          <a:prstDash val="solid"/>
        </a:ln>
        <a:effectLst/>
        <a:scene3d>
          <a:camera prst="orthographicFront"/>
          <a:lightRig rig="flat" dir="t"/>
        </a:scene3d>
        <a:sp3d prstMaterial="matte"/>
      </dsp:spPr>
      <dsp:style>
        <a:lnRef idx="2">
          <a:scrgbClr r="0" g="0" b="0"/>
        </a:lnRef>
        <a:fillRef idx="0">
          <a:scrgbClr r="0" g="0" b="0"/>
        </a:fillRef>
        <a:effectRef idx="0">
          <a:scrgbClr r="0" g="0" b="0"/>
        </a:effectRef>
        <a:fontRef idx="minor"/>
      </dsp:style>
    </dsp:sp>
    <dsp:sp modelId="{25E951F8-0BBA-4744-A956-5989ED1420A2}">
      <dsp:nvSpPr>
        <dsp:cNvPr id="0" name=""/>
        <dsp:cNvSpPr/>
      </dsp:nvSpPr>
      <dsp:spPr>
        <a:xfrm>
          <a:off x="487909" y="2275983"/>
          <a:ext cx="2619375" cy="344596"/>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a:scene3d>
          <a:camera prst="orthographicFront"/>
          <a:lightRig rig="flat" dir="t"/>
        </a:scene3d>
        <a:sp3d z="-190500" extrusionH="12700" prstMaterial="plastic">
          <a:bevelT w="50800" h="50800"/>
        </a:sp3d>
      </dsp:spPr>
      <dsp:style>
        <a:lnRef idx="1">
          <a:scrgbClr r="0" g="0" b="0"/>
        </a:lnRef>
        <a:fillRef idx="1">
          <a:scrgbClr r="0" g="0" b="0"/>
        </a:fillRef>
        <a:effectRef idx="2">
          <a:scrgbClr r="0" g="0" b="0"/>
        </a:effectRef>
        <a:fontRef idx="minor"/>
      </dsp:style>
      <dsp:txBody>
        <a:bodyPr spcFirstLastPara="0" vert="horz" wrap="square" lIns="28575" tIns="19050" rIns="28575" bIns="19050" numCol="1" spcCol="1270" anchor="ctr" anchorCtr="0">
          <a:noAutofit/>
        </a:bodyPr>
        <a:lstStyle/>
        <a:p>
          <a:pPr marL="0" lvl="0" indent="0" algn="ctr" defTabSz="666750">
            <a:lnSpc>
              <a:spcPct val="90000"/>
            </a:lnSpc>
            <a:spcBef>
              <a:spcPct val="0"/>
            </a:spcBef>
            <a:spcAft>
              <a:spcPct val="35000"/>
            </a:spcAft>
            <a:buNone/>
          </a:pPr>
          <a:r>
            <a:rPr lang="en-US" sz="1500" kern="1200">
              <a:latin typeface="Times New Roman" panose="02020603050405020304" pitchFamily="18" charset="0"/>
              <a:cs typeface="Times New Roman" panose="02020603050405020304" pitchFamily="18" charset="0"/>
            </a:rPr>
            <a:t>HÀNH CHÍNH</a:t>
          </a:r>
        </a:p>
      </dsp:txBody>
      <dsp:txXfrm>
        <a:off x="498002" y="2286076"/>
        <a:ext cx="2599189" cy="324410"/>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20663" y="220663"/>
          <a:ext cx="1350252" cy="908925"/>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564"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70049"/>
        <a:ext cx="908925" cy="810152"/>
      </dsp:txXfrm>
    </dsp:sp>
    <dsp:sp modelId="{6E8A34F7-70A0-4EC6-9F9C-913665A5AE28}">
      <dsp:nvSpPr>
        <dsp:cNvPr id="0" name=""/>
        <dsp:cNvSpPr/>
      </dsp:nvSpPr>
      <dsp:spPr>
        <a:xfrm rot="16200000">
          <a:off x="759021" y="220663"/>
          <a:ext cx="1350252"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564"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DS</a:t>
          </a:r>
        </a:p>
      </dsp:txBody>
      <dsp:txXfrm rot="5400000">
        <a:off x="979685" y="270049"/>
        <a:ext cx="908925" cy="810152"/>
      </dsp:txXfrm>
    </dsp:sp>
    <dsp:sp modelId="{71E9181F-C3CF-494C-B5B7-41EAF5B3B180}">
      <dsp:nvSpPr>
        <dsp:cNvPr id="0" name=""/>
        <dsp:cNvSpPr/>
      </dsp:nvSpPr>
      <dsp:spPr>
        <a:xfrm rot="16200000">
          <a:off x="1736116" y="220663"/>
          <a:ext cx="1350252"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564"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KDTM</a:t>
          </a:r>
        </a:p>
      </dsp:txBody>
      <dsp:txXfrm rot="5400000">
        <a:off x="1956780" y="270049"/>
        <a:ext cx="908925" cy="810152"/>
      </dsp:txXfrm>
    </dsp:sp>
    <dsp:sp modelId="{23EE2E24-4FDC-4779-9BA7-59BB5DC20507}">
      <dsp:nvSpPr>
        <dsp:cNvPr id="0" name=""/>
        <dsp:cNvSpPr/>
      </dsp:nvSpPr>
      <dsp:spPr>
        <a:xfrm rot="16200000">
          <a:off x="2713210" y="220663"/>
          <a:ext cx="1350252"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564"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LĐ</a:t>
          </a:r>
        </a:p>
      </dsp:txBody>
      <dsp:txXfrm rot="5400000">
        <a:off x="2933874" y="270049"/>
        <a:ext cx="908925" cy="810152"/>
      </dsp:txXfrm>
    </dsp:sp>
    <dsp:sp modelId="{CAC5AEF3-856A-46AC-9B6D-8EFB6BB73EF4}">
      <dsp:nvSpPr>
        <dsp:cNvPr id="0" name=""/>
        <dsp:cNvSpPr/>
      </dsp:nvSpPr>
      <dsp:spPr>
        <a:xfrm rot="16200000">
          <a:off x="3690305" y="220663"/>
          <a:ext cx="1350252"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564"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HC</a:t>
          </a:r>
        </a:p>
      </dsp:txBody>
      <dsp:txXfrm rot="5400000">
        <a:off x="3910969" y="270049"/>
        <a:ext cx="908925" cy="810152"/>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71365" y="-71365"/>
          <a:ext cx="1342459" cy="1485190"/>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52400" tIns="0" rIns="152295" bIns="0" numCol="1" spcCol="1270" anchor="ctr" anchorCtr="0">
          <a:noAutofit/>
        </a:bodyPr>
        <a:lstStyle/>
        <a:p>
          <a:pPr marL="0" lvl="0" indent="0" algn="ctr" defTabSz="1066800">
            <a:lnSpc>
              <a:spcPct val="90000"/>
            </a:lnSpc>
            <a:spcBef>
              <a:spcPct val="0"/>
            </a:spcBef>
            <a:spcAft>
              <a:spcPct val="35000"/>
            </a:spcAft>
            <a:buNone/>
          </a:pPr>
          <a:r>
            <a:rPr lang="en-US" sz="2400" kern="1200"/>
            <a:t>Về trang chủ</a:t>
          </a:r>
        </a:p>
      </dsp:txBody>
      <dsp:txXfrm rot="5400000">
        <a:off x="0" y="268492"/>
        <a:ext cx="1485190" cy="805475"/>
      </dsp:txXfrm>
    </dsp:sp>
    <dsp:sp modelId="{6E8A34F7-70A0-4EC6-9F9C-913665A5AE28}">
      <dsp:nvSpPr>
        <dsp:cNvPr id="0" name=""/>
        <dsp:cNvSpPr/>
      </dsp:nvSpPr>
      <dsp:spPr>
        <a:xfrm rot="16200000">
          <a:off x="1672178" y="-71365"/>
          <a:ext cx="1342459" cy="148519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52400" tIns="0" rIns="152295" bIns="0" numCol="1" spcCol="1270" anchor="ctr" anchorCtr="0">
          <a:noAutofit/>
        </a:bodyPr>
        <a:lstStyle/>
        <a:p>
          <a:pPr marL="0" lvl="0" indent="0" algn="ctr" defTabSz="1066800">
            <a:lnSpc>
              <a:spcPct val="90000"/>
            </a:lnSpc>
            <a:spcBef>
              <a:spcPct val="0"/>
            </a:spcBef>
            <a:spcAft>
              <a:spcPct val="35000"/>
            </a:spcAft>
            <a:buNone/>
          </a:pPr>
          <a:r>
            <a:rPr lang="en-US" sz="2400" kern="1200"/>
            <a:t>Số liệu án HNGĐ</a:t>
          </a:r>
        </a:p>
      </dsp:txBody>
      <dsp:txXfrm rot="5400000">
        <a:off x="1600813" y="268492"/>
        <a:ext cx="1485190" cy="805475"/>
      </dsp:txXfrm>
    </dsp:sp>
    <dsp:sp modelId="{71E9181F-C3CF-494C-B5B7-41EAF5B3B180}">
      <dsp:nvSpPr>
        <dsp:cNvPr id="0" name=""/>
        <dsp:cNvSpPr/>
      </dsp:nvSpPr>
      <dsp:spPr>
        <a:xfrm rot="16200000">
          <a:off x="3268758" y="-71365"/>
          <a:ext cx="1342459" cy="148519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52400" tIns="0" rIns="152295" bIns="0" numCol="1" spcCol="1270" anchor="ctr" anchorCtr="0">
          <a:noAutofit/>
        </a:bodyPr>
        <a:lstStyle/>
        <a:p>
          <a:pPr marL="0" lvl="0" indent="0" algn="ctr" defTabSz="1066800">
            <a:lnSpc>
              <a:spcPct val="90000"/>
            </a:lnSpc>
            <a:spcBef>
              <a:spcPct val="0"/>
            </a:spcBef>
            <a:spcAft>
              <a:spcPct val="35000"/>
            </a:spcAft>
            <a:buNone/>
          </a:pPr>
          <a:r>
            <a:rPr lang="en-US" sz="2400" kern="1200"/>
            <a:t>Số liệu án KDTM</a:t>
          </a:r>
        </a:p>
      </dsp:txBody>
      <dsp:txXfrm rot="5400000">
        <a:off x="3197393" y="268492"/>
        <a:ext cx="1485190" cy="805475"/>
      </dsp:txXfrm>
    </dsp:sp>
    <dsp:sp modelId="{23EE2E24-4FDC-4779-9BA7-59BB5DC20507}">
      <dsp:nvSpPr>
        <dsp:cNvPr id="0" name=""/>
        <dsp:cNvSpPr/>
      </dsp:nvSpPr>
      <dsp:spPr>
        <a:xfrm rot="16200000">
          <a:off x="4865338" y="-71365"/>
          <a:ext cx="1342459" cy="148519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52400" tIns="0" rIns="152295" bIns="0" numCol="1" spcCol="1270" anchor="ctr" anchorCtr="0">
          <a:noAutofit/>
        </a:bodyPr>
        <a:lstStyle/>
        <a:p>
          <a:pPr marL="0" lvl="0" indent="0" algn="ctr" defTabSz="1066800">
            <a:lnSpc>
              <a:spcPct val="90000"/>
            </a:lnSpc>
            <a:spcBef>
              <a:spcPct val="0"/>
            </a:spcBef>
            <a:spcAft>
              <a:spcPct val="35000"/>
            </a:spcAft>
            <a:buNone/>
          </a:pPr>
          <a:r>
            <a:rPr lang="en-US" sz="2400" kern="1200"/>
            <a:t>Số liệu án LĐ</a:t>
          </a:r>
        </a:p>
      </dsp:txBody>
      <dsp:txXfrm rot="5400000">
        <a:off x="4793973" y="268492"/>
        <a:ext cx="1485190" cy="805475"/>
      </dsp:txXfrm>
    </dsp:sp>
    <dsp:sp modelId="{CAC5AEF3-856A-46AC-9B6D-8EFB6BB73EF4}">
      <dsp:nvSpPr>
        <dsp:cNvPr id="0" name=""/>
        <dsp:cNvSpPr/>
      </dsp:nvSpPr>
      <dsp:spPr>
        <a:xfrm rot="16200000">
          <a:off x="6461918" y="-71365"/>
          <a:ext cx="1342459" cy="148519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52400" tIns="0" rIns="152295" bIns="0" numCol="1" spcCol="1270" anchor="ctr" anchorCtr="0">
          <a:noAutofit/>
        </a:bodyPr>
        <a:lstStyle/>
        <a:p>
          <a:pPr marL="0" lvl="0" indent="0" algn="ctr" defTabSz="1066800">
            <a:lnSpc>
              <a:spcPct val="90000"/>
            </a:lnSpc>
            <a:spcBef>
              <a:spcPct val="0"/>
            </a:spcBef>
            <a:spcAft>
              <a:spcPct val="35000"/>
            </a:spcAft>
            <a:buNone/>
          </a:pPr>
          <a:r>
            <a:rPr lang="en-US" sz="2400" kern="1200"/>
            <a:t>Số liệu án HC</a:t>
          </a:r>
        </a:p>
      </dsp:txBody>
      <dsp:txXfrm rot="5400000">
        <a:off x="6390553" y="268492"/>
        <a:ext cx="1485190" cy="805475"/>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13487" y="213487"/>
          <a:ext cx="1339827" cy="912852"/>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7964"/>
        <a:ext cx="912852" cy="803897"/>
      </dsp:txXfrm>
    </dsp:sp>
    <dsp:sp modelId="{6E8A34F7-70A0-4EC6-9F9C-913665A5AE28}">
      <dsp:nvSpPr>
        <dsp:cNvPr id="0" name=""/>
        <dsp:cNvSpPr/>
      </dsp:nvSpPr>
      <dsp:spPr>
        <a:xfrm rot="16200000">
          <a:off x="770429" y="213487"/>
          <a:ext cx="1339827" cy="912852"/>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HNGĐ</a:t>
          </a:r>
        </a:p>
      </dsp:txBody>
      <dsp:txXfrm rot="5400000">
        <a:off x="983917" y="267964"/>
        <a:ext cx="912852" cy="803897"/>
      </dsp:txXfrm>
    </dsp:sp>
    <dsp:sp modelId="{71E9181F-C3CF-494C-B5B7-41EAF5B3B180}">
      <dsp:nvSpPr>
        <dsp:cNvPr id="0" name=""/>
        <dsp:cNvSpPr/>
      </dsp:nvSpPr>
      <dsp:spPr>
        <a:xfrm rot="16200000">
          <a:off x="1751746" y="213487"/>
          <a:ext cx="1339827" cy="912852"/>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DS</a:t>
          </a:r>
        </a:p>
      </dsp:txBody>
      <dsp:txXfrm rot="5400000">
        <a:off x="1965234" y="267964"/>
        <a:ext cx="912852" cy="803897"/>
      </dsp:txXfrm>
    </dsp:sp>
    <dsp:sp modelId="{23EE2E24-4FDC-4779-9BA7-59BB5DC20507}">
      <dsp:nvSpPr>
        <dsp:cNvPr id="0" name=""/>
        <dsp:cNvSpPr/>
      </dsp:nvSpPr>
      <dsp:spPr>
        <a:xfrm rot="16200000">
          <a:off x="2733062" y="213487"/>
          <a:ext cx="1339827" cy="912852"/>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LĐ</a:t>
          </a:r>
        </a:p>
      </dsp:txBody>
      <dsp:txXfrm rot="5400000">
        <a:off x="2946550" y="267964"/>
        <a:ext cx="912852" cy="803897"/>
      </dsp:txXfrm>
    </dsp:sp>
    <dsp:sp modelId="{CAC5AEF3-856A-46AC-9B6D-8EFB6BB73EF4}">
      <dsp:nvSpPr>
        <dsp:cNvPr id="0" name=""/>
        <dsp:cNvSpPr/>
      </dsp:nvSpPr>
      <dsp:spPr>
        <a:xfrm rot="16200000">
          <a:off x="3714378" y="213487"/>
          <a:ext cx="1339827" cy="912852"/>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HC</a:t>
          </a:r>
        </a:p>
      </dsp:txBody>
      <dsp:txXfrm rot="5400000">
        <a:off x="3927866" y="267964"/>
        <a:ext cx="912852" cy="803897"/>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05602" y="205602"/>
          <a:ext cx="1320131" cy="908925"/>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5257" bIns="0" numCol="1" spcCol="1270" anchor="ctr" anchorCtr="0">
          <a:noAutofit/>
        </a:bodyPr>
        <a:lstStyle/>
        <a:p>
          <a:pPr marL="0" lvl="0" indent="0" algn="ctr" defTabSz="800100">
            <a:lnSpc>
              <a:spcPct val="90000"/>
            </a:lnSpc>
            <a:spcBef>
              <a:spcPct val="0"/>
            </a:spcBef>
            <a:spcAft>
              <a:spcPct val="35000"/>
            </a:spcAft>
            <a:buNone/>
          </a:pPr>
          <a:r>
            <a:rPr lang="en-US" sz="1800" kern="1200"/>
            <a:t>Về trang chủ</a:t>
          </a:r>
        </a:p>
      </dsp:txBody>
      <dsp:txXfrm rot="5400000">
        <a:off x="1" y="264025"/>
        <a:ext cx="908925" cy="792079"/>
      </dsp:txXfrm>
    </dsp:sp>
    <dsp:sp modelId="{6E8A34F7-70A0-4EC6-9F9C-913665A5AE28}">
      <dsp:nvSpPr>
        <dsp:cNvPr id="0" name=""/>
        <dsp:cNvSpPr/>
      </dsp:nvSpPr>
      <dsp:spPr>
        <a:xfrm rot="16200000">
          <a:off x="774082" y="205602"/>
          <a:ext cx="1320131"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5257" bIns="0" numCol="1" spcCol="1270" anchor="ctr" anchorCtr="0">
          <a:noAutofit/>
        </a:bodyPr>
        <a:lstStyle/>
        <a:p>
          <a:pPr marL="0" lvl="0" indent="0" algn="ctr" defTabSz="800100">
            <a:lnSpc>
              <a:spcPct val="90000"/>
            </a:lnSpc>
            <a:spcBef>
              <a:spcPct val="0"/>
            </a:spcBef>
            <a:spcAft>
              <a:spcPct val="35000"/>
            </a:spcAft>
            <a:buNone/>
          </a:pPr>
          <a:r>
            <a:rPr lang="en-US" sz="1800" kern="1200"/>
            <a:t>Số liệu án HNGĐ</a:t>
          </a:r>
        </a:p>
      </dsp:txBody>
      <dsp:txXfrm rot="5400000">
        <a:off x="979685" y="264025"/>
        <a:ext cx="908925" cy="792079"/>
      </dsp:txXfrm>
    </dsp:sp>
    <dsp:sp modelId="{71E9181F-C3CF-494C-B5B7-41EAF5B3B180}">
      <dsp:nvSpPr>
        <dsp:cNvPr id="0" name=""/>
        <dsp:cNvSpPr/>
      </dsp:nvSpPr>
      <dsp:spPr>
        <a:xfrm rot="16200000">
          <a:off x="1751177" y="205602"/>
          <a:ext cx="1320131"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5257" bIns="0" numCol="1" spcCol="1270" anchor="ctr" anchorCtr="0">
          <a:noAutofit/>
        </a:bodyPr>
        <a:lstStyle/>
        <a:p>
          <a:pPr marL="0" lvl="0" indent="0" algn="ctr" defTabSz="800100">
            <a:lnSpc>
              <a:spcPct val="90000"/>
            </a:lnSpc>
            <a:spcBef>
              <a:spcPct val="0"/>
            </a:spcBef>
            <a:spcAft>
              <a:spcPct val="35000"/>
            </a:spcAft>
            <a:buNone/>
          </a:pPr>
          <a:r>
            <a:rPr lang="en-US" sz="1800" kern="1200"/>
            <a:t>Số liệu án DS</a:t>
          </a:r>
        </a:p>
      </dsp:txBody>
      <dsp:txXfrm rot="5400000">
        <a:off x="1956780" y="264025"/>
        <a:ext cx="908925" cy="792079"/>
      </dsp:txXfrm>
    </dsp:sp>
    <dsp:sp modelId="{23EE2E24-4FDC-4779-9BA7-59BB5DC20507}">
      <dsp:nvSpPr>
        <dsp:cNvPr id="0" name=""/>
        <dsp:cNvSpPr/>
      </dsp:nvSpPr>
      <dsp:spPr>
        <a:xfrm rot="16200000">
          <a:off x="2728271" y="205602"/>
          <a:ext cx="1320131"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5257" bIns="0" numCol="1" spcCol="1270" anchor="ctr" anchorCtr="0">
          <a:noAutofit/>
        </a:bodyPr>
        <a:lstStyle/>
        <a:p>
          <a:pPr marL="0" lvl="0" indent="0" algn="ctr" defTabSz="800100">
            <a:lnSpc>
              <a:spcPct val="90000"/>
            </a:lnSpc>
            <a:spcBef>
              <a:spcPct val="0"/>
            </a:spcBef>
            <a:spcAft>
              <a:spcPct val="35000"/>
            </a:spcAft>
            <a:buNone/>
          </a:pPr>
          <a:r>
            <a:rPr lang="en-US" sz="1800" kern="1200"/>
            <a:t>Số liệu án KDTM</a:t>
          </a:r>
        </a:p>
      </dsp:txBody>
      <dsp:txXfrm rot="5400000">
        <a:off x="2933874" y="264025"/>
        <a:ext cx="908925" cy="792079"/>
      </dsp:txXfrm>
    </dsp:sp>
    <dsp:sp modelId="{CAC5AEF3-856A-46AC-9B6D-8EFB6BB73EF4}">
      <dsp:nvSpPr>
        <dsp:cNvPr id="0" name=""/>
        <dsp:cNvSpPr/>
      </dsp:nvSpPr>
      <dsp:spPr>
        <a:xfrm rot="16200000">
          <a:off x="3705366" y="205602"/>
          <a:ext cx="1320131" cy="908925"/>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5257" bIns="0" numCol="1" spcCol="1270" anchor="ctr" anchorCtr="0">
          <a:noAutofit/>
        </a:bodyPr>
        <a:lstStyle/>
        <a:p>
          <a:pPr marL="0" lvl="0" indent="0" algn="ctr" defTabSz="800100">
            <a:lnSpc>
              <a:spcPct val="90000"/>
            </a:lnSpc>
            <a:spcBef>
              <a:spcPct val="0"/>
            </a:spcBef>
            <a:spcAft>
              <a:spcPct val="35000"/>
            </a:spcAft>
            <a:buNone/>
          </a:pPr>
          <a:r>
            <a:rPr lang="en-US" sz="1800" kern="1200"/>
            <a:t>Số liệu án HC</a:t>
          </a:r>
        </a:p>
      </dsp:txBody>
      <dsp:txXfrm rot="5400000">
        <a:off x="3910969" y="264025"/>
        <a:ext cx="908925" cy="792079"/>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13848" y="213848"/>
          <a:ext cx="1339097" cy="911400"/>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7818"/>
        <a:ext cx="911400" cy="803459"/>
      </dsp:txXfrm>
    </dsp:sp>
    <dsp:sp modelId="{6E8A34F7-70A0-4EC6-9F9C-913665A5AE28}">
      <dsp:nvSpPr>
        <dsp:cNvPr id="0" name=""/>
        <dsp:cNvSpPr/>
      </dsp:nvSpPr>
      <dsp:spPr>
        <a:xfrm rot="16200000">
          <a:off x="768505" y="213848"/>
          <a:ext cx="1339097" cy="91140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HNGĐ</a:t>
          </a:r>
        </a:p>
      </dsp:txBody>
      <dsp:txXfrm rot="5400000">
        <a:off x="982354" y="267818"/>
        <a:ext cx="911400" cy="803459"/>
      </dsp:txXfrm>
    </dsp:sp>
    <dsp:sp modelId="{71E9181F-C3CF-494C-B5B7-41EAF5B3B180}">
      <dsp:nvSpPr>
        <dsp:cNvPr id="0" name=""/>
        <dsp:cNvSpPr/>
      </dsp:nvSpPr>
      <dsp:spPr>
        <a:xfrm rot="16200000">
          <a:off x="1748261" y="213848"/>
          <a:ext cx="1339097" cy="91140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DS</a:t>
          </a:r>
        </a:p>
      </dsp:txBody>
      <dsp:txXfrm rot="5400000">
        <a:off x="1962110" y="267818"/>
        <a:ext cx="911400" cy="803459"/>
      </dsp:txXfrm>
    </dsp:sp>
    <dsp:sp modelId="{23EE2E24-4FDC-4779-9BA7-59BB5DC20507}">
      <dsp:nvSpPr>
        <dsp:cNvPr id="0" name=""/>
        <dsp:cNvSpPr/>
      </dsp:nvSpPr>
      <dsp:spPr>
        <a:xfrm rot="16200000">
          <a:off x="2728016" y="213848"/>
          <a:ext cx="1339097" cy="91140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KDTM</a:t>
          </a:r>
        </a:p>
      </dsp:txBody>
      <dsp:txXfrm rot="5400000">
        <a:off x="2941865" y="267818"/>
        <a:ext cx="911400" cy="803459"/>
      </dsp:txXfrm>
    </dsp:sp>
    <dsp:sp modelId="{CAC5AEF3-856A-46AC-9B6D-8EFB6BB73EF4}">
      <dsp:nvSpPr>
        <dsp:cNvPr id="0" name=""/>
        <dsp:cNvSpPr/>
      </dsp:nvSpPr>
      <dsp:spPr>
        <a:xfrm rot="16200000">
          <a:off x="3707772" y="213848"/>
          <a:ext cx="1339097" cy="911400"/>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9681" bIns="0" numCol="1" spcCol="1270" anchor="ctr" anchorCtr="0">
          <a:noAutofit/>
        </a:bodyPr>
        <a:lstStyle/>
        <a:p>
          <a:pPr marL="0" lvl="0" indent="0" algn="ctr" defTabSz="844550">
            <a:lnSpc>
              <a:spcPct val="90000"/>
            </a:lnSpc>
            <a:spcBef>
              <a:spcPct val="0"/>
            </a:spcBef>
            <a:spcAft>
              <a:spcPct val="35000"/>
            </a:spcAft>
            <a:buNone/>
          </a:pPr>
          <a:r>
            <a:rPr lang="en-US" sz="1900" kern="1200"/>
            <a:t>Số liệu án LĐ</a:t>
          </a:r>
        </a:p>
      </dsp:txBody>
      <dsp:txXfrm rot="5400000">
        <a:off x="3921621" y="267818"/>
        <a:ext cx="911400" cy="803459"/>
      </dsp:txXfrm>
    </dsp:sp>
  </dsp:spTree>
</dsp:drawing>
</file>

<file path=xl/diagrams/drawing8.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22495" y="222495"/>
          <a:ext cx="1329684" cy="884693"/>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5936"/>
        <a:ext cx="884693" cy="797810"/>
      </dsp:txXfrm>
    </dsp:sp>
    <dsp:sp modelId="{6E8A34F7-70A0-4EC6-9F9C-913665A5AE28}">
      <dsp:nvSpPr>
        <dsp:cNvPr id="0" name=""/>
        <dsp:cNvSpPr/>
      </dsp:nvSpPr>
      <dsp:spPr>
        <a:xfrm rot="16200000">
          <a:off x="731072" y="222495"/>
          <a:ext cx="1329684" cy="884693"/>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DS</a:t>
          </a:r>
        </a:p>
      </dsp:txBody>
      <dsp:txXfrm rot="5400000">
        <a:off x="953568" y="265936"/>
        <a:ext cx="884693" cy="797810"/>
      </dsp:txXfrm>
    </dsp:sp>
    <dsp:sp modelId="{71E9181F-C3CF-494C-B5B7-41EAF5B3B180}">
      <dsp:nvSpPr>
        <dsp:cNvPr id="0" name=""/>
        <dsp:cNvSpPr/>
      </dsp:nvSpPr>
      <dsp:spPr>
        <a:xfrm rot="16200000">
          <a:off x="1682117" y="222495"/>
          <a:ext cx="1329684" cy="884693"/>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KDTM</a:t>
          </a:r>
        </a:p>
      </dsp:txBody>
      <dsp:txXfrm rot="5400000">
        <a:off x="1904613" y="265936"/>
        <a:ext cx="884693" cy="797810"/>
      </dsp:txXfrm>
    </dsp:sp>
    <dsp:sp modelId="{23EE2E24-4FDC-4779-9BA7-59BB5DC20507}">
      <dsp:nvSpPr>
        <dsp:cNvPr id="0" name=""/>
        <dsp:cNvSpPr/>
      </dsp:nvSpPr>
      <dsp:spPr>
        <a:xfrm rot="16200000">
          <a:off x="2633163" y="222495"/>
          <a:ext cx="1329684" cy="884693"/>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LĐ</a:t>
          </a:r>
        </a:p>
      </dsp:txBody>
      <dsp:txXfrm rot="5400000">
        <a:off x="2855659" y="265936"/>
        <a:ext cx="884693" cy="797810"/>
      </dsp:txXfrm>
    </dsp:sp>
    <dsp:sp modelId="{CAC5AEF3-856A-46AC-9B6D-8EFB6BB73EF4}">
      <dsp:nvSpPr>
        <dsp:cNvPr id="0" name=""/>
        <dsp:cNvSpPr/>
      </dsp:nvSpPr>
      <dsp:spPr>
        <a:xfrm rot="16200000">
          <a:off x="3584209" y="222495"/>
          <a:ext cx="1329684" cy="884693"/>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HC</a:t>
          </a:r>
        </a:p>
      </dsp:txBody>
      <dsp:txXfrm rot="5400000">
        <a:off x="3806705" y="265936"/>
        <a:ext cx="884693" cy="797810"/>
      </dsp:txXfrm>
    </dsp:sp>
  </dsp:spTree>
</dsp:drawing>
</file>

<file path=xl/diagrams/drawing9.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20809" y="220809"/>
          <a:ext cx="1333494" cy="891874"/>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6698"/>
        <a:ext cx="891874" cy="800096"/>
      </dsp:txXfrm>
    </dsp:sp>
    <dsp:sp modelId="{6E8A34F7-70A0-4EC6-9F9C-913665A5AE28}">
      <dsp:nvSpPr>
        <dsp:cNvPr id="0" name=""/>
        <dsp:cNvSpPr/>
      </dsp:nvSpPr>
      <dsp:spPr>
        <a:xfrm rot="16200000">
          <a:off x="740497" y="220809"/>
          <a:ext cx="1333494" cy="89187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HNGĐ</a:t>
          </a:r>
        </a:p>
      </dsp:txBody>
      <dsp:txXfrm rot="5400000">
        <a:off x="961307" y="266698"/>
        <a:ext cx="891874" cy="800096"/>
      </dsp:txXfrm>
    </dsp:sp>
    <dsp:sp modelId="{71E9181F-C3CF-494C-B5B7-41EAF5B3B180}">
      <dsp:nvSpPr>
        <dsp:cNvPr id="0" name=""/>
        <dsp:cNvSpPr/>
      </dsp:nvSpPr>
      <dsp:spPr>
        <a:xfrm rot="16200000">
          <a:off x="1699262" y="220809"/>
          <a:ext cx="1333494" cy="89187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KDTM</a:t>
          </a:r>
        </a:p>
      </dsp:txBody>
      <dsp:txXfrm rot="5400000">
        <a:off x="1920072" y="266698"/>
        <a:ext cx="891874" cy="800096"/>
      </dsp:txXfrm>
    </dsp:sp>
    <dsp:sp modelId="{23EE2E24-4FDC-4779-9BA7-59BB5DC20507}">
      <dsp:nvSpPr>
        <dsp:cNvPr id="0" name=""/>
        <dsp:cNvSpPr/>
      </dsp:nvSpPr>
      <dsp:spPr>
        <a:xfrm rot="16200000">
          <a:off x="2658028" y="220809"/>
          <a:ext cx="1333494" cy="89187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LĐ</a:t>
          </a:r>
        </a:p>
      </dsp:txBody>
      <dsp:txXfrm rot="5400000">
        <a:off x="2878838" y="266698"/>
        <a:ext cx="891874" cy="800096"/>
      </dsp:txXfrm>
    </dsp:sp>
    <dsp:sp modelId="{CAC5AEF3-856A-46AC-9B6D-8EFB6BB73EF4}">
      <dsp:nvSpPr>
        <dsp:cNvPr id="0" name=""/>
        <dsp:cNvSpPr/>
      </dsp:nvSpPr>
      <dsp:spPr>
        <a:xfrm rot="16200000">
          <a:off x="3616793" y="220809"/>
          <a:ext cx="1333494" cy="89187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HC</a:t>
          </a:r>
        </a:p>
      </dsp:txBody>
      <dsp:txXfrm rot="5400000">
        <a:off x="3837603" y="266698"/>
        <a:ext cx="891874" cy="800096"/>
      </dsp:txXfrm>
    </dsp:sp>
  </dsp:spTree>
</dsp:drawing>
</file>

<file path=xl/diagrams/drawing10.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15782" y="215782"/>
          <a:ext cx="1333494" cy="901928"/>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6698"/>
        <a:ext cx="901928" cy="800096"/>
      </dsp:txXfrm>
    </dsp:sp>
    <dsp:sp modelId="{6E8A34F7-70A0-4EC6-9F9C-913665A5AE28}">
      <dsp:nvSpPr>
        <dsp:cNvPr id="0" name=""/>
        <dsp:cNvSpPr/>
      </dsp:nvSpPr>
      <dsp:spPr>
        <a:xfrm rot="16200000">
          <a:off x="756360" y="215782"/>
          <a:ext cx="1333494"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HNGĐ</a:t>
          </a:r>
        </a:p>
      </dsp:txBody>
      <dsp:txXfrm rot="5400000">
        <a:off x="972143" y="266698"/>
        <a:ext cx="901928" cy="800096"/>
      </dsp:txXfrm>
    </dsp:sp>
    <dsp:sp modelId="{71E9181F-C3CF-494C-B5B7-41EAF5B3B180}">
      <dsp:nvSpPr>
        <dsp:cNvPr id="0" name=""/>
        <dsp:cNvSpPr/>
      </dsp:nvSpPr>
      <dsp:spPr>
        <a:xfrm rot="16200000">
          <a:off x="1725933" y="215782"/>
          <a:ext cx="1333494"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DS</a:t>
          </a:r>
        </a:p>
      </dsp:txBody>
      <dsp:txXfrm rot="5400000">
        <a:off x="1941716" y="266698"/>
        <a:ext cx="901928" cy="800096"/>
      </dsp:txXfrm>
    </dsp:sp>
    <dsp:sp modelId="{23EE2E24-4FDC-4779-9BA7-59BB5DC20507}">
      <dsp:nvSpPr>
        <dsp:cNvPr id="0" name=""/>
        <dsp:cNvSpPr/>
      </dsp:nvSpPr>
      <dsp:spPr>
        <a:xfrm rot="16200000">
          <a:off x="2695505" y="215782"/>
          <a:ext cx="1333494"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LĐ</a:t>
          </a:r>
        </a:p>
      </dsp:txBody>
      <dsp:txXfrm rot="5400000">
        <a:off x="2911288" y="266698"/>
        <a:ext cx="901928" cy="800096"/>
      </dsp:txXfrm>
    </dsp:sp>
    <dsp:sp modelId="{CAC5AEF3-856A-46AC-9B6D-8EFB6BB73EF4}">
      <dsp:nvSpPr>
        <dsp:cNvPr id="0" name=""/>
        <dsp:cNvSpPr/>
      </dsp:nvSpPr>
      <dsp:spPr>
        <a:xfrm rot="16200000">
          <a:off x="3665078" y="215782"/>
          <a:ext cx="1333494"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HC</a:t>
          </a:r>
        </a:p>
      </dsp:txBody>
      <dsp:txXfrm rot="5400000">
        <a:off x="3880861" y="266698"/>
        <a:ext cx="901928" cy="800096"/>
      </dsp:txXfrm>
    </dsp:sp>
  </dsp:spTree>
</dsp:drawing>
</file>

<file path=xl/diagrams/drawing1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10067" y="210067"/>
          <a:ext cx="1322063" cy="901928"/>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7140" bIns="0" numCol="1" spcCol="1270" anchor="ctr" anchorCtr="0">
          <a:noAutofit/>
        </a:bodyPr>
        <a:lstStyle/>
        <a:p>
          <a:pPr marL="0" lvl="0" indent="0" algn="ctr" defTabSz="800100">
            <a:lnSpc>
              <a:spcPct val="90000"/>
            </a:lnSpc>
            <a:spcBef>
              <a:spcPct val="0"/>
            </a:spcBef>
            <a:spcAft>
              <a:spcPct val="35000"/>
            </a:spcAft>
            <a:buNone/>
          </a:pPr>
          <a:r>
            <a:rPr lang="en-US" sz="1800" kern="1200"/>
            <a:t>Về trang chủ</a:t>
          </a:r>
        </a:p>
      </dsp:txBody>
      <dsp:txXfrm rot="5400000">
        <a:off x="1" y="264412"/>
        <a:ext cx="901928" cy="793237"/>
      </dsp:txXfrm>
    </dsp:sp>
    <dsp:sp modelId="{6E8A34F7-70A0-4EC6-9F9C-913665A5AE28}">
      <dsp:nvSpPr>
        <dsp:cNvPr id="0" name=""/>
        <dsp:cNvSpPr/>
      </dsp:nvSpPr>
      <dsp:spPr>
        <a:xfrm rot="16200000">
          <a:off x="762075" y="210067"/>
          <a:ext cx="1322063"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7140" bIns="0" numCol="1" spcCol="1270" anchor="ctr" anchorCtr="0">
          <a:noAutofit/>
        </a:bodyPr>
        <a:lstStyle/>
        <a:p>
          <a:pPr marL="0" lvl="0" indent="0" algn="ctr" defTabSz="800100">
            <a:lnSpc>
              <a:spcPct val="90000"/>
            </a:lnSpc>
            <a:spcBef>
              <a:spcPct val="0"/>
            </a:spcBef>
            <a:spcAft>
              <a:spcPct val="35000"/>
            </a:spcAft>
            <a:buNone/>
          </a:pPr>
          <a:r>
            <a:rPr lang="en-US" sz="1800" kern="1200"/>
            <a:t>TK án HNGĐ</a:t>
          </a:r>
        </a:p>
      </dsp:txBody>
      <dsp:txXfrm rot="5400000">
        <a:off x="972143" y="264412"/>
        <a:ext cx="901928" cy="793237"/>
      </dsp:txXfrm>
    </dsp:sp>
    <dsp:sp modelId="{71E9181F-C3CF-494C-B5B7-41EAF5B3B180}">
      <dsp:nvSpPr>
        <dsp:cNvPr id="0" name=""/>
        <dsp:cNvSpPr/>
      </dsp:nvSpPr>
      <dsp:spPr>
        <a:xfrm rot="16200000">
          <a:off x="1731648" y="210067"/>
          <a:ext cx="1322063"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7140" bIns="0" numCol="1" spcCol="1270" anchor="ctr" anchorCtr="0">
          <a:noAutofit/>
        </a:bodyPr>
        <a:lstStyle/>
        <a:p>
          <a:pPr marL="0" lvl="0" indent="0" algn="ctr" defTabSz="800100">
            <a:lnSpc>
              <a:spcPct val="90000"/>
            </a:lnSpc>
            <a:spcBef>
              <a:spcPct val="0"/>
            </a:spcBef>
            <a:spcAft>
              <a:spcPct val="35000"/>
            </a:spcAft>
            <a:buNone/>
          </a:pPr>
          <a:r>
            <a:rPr lang="en-US" sz="1800" kern="1200"/>
            <a:t>TK án DS</a:t>
          </a:r>
        </a:p>
      </dsp:txBody>
      <dsp:txXfrm rot="5400000">
        <a:off x="1941716" y="264412"/>
        <a:ext cx="901928" cy="793237"/>
      </dsp:txXfrm>
    </dsp:sp>
    <dsp:sp modelId="{23EE2E24-4FDC-4779-9BA7-59BB5DC20507}">
      <dsp:nvSpPr>
        <dsp:cNvPr id="0" name=""/>
        <dsp:cNvSpPr/>
      </dsp:nvSpPr>
      <dsp:spPr>
        <a:xfrm rot="16200000">
          <a:off x="2701220" y="210067"/>
          <a:ext cx="1322063"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7140" bIns="0" numCol="1" spcCol="1270" anchor="ctr" anchorCtr="0">
          <a:noAutofit/>
        </a:bodyPr>
        <a:lstStyle/>
        <a:p>
          <a:pPr marL="0" lvl="0" indent="0" algn="ctr" defTabSz="800100">
            <a:lnSpc>
              <a:spcPct val="90000"/>
            </a:lnSpc>
            <a:spcBef>
              <a:spcPct val="0"/>
            </a:spcBef>
            <a:spcAft>
              <a:spcPct val="35000"/>
            </a:spcAft>
            <a:buNone/>
          </a:pPr>
          <a:r>
            <a:rPr lang="en-US" sz="1800" kern="1200"/>
            <a:t>TK án KDTM</a:t>
          </a:r>
        </a:p>
      </dsp:txBody>
      <dsp:txXfrm rot="5400000">
        <a:off x="2911288" y="264412"/>
        <a:ext cx="901928" cy="793237"/>
      </dsp:txXfrm>
    </dsp:sp>
    <dsp:sp modelId="{CAC5AEF3-856A-46AC-9B6D-8EFB6BB73EF4}">
      <dsp:nvSpPr>
        <dsp:cNvPr id="0" name=""/>
        <dsp:cNvSpPr/>
      </dsp:nvSpPr>
      <dsp:spPr>
        <a:xfrm rot="16200000">
          <a:off x="3670793" y="210067"/>
          <a:ext cx="1322063" cy="90192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7140" bIns="0" numCol="1" spcCol="1270" anchor="ctr" anchorCtr="0">
          <a:noAutofit/>
        </a:bodyPr>
        <a:lstStyle/>
        <a:p>
          <a:pPr marL="0" lvl="0" indent="0" algn="ctr" defTabSz="800100">
            <a:lnSpc>
              <a:spcPct val="90000"/>
            </a:lnSpc>
            <a:spcBef>
              <a:spcPct val="0"/>
            </a:spcBef>
            <a:spcAft>
              <a:spcPct val="35000"/>
            </a:spcAft>
            <a:buNone/>
          </a:pPr>
          <a:r>
            <a:rPr lang="en-US" sz="1800" kern="1200"/>
            <a:t>TK án HC</a:t>
          </a:r>
        </a:p>
      </dsp:txBody>
      <dsp:txXfrm rot="5400000">
        <a:off x="3880861" y="264412"/>
        <a:ext cx="901928" cy="793237"/>
      </dsp:txXfrm>
    </dsp:sp>
  </dsp:spTree>
</dsp:drawing>
</file>

<file path=xl/diagrams/drawing1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22026" y="222026"/>
          <a:ext cx="1325874" cy="881821"/>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5174"/>
        <a:ext cx="881821" cy="795524"/>
      </dsp:txXfrm>
    </dsp:sp>
    <dsp:sp modelId="{6E8A34F7-70A0-4EC6-9F9C-913665A5AE28}">
      <dsp:nvSpPr>
        <dsp:cNvPr id="0" name=""/>
        <dsp:cNvSpPr/>
      </dsp:nvSpPr>
      <dsp:spPr>
        <a:xfrm rot="16200000">
          <a:off x="728444" y="222026"/>
          <a:ext cx="1325874" cy="881821"/>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HNGĐ</a:t>
          </a:r>
        </a:p>
      </dsp:txBody>
      <dsp:txXfrm rot="5400000">
        <a:off x="950471" y="265174"/>
        <a:ext cx="881821" cy="795524"/>
      </dsp:txXfrm>
    </dsp:sp>
    <dsp:sp modelId="{71E9181F-C3CF-494C-B5B7-41EAF5B3B180}">
      <dsp:nvSpPr>
        <dsp:cNvPr id="0" name=""/>
        <dsp:cNvSpPr/>
      </dsp:nvSpPr>
      <dsp:spPr>
        <a:xfrm rot="16200000">
          <a:off x="1676403" y="222026"/>
          <a:ext cx="1325874" cy="881821"/>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DS</a:t>
          </a:r>
        </a:p>
      </dsp:txBody>
      <dsp:txXfrm rot="5400000">
        <a:off x="1898430" y="265174"/>
        <a:ext cx="881821" cy="795524"/>
      </dsp:txXfrm>
    </dsp:sp>
    <dsp:sp modelId="{23EE2E24-4FDC-4779-9BA7-59BB5DC20507}">
      <dsp:nvSpPr>
        <dsp:cNvPr id="0" name=""/>
        <dsp:cNvSpPr/>
      </dsp:nvSpPr>
      <dsp:spPr>
        <a:xfrm rot="16200000">
          <a:off x="2624361" y="222026"/>
          <a:ext cx="1325874" cy="881821"/>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KDTM</a:t>
          </a:r>
        </a:p>
      </dsp:txBody>
      <dsp:txXfrm rot="5400000">
        <a:off x="2846388" y="265174"/>
        <a:ext cx="881821" cy="795524"/>
      </dsp:txXfrm>
    </dsp:sp>
    <dsp:sp modelId="{CAC5AEF3-856A-46AC-9B6D-8EFB6BB73EF4}">
      <dsp:nvSpPr>
        <dsp:cNvPr id="0" name=""/>
        <dsp:cNvSpPr/>
      </dsp:nvSpPr>
      <dsp:spPr>
        <a:xfrm rot="16200000">
          <a:off x="3572319" y="222026"/>
          <a:ext cx="1325874" cy="881821"/>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18721" bIns="0" numCol="1" spcCol="1270" anchor="ctr" anchorCtr="0">
          <a:noAutofit/>
        </a:bodyPr>
        <a:lstStyle/>
        <a:p>
          <a:pPr marL="0" lvl="0" indent="0" algn="ctr" defTabSz="844550">
            <a:lnSpc>
              <a:spcPct val="90000"/>
            </a:lnSpc>
            <a:spcBef>
              <a:spcPct val="0"/>
            </a:spcBef>
            <a:spcAft>
              <a:spcPct val="35000"/>
            </a:spcAft>
            <a:buNone/>
          </a:pPr>
          <a:r>
            <a:rPr lang="en-US" sz="1900" kern="1200"/>
            <a:t>TK án LĐ</a:t>
          </a:r>
        </a:p>
      </dsp:txBody>
      <dsp:txXfrm rot="5400000">
        <a:off x="3794346" y="265174"/>
        <a:ext cx="881821" cy="795524"/>
      </dsp:txXfrm>
    </dsp:sp>
  </dsp:spTree>
</dsp:drawing>
</file>

<file path=xl/diagrams/drawing1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92583" y="92583"/>
          <a:ext cx="1198246" cy="1013079"/>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07950" tIns="0" rIns="108664" bIns="0" numCol="1" spcCol="1270" anchor="ctr" anchorCtr="0">
          <a:noAutofit/>
        </a:bodyPr>
        <a:lstStyle/>
        <a:p>
          <a:pPr marL="0" lvl="0" indent="0" algn="ctr" defTabSz="755650">
            <a:lnSpc>
              <a:spcPct val="90000"/>
            </a:lnSpc>
            <a:spcBef>
              <a:spcPct val="0"/>
            </a:spcBef>
            <a:spcAft>
              <a:spcPct val="35000"/>
            </a:spcAft>
            <a:buNone/>
          </a:pPr>
          <a:r>
            <a:rPr lang="en-US" sz="1700" kern="1200"/>
            <a:t>Về trang chủ</a:t>
          </a:r>
        </a:p>
      </dsp:txBody>
      <dsp:txXfrm rot="5400000">
        <a:off x="1" y="239648"/>
        <a:ext cx="1013079" cy="718948"/>
      </dsp:txXfrm>
    </dsp:sp>
    <dsp:sp modelId="{6E8A34F7-70A0-4EC6-9F9C-913665A5AE28}">
      <dsp:nvSpPr>
        <dsp:cNvPr id="0" name=""/>
        <dsp:cNvSpPr/>
      </dsp:nvSpPr>
      <dsp:spPr>
        <a:xfrm rot="16200000">
          <a:off x="993337" y="95378"/>
          <a:ext cx="1198246" cy="100748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07950" tIns="0" rIns="108664" bIns="0" numCol="1" spcCol="1270" anchor="ctr" anchorCtr="0">
          <a:noAutofit/>
        </a:bodyPr>
        <a:lstStyle/>
        <a:p>
          <a:pPr marL="0" lvl="0" indent="0" algn="ctr" defTabSz="755650">
            <a:lnSpc>
              <a:spcPct val="90000"/>
            </a:lnSpc>
            <a:spcBef>
              <a:spcPct val="0"/>
            </a:spcBef>
            <a:spcAft>
              <a:spcPct val="35000"/>
            </a:spcAft>
            <a:buNone/>
          </a:pPr>
          <a:r>
            <a:rPr lang="en-US" sz="1700" kern="1200"/>
            <a:t>TK án DS tuần</a:t>
          </a:r>
        </a:p>
      </dsp:txBody>
      <dsp:txXfrm rot="5400000">
        <a:off x="1088716" y="239648"/>
        <a:ext cx="1007488" cy="718948"/>
      </dsp:txXfrm>
    </dsp:sp>
    <dsp:sp modelId="{71E9181F-C3CF-494C-B5B7-41EAF5B3B180}">
      <dsp:nvSpPr>
        <dsp:cNvPr id="0" name=""/>
        <dsp:cNvSpPr/>
      </dsp:nvSpPr>
      <dsp:spPr>
        <a:xfrm rot="16200000">
          <a:off x="2076387" y="95378"/>
          <a:ext cx="1198246" cy="100748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07950" tIns="0" rIns="108664" bIns="0" numCol="1" spcCol="1270" anchor="ctr" anchorCtr="0">
          <a:noAutofit/>
        </a:bodyPr>
        <a:lstStyle/>
        <a:p>
          <a:pPr marL="0" lvl="0" indent="0" algn="ctr" defTabSz="755650">
            <a:lnSpc>
              <a:spcPct val="90000"/>
            </a:lnSpc>
            <a:spcBef>
              <a:spcPct val="0"/>
            </a:spcBef>
            <a:spcAft>
              <a:spcPct val="35000"/>
            </a:spcAft>
            <a:buNone/>
          </a:pPr>
          <a:r>
            <a:rPr lang="en-US" sz="1700" kern="1200"/>
            <a:t>TK án KDTM tuần</a:t>
          </a:r>
        </a:p>
      </dsp:txBody>
      <dsp:txXfrm rot="5400000">
        <a:off x="2171766" y="239648"/>
        <a:ext cx="1007488" cy="718948"/>
      </dsp:txXfrm>
    </dsp:sp>
    <dsp:sp modelId="{23EE2E24-4FDC-4779-9BA7-59BB5DC20507}">
      <dsp:nvSpPr>
        <dsp:cNvPr id="0" name=""/>
        <dsp:cNvSpPr/>
      </dsp:nvSpPr>
      <dsp:spPr>
        <a:xfrm rot="16200000">
          <a:off x="3159437" y="95378"/>
          <a:ext cx="1198246" cy="100748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07950" tIns="0" rIns="108664" bIns="0" numCol="1" spcCol="1270" anchor="ctr" anchorCtr="0">
          <a:noAutofit/>
        </a:bodyPr>
        <a:lstStyle/>
        <a:p>
          <a:pPr marL="0" lvl="0" indent="0" algn="ctr" defTabSz="755650">
            <a:lnSpc>
              <a:spcPct val="90000"/>
            </a:lnSpc>
            <a:spcBef>
              <a:spcPct val="0"/>
            </a:spcBef>
            <a:spcAft>
              <a:spcPct val="35000"/>
            </a:spcAft>
            <a:buNone/>
          </a:pPr>
          <a:r>
            <a:rPr lang="en-US" sz="1700" kern="1200"/>
            <a:t>TK án LĐ tuần</a:t>
          </a:r>
        </a:p>
      </dsp:txBody>
      <dsp:txXfrm rot="5400000">
        <a:off x="3254816" y="239648"/>
        <a:ext cx="1007488" cy="718948"/>
      </dsp:txXfrm>
    </dsp:sp>
    <dsp:sp modelId="{CAC5AEF3-856A-46AC-9B6D-8EFB6BB73EF4}">
      <dsp:nvSpPr>
        <dsp:cNvPr id="0" name=""/>
        <dsp:cNvSpPr/>
      </dsp:nvSpPr>
      <dsp:spPr>
        <a:xfrm rot="16200000">
          <a:off x="4242487" y="95378"/>
          <a:ext cx="1198246" cy="1007488"/>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07950" tIns="0" rIns="108664" bIns="0" numCol="1" spcCol="1270" anchor="ctr" anchorCtr="0">
          <a:noAutofit/>
        </a:bodyPr>
        <a:lstStyle/>
        <a:p>
          <a:pPr marL="0" lvl="0" indent="0" algn="ctr" defTabSz="755650">
            <a:lnSpc>
              <a:spcPct val="90000"/>
            </a:lnSpc>
            <a:spcBef>
              <a:spcPct val="0"/>
            </a:spcBef>
            <a:spcAft>
              <a:spcPct val="35000"/>
            </a:spcAft>
            <a:buNone/>
          </a:pPr>
          <a:r>
            <a:rPr lang="en-US" sz="1700" kern="1200"/>
            <a:t>TK án HC tuần</a:t>
          </a:r>
        </a:p>
      </dsp:txBody>
      <dsp:txXfrm rot="5400000">
        <a:off x="4337866" y="239648"/>
        <a:ext cx="1007488" cy="718948"/>
      </dsp:txXfrm>
    </dsp:sp>
  </dsp:spTree>
</dsp:drawing>
</file>

<file path=xl/diagrams/drawing1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31168" y="31168"/>
          <a:ext cx="1013454" cy="951117"/>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88900" tIns="0" rIns="88956" bIns="0" numCol="1" spcCol="1270" anchor="ctr" anchorCtr="0">
          <a:noAutofit/>
        </a:bodyPr>
        <a:lstStyle/>
        <a:p>
          <a:pPr marL="0" lvl="0" indent="0" algn="ctr" defTabSz="622300">
            <a:lnSpc>
              <a:spcPct val="90000"/>
            </a:lnSpc>
            <a:spcBef>
              <a:spcPct val="0"/>
            </a:spcBef>
            <a:spcAft>
              <a:spcPct val="35000"/>
            </a:spcAft>
            <a:buNone/>
          </a:pPr>
          <a:r>
            <a:rPr lang="en-US" sz="1400" kern="1200"/>
            <a:t>Về trang chủ</a:t>
          </a:r>
        </a:p>
      </dsp:txBody>
      <dsp:txXfrm rot="5400000">
        <a:off x="1" y="202690"/>
        <a:ext cx="951117" cy="608072"/>
      </dsp:txXfrm>
    </dsp:sp>
    <dsp:sp modelId="{6E8A34F7-70A0-4EC6-9F9C-913665A5AE28}">
      <dsp:nvSpPr>
        <dsp:cNvPr id="0" name=""/>
        <dsp:cNvSpPr/>
      </dsp:nvSpPr>
      <dsp:spPr>
        <a:xfrm rot="16200000">
          <a:off x="993993" y="31168"/>
          <a:ext cx="1013454" cy="951117"/>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88900" tIns="0" rIns="88956" bIns="0" numCol="1" spcCol="1270" anchor="ctr" anchorCtr="0">
          <a:noAutofit/>
        </a:bodyPr>
        <a:lstStyle/>
        <a:p>
          <a:pPr marL="0" lvl="0" indent="0" algn="ctr" defTabSz="622300">
            <a:lnSpc>
              <a:spcPct val="90000"/>
            </a:lnSpc>
            <a:spcBef>
              <a:spcPct val="0"/>
            </a:spcBef>
            <a:spcAft>
              <a:spcPct val="35000"/>
            </a:spcAft>
            <a:buNone/>
          </a:pPr>
          <a:r>
            <a:rPr lang="en-US" sz="1400" kern="1200"/>
            <a:t>TK án HNGĐ tuần</a:t>
          </a:r>
        </a:p>
      </dsp:txBody>
      <dsp:txXfrm rot="5400000">
        <a:off x="1025162" y="202690"/>
        <a:ext cx="951117" cy="608072"/>
      </dsp:txXfrm>
    </dsp:sp>
    <dsp:sp modelId="{71E9181F-C3CF-494C-B5B7-41EAF5B3B180}">
      <dsp:nvSpPr>
        <dsp:cNvPr id="0" name=""/>
        <dsp:cNvSpPr/>
      </dsp:nvSpPr>
      <dsp:spPr>
        <a:xfrm rot="16200000">
          <a:off x="2016445" y="31168"/>
          <a:ext cx="1013454" cy="951117"/>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88900" tIns="0" rIns="88956" bIns="0" numCol="1" spcCol="1270" anchor="ctr" anchorCtr="0">
          <a:noAutofit/>
        </a:bodyPr>
        <a:lstStyle/>
        <a:p>
          <a:pPr marL="0" lvl="0" indent="0" algn="ctr" defTabSz="622300">
            <a:lnSpc>
              <a:spcPct val="90000"/>
            </a:lnSpc>
            <a:spcBef>
              <a:spcPct val="0"/>
            </a:spcBef>
            <a:spcAft>
              <a:spcPct val="35000"/>
            </a:spcAft>
            <a:buNone/>
          </a:pPr>
          <a:r>
            <a:rPr lang="en-US" sz="1400" kern="1200"/>
            <a:t>TK án KDTM tuần</a:t>
          </a:r>
        </a:p>
      </dsp:txBody>
      <dsp:txXfrm rot="5400000">
        <a:off x="2047614" y="202690"/>
        <a:ext cx="951117" cy="608072"/>
      </dsp:txXfrm>
    </dsp:sp>
    <dsp:sp modelId="{23EE2E24-4FDC-4779-9BA7-59BB5DC20507}">
      <dsp:nvSpPr>
        <dsp:cNvPr id="0" name=""/>
        <dsp:cNvSpPr/>
      </dsp:nvSpPr>
      <dsp:spPr>
        <a:xfrm rot="16200000">
          <a:off x="3038897" y="31168"/>
          <a:ext cx="1013454" cy="951117"/>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88900" tIns="0" rIns="88956" bIns="0" numCol="1" spcCol="1270" anchor="ctr" anchorCtr="0">
          <a:noAutofit/>
        </a:bodyPr>
        <a:lstStyle/>
        <a:p>
          <a:pPr marL="0" lvl="0" indent="0" algn="ctr" defTabSz="622300">
            <a:lnSpc>
              <a:spcPct val="90000"/>
            </a:lnSpc>
            <a:spcBef>
              <a:spcPct val="0"/>
            </a:spcBef>
            <a:spcAft>
              <a:spcPct val="35000"/>
            </a:spcAft>
            <a:buNone/>
          </a:pPr>
          <a:r>
            <a:rPr lang="en-US" sz="1400" kern="1200"/>
            <a:t>TK án LĐ tuần</a:t>
          </a:r>
        </a:p>
      </dsp:txBody>
      <dsp:txXfrm rot="5400000">
        <a:off x="3070066" y="202690"/>
        <a:ext cx="951117" cy="608072"/>
      </dsp:txXfrm>
    </dsp:sp>
    <dsp:sp modelId="{CAC5AEF3-856A-46AC-9B6D-8EFB6BB73EF4}">
      <dsp:nvSpPr>
        <dsp:cNvPr id="0" name=""/>
        <dsp:cNvSpPr/>
      </dsp:nvSpPr>
      <dsp:spPr>
        <a:xfrm rot="16200000">
          <a:off x="4061348" y="31168"/>
          <a:ext cx="1013454" cy="951117"/>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88900" tIns="0" rIns="88956" bIns="0" numCol="1" spcCol="1270" anchor="ctr" anchorCtr="0">
          <a:noAutofit/>
        </a:bodyPr>
        <a:lstStyle/>
        <a:p>
          <a:pPr marL="0" lvl="0" indent="0" algn="ctr" defTabSz="622300">
            <a:lnSpc>
              <a:spcPct val="90000"/>
            </a:lnSpc>
            <a:spcBef>
              <a:spcPct val="0"/>
            </a:spcBef>
            <a:spcAft>
              <a:spcPct val="35000"/>
            </a:spcAft>
            <a:buNone/>
          </a:pPr>
          <a:r>
            <a:rPr lang="en-US" sz="1400" kern="1200"/>
            <a:t>TK án HC tuần</a:t>
          </a:r>
        </a:p>
      </dsp:txBody>
      <dsp:txXfrm rot="5400000">
        <a:off x="4092517" y="202690"/>
        <a:ext cx="951117" cy="608072"/>
      </dsp:txXfrm>
    </dsp:sp>
  </dsp:spTree>
</dsp:drawing>
</file>

<file path=xl/diagrams/drawing1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35889" y="235889"/>
          <a:ext cx="1333494" cy="861714"/>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6698"/>
        <a:ext cx="861714" cy="800096"/>
      </dsp:txXfrm>
    </dsp:sp>
    <dsp:sp modelId="{6E8A34F7-70A0-4EC6-9F9C-913665A5AE28}">
      <dsp:nvSpPr>
        <dsp:cNvPr id="0" name=""/>
        <dsp:cNvSpPr/>
      </dsp:nvSpPr>
      <dsp:spPr>
        <a:xfrm rot="16200000">
          <a:off x="692909" y="235889"/>
          <a:ext cx="133349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HNGĐ tuần</a:t>
          </a:r>
        </a:p>
      </dsp:txBody>
      <dsp:txXfrm rot="5400000">
        <a:off x="928799" y="266698"/>
        <a:ext cx="861714" cy="800096"/>
      </dsp:txXfrm>
    </dsp:sp>
    <dsp:sp modelId="{71E9181F-C3CF-494C-B5B7-41EAF5B3B180}">
      <dsp:nvSpPr>
        <dsp:cNvPr id="0" name=""/>
        <dsp:cNvSpPr/>
      </dsp:nvSpPr>
      <dsp:spPr>
        <a:xfrm rot="16200000">
          <a:off x="1619253" y="235889"/>
          <a:ext cx="133349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DS tuần</a:t>
          </a:r>
        </a:p>
      </dsp:txBody>
      <dsp:txXfrm rot="5400000">
        <a:off x="1855143" y="266698"/>
        <a:ext cx="861714" cy="800096"/>
      </dsp:txXfrm>
    </dsp:sp>
    <dsp:sp modelId="{23EE2E24-4FDC-4779-9BA7-59BB5DC20507}">
      <dsp:nvSpPr>
        <dsp:cNvPr id="0" name=""/>
        <dsp:cNvSpPr/>
      </dsp:nvSpPr>
      <dsp:spPr>
        <a:xfrm rot="16200000">
          <a:off x="2545596" y="235889"/>
          <a:ext cx="133349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LĐ tuần</a:t>
          </a:r>
        </a:p>
      </dsp:txBody>
      <dsp:txXfrm rot="5400000">
        <a:off x="2781486" y="266698"/>
        <a:ext cx="861714" cy="800096"/>
      </dsp:txXfrm>
    </dsp:sp>
    <dsp:sp modelId="{CAC5AEF3-856A-46AC-9B6D-8EFB6BB73EF4}">
      <dsp:nvSpPr>
        <dsp:cNvPr id="0" name=""/>
        <dsp:cNvSpPr/>
      </dsp:nvSpPr>
      <dsp:spPr>
        <a:xfrm rot="16200000">
          <a:off x="3471939" y="235889"/>
          <a:ext cx="133349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HC tuần</a:t>
          </a:r>
        </a:p>
      </dsp:txBody>
      <dsp:txXfrm rot="5400000">
        <a:off x="3707829" y="266698"/>
        <a:ext cx="861714" cy="800096"/>
      </dsp:txXfrm>
    </dsp:sp>
  </dsp:spTree>
</dsp:drawing>
</file>

<file path=xl/diagrams/drawing1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30174" y="230174"/>
          <a:ext cx="1322063" cy="861714"/>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6355" bIns="0" numCol="1" spcCol="1270" anchor="ctr" anchorCtr="0">
          <a:noAutofit/>
        </a:bodyPr>
        <a:lstStyle/>
        <a:p>
          <a:pPr marL="0" lvl="0" indent="0" algn="ctr" defTabSz="800100">
            <a:lnSpc>
              <a:spcPct val="90000"/>
            </a:lnSpc>
            <a:spcBef>
              <a:spcPct val="0"/>
            </a:spcBef>
            <a:spcAft>
              <a:spcPct val="35000"/>
            </a:spcAft>
            <a:buNone/>
          </a:pPr>
          <a:r>
            <a:rPr lang="en-US" sz="1800" kern="1200"/>
            <a:t>Về trang chủ</a:t>
          </a:r>
        </a:p>
      </dsp:txBody>
      <dsp:txXfrm rot="5400000">
        <a:off x="1" y="264412"/>
        <a:ext cx="861714" cy="793237"/>
      </dsp:txXfrm>
    </dsp:sp>
    <dsp:sp modelId="{6E8A34F7-70A0-4EC6-9F9C-913665A5AE28}">
      <dsp:nvSpPr>
        <dsp:cNvPr id="0" name=""/>
        <dsp:cNvSpPr/>
      </dsp:nvSpPr>
      <dsp:spPr>
        <a:xfrm rot="16200000">
          <a:off x="698624" y="230174"/>
          <a:ext cx="1322063"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6355" bIns="0" numCol="1" spcCol="1270" anchor="ctr" anchorCtr="0">
          <a:noAutofit/>
        </a:bodyPr>
        <a:lstStyle/>
        <a:p>
          <a:pPr marL="0" lvl="0" indent="0" algn="ctr" defTabSz="800100">
            <a:lnSpc>
              <a:spcPct val="90000"/>
            </a:lnSpc>
            <a:spcBef>
              <a:spcPct val="0"/>
            </a:spcBef>
            <a:spcAft>
              <a:spcPct val="35000"/>
            </a:spcAft>
            <a:buNone/>
          </a:pPr>
          <a:r>
            <a:rPr lang="en-US" sz="1800" kern="1200"/>
            <a:t>TK án HNGĐ tuần</a:t>
          </a:r>
        </a:p>
      </dsp:txBody>
      <dsp:txXfrm rot="5400000">
        <a:off x="928799" y="264412"/>
        <a:ext cx="861714" cy="793237"/>
      </dsp:txXfrm>
    </dsp:sp>
    <dsp:sp modelId="{71E9181F-C3CF-494C-B5B7-41EAF5B3B180}">
      <dsp:nvSpPr>
        <dsp:cNvPr id="0" name=""/>
        <dsp:cNvSpPr/>
      </dsp:nvSpPr>
      <dsp:spPr>
        <a:xfrm rot="16200000">
          <a:off x="1624968" y="230174"/>
          <a:ext cx="1322063"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6355" bIns="0" numCol="1" spcCol="1270" anchor="ctr" anchorCtr="0">
          <a:noAutofit/>
        </a:bodyPr>
        <a:lstStyle/>
        <a:p>
          <a:pPr marL="0" lvl="0" indent="0" algn="ctr" defTabSz="800100">
            <a:lnSpc>
              <a:spcPct val="90000"/>
            </a:lnSpc>
            <a:spcBef>
              <a:spcPct val="0"/>
            </a:spcBef>
            <a:spcAft>
              <a:spcPct val="35000"/>
            </a:spcAft>
            <a:buNone/>
          </a:pPr>
          <a:r>
            <a:rPr lang="en-US" sz="1800" kern="1200"/>
            <a:t>TK án DS tuần</a:t>
          </a:r>
        </a:p>
      </dsp:txBody>
      <dsp:txXfrm rot="5400000">
        <a:off x="1855143" y="264412"/>
        <a:ext cx="861714" cy="793237"/>
      </dsp:txXfrm>
    </dsp:sp>
    <dsp:sp modelId="{23EE2E24-4FDC-4779-9BA7-59BB5DC20507}">
      <dsp:nvSpPr>
        <dsp:cNvPr id="0" name=""/>
        <dsp:cNvSpPr/>
      </dsp:nvSpPr>
      <dsp:spPr>
        <a:xfrm rot="16200000">
          <a:off x="2551311" y="230174"/>
          <a:ext cx="1322063"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6355" bIns="0" numCol="1" spcCol="1270" anchor="ctr" anchorCtr="0">
          <a:noAutofit/>
        </a:bodyPr>
        <a:lstStyle/>
        <a:p>
          <a:pPr marL="0" lvl="0" indent="0" algn="ctr" defTabSz="800100">
            <a:lnSpc>
              <a:spcPct val="90000"/>
            </a:lnSpc>
            <a:spcBef>
              <a:spcPct val="0"/>
            </a:spcBef>
            <a:spcAft>
              <a:spcPct val="35000"/>
            </a:spcAft>
            <a:buNone/>
          </a:pPr>
          <a:r>
            <a:rPr lang="en-US" sz="1800" kern="1200"/>
            <a:t>TK án KDTM tuần</a:t>
          </a:r>
        </a:p>
      </dsp:txBody>
      <dsp:txXfrm rot="5400000">
        <a:off x="2781486" y="264412"/>
        <a:ext cx="861714" cy="793237"/>
      </dsp:txXfrm>
    </dsp:sp>
    <dsp:sp modelId="{CAC5AEF3-856A-46AC-9B6D-8EFB6BB73EF4}">
      <dsp:nvSpPr>
        <dsp:cNvPr id="0" name=""/>
        <dsp:cNvSpPr/>
      </dsp:nvSpPr>
      <dsp:spPr>
        <a:xfrm rot="16200000">
          <a:off x="3477654" y="230174"/>
          <a:ext cx="1322063"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14300" tIns="0" rIns="116355" bIns="0" numCol="1" spcCol="1270" anchor="ctr" anchorCtr="0">
          <a:noAutofit/>
        </a:bodyPr>
        <a:lstStyle/>
        <a:p>
          <a:pPr marL="0" lvl="0" indent="0" algn="ctr" defTabSz="800100">
            <a:lnSpc>
              <a:spcPct val="90000"/>
            </a:lnSpc>
            <a:spcBef>
              <a:spcPct val="0"/>
            </a:spcBef>
            <a:spcAft>
              <a:spcPct val="35000"/>
            </a:spcAft>
            <a:buNone/>
          </a:pPr>
          <a:r>
            <a:rPr lang="en-US" sz="1800" kern="1200"/>
            <a:t>TK án HC tuần</a:t>
          </a:r>
        </a:p>
      </dsp:txBody>
      <dsp:txXfrm rot="5400000">
        <a:off x="3707829" y="264412"/>
        <a:ext cx="861714" cy="793237"/>
      </dsp:txXfrm>
    </dsp:sp>
  </dsp:spTree>
</dsp:drawing>
</file>

<file path=xl/diagrams/drawing1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92578C-CD5B-491E-822C-05814C363FED}">
      <dsp:nvSpPr>
        <dsp:cNvPr id="0" name=""/>
        <dsp:cNvSpPr/>
      </dsp:nvSpPr>
      <dsp:spPr>
        <a:xfrm rot="16200000">
          <a:off x="-232079" y="232079"/>
          <a:ext cx="1325874" cy="861714"/>
        </a:xfrm>
        <a:prstGeom prst="flowChartManualOperation">
          <a:avLst/>
        </a:prstGeom>
        <a:solidFill>
          <a:schemeClr val="accent2"/>
        </a:soli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Về trang chủ</a:t>
          </a:r>
        </a:p>
      </dsp:txBody>
      <dsp:txXfrm rot="5400000">
        <a:off x="1" y="265174"/>
        <a:ext cx="861714" cy="795524"/>
      </dsp:txXfrm>
    </dsp:sp>
    <dsp:sp modelId="{6E8A34F7-70A0-4EC6-9F9C-913665A5AE28}">
      <dsp:nvSpPr>
        <dsp:cNvPr id="0" name=""/>
        <dsp:cNvSpPr/>
      </dsp:nvSpPr>
      <dsp:spPr>
        <a:xfrm rot="16200000">
          <a:off x="696719" y="232079"/>
          <a:ext cx="132587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HNGĐ tuần</a:t>
          </a:r>
        </a:p>
      </dsp:txBody>
      <dsp:txXfrm rot="5400000">
        <a:off x="928799" y="265174"/>
        <a:ext cx="861714" cy="795524"/>
      </dsp:txXfrm>
    </dsp:sp>
    <dsp:sp modelId="{71E9181F-C3CF-494C-B5B7-41EAF5B3B180}">
      <dsp:nvSpPr>
        <dsp:cNvPr id="0" name=""/>
        <dsp:cNvSpPr/>
      </dsp:nvSpPr>
      <dsp:spPr>
        <a:xfrm rot="16200000">
          <a:off x="1623062" y="232079"/>
          <a:ext cx="132587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DS tuần</a:t>
          </a:r>
        </a:p>
      </dsp:txBody>
      <dsp:txXfrm rot="5400000">
        <a:off x="1855142" y="265174"/>
        <a:ext cx="861714" cy="795524"/>
      </dsp:txXfrm>
    </dsp:sp>
    <dsp:sp modelId="{23EE2E24-4FDC-4779-9BA7-59BB5DC20507}">
      <dsp:nvSpPr>
        <dsp:cNvPr id="0" name=""/>
        <dsp:cNvSpPr/>
      </dsp:nvSpPr>
      <dsp:spPr>
        <a:xfrm rot="16200000">
          <a:off x="2549406" y="232079"/>
          <a:ext cx="132587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KDTM tuần</a:t>
          </a:r>
        </a:p>
      </dsp:txBody>
      <dsp:txXfrm rot="5400000">
        <a:off x="2781486" y="265174"/>
        <a:ext cx="861714" cy="795524"/>
      </dsp:txXfrm>
    </dsp:sp>
    <dsp:sp modelId="{CAC5AEF3-856A-46AC-9B6D-8EFB6BB73EF4}">
      <dsp:nvSpPr>
        <dsp:cNvPr id="0" name=""/>
        <dsp:cNvSpPr/>
      </dsp:nvSpPr>
      <dsp:spPr>
        <a:xfrm rot="16200000">
          <a:off x="3475749" y="232079"/>
          <a:ext cx="1325874" cy="861714"/>
        </a:xfrm>
        <a:prstGeom prst="flowChartManualOperation">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120650" tIns="0" rIns="121839" bIns="0" numCol="1" spcCol="1270" anchor="ctr" anchorCtr="0">
          <a:noAutofit/>
        </a:bodyPr>
        <a:lstStyle/>
        <a:p>
          <a:pPr marL="0" lvl="0" indent="0" algn="ctr" defTabSz="844550">
            <a:lnSpc>
              <a:spcPct val="90000"/>
            </a:lnSpc>
            <a:spcBef>
              <a:spcPct val="0"/>
            </a:spcBef>
            <a:spcAft>
              <a:spcPct val="35000"/>
            </a:spcAft>
            <a:buNone/>
          </a:pPr>
          <a:r>
            <a:rPr lang="en-US" sz="1900" kern="1200"/>
            <a:t>TK án LĐ tuần</a:t>
          </a:r>
        </a:p>
      </dsp:txBody>
      <dsp:txXfrm rot="5400000">
        <a:off x="3707829" y="265174"/>
        <a:ext cx="861714" cy="79552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hierarchy3">
  <dgm:title val=""/>
  <dgm:desc val=""/>
  <dgm:catLst>
    <dgm:cat type="hierarchy" pri="7000"/>
    <dgm:cat type="list" pri="23000"/>
    <dgm:cat type="relationship" pri="15000"/>
    <dgm:cat type="convert" pri="7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Lst>
      <dgm:cxnLst>
        <dgm:cxn modelId="4" srcId="0" destId="1" srcOrd="0" destOrd="0"/>
        <dgm:cxn modelId="5" srcId="1" destId="11" srcOrd="0" destOrd="0"/>
        <dgm:cxn modelId="6" srcId="1" destId="12" srcOrd="1" destOrd="0"/>
        <dgm:cxn modelId="7" srcId="0" destId="2" srcOrd="1" destOrd="0"/>
        <dgm:cxn modelId="8" srcId="2" destId="21" srcOrd="0" destOrd="0"/>
        <dgm:cxn modelId="9" srcId="2" destId="2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diagram">
    <dgm:varLst>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primFontSz" for="des" forName="rootText" op="equ" val="65"/>
      <dgm:constr type="primFontSz" for="des" forName="childText" op="equ" val="65"/>
      <dgm:constr type="w" for="des" forName="rootComposite" refType="w"/>
      <dgm:constr type="h" for="des" forName="rootComposite" refType="w" fact="0.5"/>
      <dgm:constr type="w" for="des" forName="childText" refType="w" refFor="des" refForName="rootComposite" fact="0.8"/>
      <dgm:constr type="h" for="des" forName="childText" refType="h" refFor="des" refForName="rootComposite"/>
      <dgm:constr type="sibSp" refType="w" refFor="des" refForName="rootComposite" fact="0.25"/>
      <dgm:constr type="sibSp" for="des" forName="childShape" refType="h" refFor="des" refForName="childText" fact="0.25"/>
      <dgm:constr type="sp" for="des" forName="root" refType="h" refFor="des" refForName="childText" fact="0.25"/>
    </dgm:constrLst>
    <dgm:ruleLst/>
    <dgm:forEach name="Name3" axis="ch">
      <dgm:forEach name="Name4" axis="self" ptType="node" cnt="1">
        <dgm:layoutNode name="root">
          <dgm:choose name="Name5">
            <dgm:if name="Name6" func="var" arg="dir" op="equ" val="norm">
              <dgm:alg type="hierRoot">
                <dgm:param type="hierAlign" val="tL"/>
              </dgm:alg>
            </dgm:if>
            <dgm:else name="Name7">
              <dgm:alg type="hierRoot">
                <dgm:param type="hierAlign" val="tR"/>
              </dgm:alg>
            </dgm:else>
          </dgm:choose>
          <dgm:shape xmlns:r="http://schemas.openxmlformats.org/officeDocument/2006/relationships" r:blip="">
            <dgm:adjLst/>
          </dgm:shape>
          <dgm:presOf/>
          <dgm:constrLst>
            <dgm:constr type="alignOff" val="0.2"/>
          </dgm:constrLst>
          <dgm:ruleLst/>
          <dgm:layoutNode name="rootComposite">
            <dgm:alg type="composite"/>
            <dgm:shape xmlns:r="http://schemas.openxmlformats.org/officeDocument/2006/relationships" r:blip="">
              <dgm:adjLst/>
            </dgm:shape>
            <dgm:presOf axis="self" ptType="node" cnt="1"/>
            <dgm:choose name="Name8">
              <dgm:if name="Name9" func="var" arg="dir" op="equ" val="norm">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10">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alg type="tx"/>
              <dgm:shape xmlns:r="http://schemas.openxmlformats.org/officeDocument/2006/relationships" type="roundRect" r:blip="">
                <dgm:adjLst>
                  <dgm:adj idx="1" val="0.1"/>
                </dgm:adjLst>
              </dgm:shape>
              <dgm:presOf axis="self" ptType="node" cnt="1"/>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rootConnector" moveWith="rootText">
              <dgm:alg type="sp"/>
              <dgm:shape xmlns:r="http://schemas.openxmlformats.org/officeDocument/2006/relationships" type="roundRect" r:blip="" hideGeom="1">
                <dgm:adjLst>
                  <dgm:adj idx="1" val="0.1"/>
                </dgm:adjLst>
              </dgm:shape>
              <dgm:presOf axis="self" ptType="node" cnt="1"/>
              <dgm:constrLst/>
              <dgm:ruleLst/>
            </dgm:layoutNode>
          </dgm:layoutNode>
          <dgm:layoutNode name="childShape">
            <dgm:alg type="hierChild">
              <dgm:param type="chAlign" val="l"/>
              <dgm:param type="linDir" val="fromT"/>
            </dgm:alg>
            <dgm:shape xmlns:r="http://schemas.openxmlformats.org/officeDocument/2006/relationships" r:blip="">
              <dgm:adjLst/>
            </dgm:shape>
            <dgm:presOf/>
            <dgm:constrLst/>
            <dgm:ruleLst/>
            <dgm:forEach name="Name11" axis="ch">
              <dgm:forEach name="Name12" axis="self" ptType="parTrans" cnt="1">
                <dgm:layoutNode name="Name13">
                  <dgm:choose name="Name14">
                    <dgm:if name="Name15" func="var" arg="dir" op="equ" val="norm">
                      <dgm:alg type="conn">
                        <dgm:param type="dim" val="1D"/>
                        <dgm:param type="endSty" val="noArr"/>
                        <dgm:param type="connRout" val="bend"/>
                        <dgm:param type="srcNode" val="rootConnector"/>
                        <dgm:param type="begPts" val="bCtr"/>
                        <dgm:param type="endPts" val="midL"/>
                      </dgm:alg>
                    </dgm:if>
                    <dgm:else name="Name16">
                      <dgm:alg type="conn">
                        <dgm:param type="dim" val="1D"/>
                        <dgm:param type="endSty" val="noArr"/>
                        <dgm:param type="connRout" val="bend"/>
                        <dgm:param type="srcNode" val="rootConnector"/>
                        <dgm:param type="begPts" val="bCtr"/>
                        <dgm:param type="endPts" val="midR"/>
                      </dgm:alg>
                    </dgm:else>
                  </dgm:choose>
                  <dgm:shape xmlns:r="http://schemas.openxmlformats.org/officeDocument/2006/relationships" type="conn" r:blip="">
                    <dgm:adjLst/>
                  </dgm:shape>
                  <dgm:presOf axis="self"/>
                  <dgm:constrLst>
                    <dgm:constr type="begPad"/>
                    <dgm:constr type="endPad"/>
                  </dgm:constrLst>
                  <dgm:ruleLst/>
                </dgm:layoutNode>
              </dgm:forEach>
              <dgm:forEach name="Name17" axis="self" ptType="node">
                <dgm:layoutNode name="childText" styleLbl="bgAcc1">
                  <dgm:varLst>
                    <dgm:bulletEnabled val="1"/>
                  </dgm:varLst>
                  <dgm:alg type="tx"/>
                  <dgm:shape xmlns:r="http://schemas.openxmlformats.org/officeDocument/2006/relationships" type="roundRect" r:blip="">
                    <dgm:adjLst>
                      <dgm:adj idx="1" val="0.1"/>
                    </dgm:adjLst>
                  </dgm:shape>
                  <dgm:presOf axis="self desOrSelf" ptType="node node" st="1 1" cnt="1 0"/>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forEach>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8.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9.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0.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1.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2.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3.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4.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5.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6.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layout17.xml><?xml version="1.0" encoding="utf-8"?>
<dgm:layoutDef xmlns:dgm="http://schemas.openxmlformats.org/drawingml/2006/diagram" xmlns:a="http://schemas.openxmlformats.org/drawingml/2006/main" uniqueId="urn:microsoft.com/office/officeart/2005/8/layout/hList6">
  <dgm:title val=""/>
  <dgm:desc val=""/>
  <dgm:catLst>
    <dgm:cat type="list" pri="18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h" for="ch" ptType="node" refType="h"/>
      <dgm:constr type="w" for="ch" ptType="node" refType="w"/>
      <dgm:constr type="primFontSz" for="ch" ptType="node" op="equ"/>
      <dgm:constr type="w" for="ch" forName="sibTrans" refType="w" fact="0.075"/>
    </dgm:constrLst>
    <dgm:ruleLst/>
    <dgm:forEach name="nodesForEach" axis="ch" ptType="node">
      <dgm:layoutNode name="node">
        <dgm:varLst>
          <dgm:bulletEnabled val="1"/>
        </dgm:varLst>
        <dgm:alg type="tx"/>
        <dgm:choose name="Name4">
          <dgm:if name="Name5" func="var" arg="dir" op="equ" val="norm">
            <dgm:shape xmlns:r="http://schemas.openxmlformats.org/officeDocument/2006/relationships" rot="-90" type="flowChartManualOperation" r:blip="">
              <dgm:adjLst/>
            </dgm:shape>
          </dgm:if>
          <dgm:else name="Name6">
            <dgm:shape xmlns:r="http://schemas.openxmlformats.org/officeDocument/2006/relationships" rot="90" type="flowChartManualOperation" r:blip="">
              <dgm:adjLst/>
            </dgm:shape>
          </dgm:else>
        </dgm:choose>
        <dgm:presOf axis="desOrSelf" ptType="node"/>
        <dgm:constrLst>
          <dgm:constr type="primFontSz" val="65"/>
          <dgm:constr type="tMarg"/>
          <dgm:constr type="bMarg"/>
          <dgm:constr type="lMarg" refType="primFontSz" fact="0.5"/>
          <dgm:constr type="rMarg" refType="lMarg"/>
        </dgm:constrLst>
        <dgm:ruleLst>
          <dgm:rule type="primFontSz" val="5" fact="NaN" max="NaN"/>
        </dgm:ruleLst>
      </dgm:layoutNode>
      <dgm:forEach name="sibTransForEach" axis="followSib" ptType="sibTrans" cnt="1">
        <dgm:layoutNode name="sibTrans">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8.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9.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0.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2.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3.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4.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5.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6.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17.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diagramLayout" Target="../diagrams/layout1.xml"/><Relationship Id="rId7" Type="http://schemas.openxmlformats.org/officeDocument/2006/relationships/diagramData" Target="../diagrams/data2.xml"/><Relationship Id="rId12" Type="http://schemas.openxmlformats.org/officeDocument/2006/relationships/hyperlink" Target="#'Th&#7901;i h&#7841;n'!A1"/><Relationship Id="rId2" Type="http://schemas.openxmlformats.org/officeDocument/2006/relationships/diagramData" Target="../diagrams/data1.xml"/><Relationship Id="rId1" Type="http://schemas.openxmlformats.org/officeDocument/2006/relationships/hyperlink" Target="#'Danh s&#225;ch ng&#224;y ngh&#7881; l&#7877;'!A1"/><Relationship Id="rId6" Type="http://schemas.microsoft.com/office/2007/relationships/diagramDrawing" Target="../diagrams/drawing1.xml"/><Relationship Id="rId11" Type="http://schemas.microsoft.com/office/2007/relationships/diagramDrawing" Target="../diagrams/drawing2.xml"/><Relationship Id="rId5" Type="http://schemas.openxmlformats.org/officeDocument/2006/relationships/diagramColors" Target="../diagrams/colors1.xml"/><Relationship Id="rId10" Type="http://schemas.openxmlformats.org/officeDocument/2006/relationships/diagramColors" Target="../diagrams/colors2.xml"/><Relationship Id="rId4" Type="http://schemas.openxmlformats.org/officeDocument/2006/relationships/diagramQuickStyle" Target="../diagrams/quickStyle1.xml"/><Relationship Id="rId9" Type="http://schemas.openxmlformats.org/officeDocument/2006/relationships/diagramQuickStyle" Target="../diagrams/quickStyle2.xml"/></Relationships>
</file>

<file path=xl/drawings/_rels/drawing2.xml.rels><?xml version="1.0" encoding="UTF-8" standalone="yes"?>
<Relationships xmlns="http://schemas.openxmlformats.org/package/2006/relationships"><Relationship Id="rId3" Type="http://schemas.openxmlformats.org/officeDocument/2006/relationships/diagramLayout" Target="../diagrams/layout3.xml"/><Relationship Id="rId7" Type="http://schemas.openxmlformats.org/officeDocument/2006/relationships/hyperlink" Target="#'Th&#7889;ng k&#234; HNG&#272; tu&#7847;n'!A1"/><Relationship Id="rId2" Type="http://schemas.openxmlformats.org/officeDocument/2006/relationships/diagramData" Target="../diagrams/data3.xml"/><Relationship Id="rId1" Type="http://schemas.openxmlformats.org/officeDocument/2006/relationships/hyperlink" Target="#'Th&#7889;ng k&#234; HNG&#272; th&#225;ng'!A1"/><Relationship Id="rId6" Type="http://schemas.microsoft.com/office/2007/relationships/diagramDrawing" Target="../diagrams/drawing3.xml"/><Relationship Id="rId5" Type="http://schemas.openxmlformats.org/officeDocument/2006/relationships/diagramColors" Target="../diagrams/colors3.xml"/><Relationship Id="rId4" Type="http://schemas.openxmlformats.org/officeDocument/2006/relationships/diagramQuickStyle" Target="../diagrams/quickStyle3.xml"/></Relationships>
</file>

<file path=xl/drawings/_rels/drawing3.xml.rels><?xml version="1.0" encoding="UTF-8" standalone="yes"?>
<Relationships xmlns="http://schemas.openxmlformats.org/package/2006/relationships"><Relationship Id="rId3" Type="http://schemas.openxmlformats.org/officeDocument/2006/relationships/diagramLayout" Target="../diagrams/layout4.xml"/><Relationship Id="rId7" Type="http://schemas.openxmlformats.org/officeDocument/2006/relationships/hyperlink" Target="#'Th&#7889;ng k&#234; DS tu&#7847;n'!A1"/><Relationship Id="rId2" Type="http://schemas.openxmlformats.org/officeDocument/2006/relationships/diagramData" Target="../diagrams/data4.xml"/><Relationship Id="rId1" Type="http://schemas.openxmlformats.org/officeDocument/2006/relationships/hyperlink" Target="#'Th&#7889;ng k&#234; DS th&#225;ng'!A1"/><Relationship Id="rId6" Type="http://schemas.microsoft.com/office/2007/relationships/diagramDrawing" Target="../diagrams/drawing4.xml"/><Relationship Id="rId5" Type="http://schemas.openxmlformats.org/officeDocument/2006/relationships/diagramColors" Target="../diagrams/colors4.xml"/><Relationship Id="rId4" Type="http://schemas.openxmlformats.org/officeDocument/2006/relationships/diagramQuickStyle" Target="../diagrams/quickStyle4.xml"/></Relationships>
</file>

<file path=xl/drawings/_rels/drawing4.xml.rels><?xml version="1.0" encoding="UTF-8" standalone="yes"?>
<Relationships xmlns="http://schemas.openxmlformats.org/package/2006/relationships"><Relationship Id="rId3" Type="http://schemas.openxmlformats.org/officeDocument/2006/relationships/diagramLayout" Target="../diagrams/layout5.xml"/><Relationship Id="rId7" Type="http://schemas.openxmlformats.org/officeDocument/2006/relationships/hyperlink" Target="#'Th&#7889;ng k&#234; KDTM tu&#7847;n'!A1"/><Relationship Id="rId2" Type="http://schemas.openxmlformats.org/officeDocument/2006/relationships/diagramData" Target="../diagrams/data5.xml"/><Relationship Id="rId1" Type="http://schemas.openxmlformats.org/officeDocument/2006/relationships/hyperlink" Target="#'Th&#7889;ng k&#234; KDTM th&#225;ng'!A1"/><Relationship Id="rId6" Type="http://schemas.microsoft.com/office/2007/relationships/diagramDrawing" Target="../diagrams/drawing5.xml"/><Relationship Id="rId5" Type="http://schemas.openxmlformats.org/officeDocument/2006/relationships/diagramColors" Target="../diagrams/colors5.xml"/><Relationship Id="rId4" Type="http://schemas.openxmlformats.org/officeDocument/2006/relationships/diagramQuickStyle" Target="../diagrams/quickStyle5.xml"/></Relationships>
</file>

<file path=xl/drawings/_rels/drawing5.xml.rels><?xml version="1.0" encoding="UTF-8" standalone="yes"?>
<Relationships xmlns="http://schemas.openxmlformats.org/package/2006/relationships"><Relationship Id="rId3" Type="http://schemas.openxmlformats.org/officeDocument/2006/relationships/diagramLayout" Target="../diagrams/layout6.xml"/><Relationship Id="rId7" Type="http://schemas.openxmlformats.org/officeDocument/2006/relationships/hyperlink" Target="#'Th&#7889;ng k&#234; L&#272; tu&#7847;n'!A1"/><Relationship Id="rId2" Type="http://schemas.openxmlformats.org/officeDocument/2006/relationships/diagramData" Target="../diagrams/data6.xml"/><Relationship Id="rId1" Type="http://schemas.openxmlformats.org/officeDocument/2006/relationships/hyperlink" Target="#'Th&#7889;ng k&#234; L&#272; th&#225;ng'!A1"/><Relationship Id="rId6" Type="http://schemas.microsoft.com/office/2007/relationships/diagramDrawing" Target="../diagrams/drawing6.xml"/><Relationship Id="rId5" Type="http://schemas.openxmlformats.org/officeDocument/2006/relationships/diagramColors" Target="../diagrams/colors6.xml"/><Relationship Id="rId4" Type="http://schemas.openxmlformats.org/officeDocument/2006/relationships/diagramQuickStyle" Target="../diagrams/quickStyle6.xml"/></Relationships>
</file>

<file path=xl/drawings/_rels/drawing6.xml.rels><?xml version="1.0" encoding="UTF-8" standalone="yes"?>
<Relationships xmlns="http://schemas.openxmlformats.org/package/2006/relationships"><Relationship Id="rId3" Type="http://schemas.openxmlformats.org/officeDocument/2006/relationships/diagramLayout" Target="../diagrams/layout7.xml"/><Relationship Id="rId7" Type="http://schemas.openxmlformats.org/officeDocument/2006/relationships/hyperlink" Target="#'Th&#7889;ng k&#234; HC tu&#7847;n'!A1"/><Relationship Id="rId2" Type="http://schemas.openxmlformats.org/officeDocument/2006/relationships/diagramData" Target="../diagrams/data7.xml"/><Relationship Id="rId1" Type="http://schemas.openxmlformats.org/officeDocument/2006/relationships/hyperlink" Target="#'Th&#7889;ng k&#234; HC th&#225;ng'!A1"/><Relationship Id="rId6" Type="http://schemas.microsoft.com/office/2007/relationships/diagramDrawing" Target="../diagrams/drawing7.xml"/><Relationship Id="rId5" Type="http://schemas.openxmlformats.org/officeDocument/2006/relationships/diagramColors" Target="../diagrams/colors7.xml"/><Relationship Id="rId4" Type="http://schemas.openxmlformats.org/officeDocument/2006/relationships/diagramQuickStyle" Target="../diagrams/quickStyle7.xml"/></Relationships>
</file>

<file path=xl/drawings/_rels/drawing7.xml.rels><?xml version="1.0" encoding="UTF-8" standalone="yes"?>
<Relationships xmlns="http://schemas.openxmlformats.org/package/2006/relationships"><Relationship Id="rId3" Type="http://schemas.openxmlformats.org/officeDocument/2006/relationships/diagramLayout" Target="../diagrams/layout8.xml"/><Relationship Id="rId7" Type="http://schemas.openxmlformats.org/officeDocument/2006/relationships/hyperlink" Target="#'Th&#7889;ng k&#234; HNG&#272; tu&#7847;n'!A1"/><Relationship Id="rId2" Type="http://schemas.openxmlformats.org/officeDocument/2006/relationships/diagramData" Target="../diagrams/data8.xml"/><Relationship Id="rId1" Type="http://schemas.openxmlformats.org/officeDocument/2006/relationships/hyperlink" Target="#HNG&#272;!A1"/><Relationship Id="rId6" Type="http://schemas.microsoft.com/office/2007/relationships/diagramDrawing" Target="../diagrams/drawing8.xml"/><Relationship Id="rId5" Type="http://schemas.openxmlformats.org/officeDocument/2006/relationships/diagramColors" Target="../diagrams/colors8.xml"/><Relationship Id="rId4" Type="http://schemas.openxmlformats.org/officeDocument/2006/relationships/diagramQuickStyle" Target="../diagrams/quickStyle8.xml"/></Relationships>
</file>

<file path=xl/drawings/_rels/drawing8.xml.rels><?xml version="1.0" encoding="UTF-8" standalone="yes"?>
<Relationships xmlns="http://schemas.openxmlformats.org/package/2006/relationships"><Relationship Id="rId3" Type="http://schemas.openxmlformats.org/officeDocument/2006/relationships/diagramLayout" Target="../diagrams/layout9.xml"/><Relationship Id="rId7" Type="http://schemas.openxmlformats.org/officeDocument/2006/relationships/hyperlink" Target="#'Th&#7889;ng k&#234; DS tu&#7847;n'!A1"/><Relationship Id="rId2" Type="http://schemas.openxmlformats.org/officeDocument/2006/relationships/diagramData" Target="../diagrams/data9.xml"/><Relationship Id="rId1" Type="http://schemas.openxmlformats.org/officeDocument/2006/relationships/hyperlink" Target="#DS!A1"/><Relationship Id="rId6" Type="http://schemas.microsoft.com/office/2007/relationships/diagramDrawing" Target="../diagrams/drawing9.xml"/><Relationship Id="rId5" Type="http://schemas.openxmlformats.org/officeDocument/2006/relationships/diagramColors" Target="../diagrams/colors9.xml"/><Relationship Id="rId4" Type="http://schemas.openxmlformats.org/officeDocument/2006/relationships/diagramQuickStyle" Target="../diagrams/quickStyle9.xml"/></Relationships>
</file>

<file path=xl/drawings/_rels/drawing9.xml.rels><?xml version="1.0" encoding="UTF-8" standalone="yes"?>
<Relationships xmlns="http://schemas.openxmlformats.org/package/2006/relationships"><Relationship Id="rId3" Type="http://schemas.openxmlformats.org/officeDocument/2006/relationships/diagramLayout" Target="../diagrams/layout10.xml"/><Relationship Id="rId7" Type="http://schemas.openxmlformats.org/officeDocument/2006/relationships/hyperlink" Target="#'Th&#7889;ng k&#234; KDTM tu&#7847;n'!A1"/><Relationship Id="rId2" Type="http://schemas.openxmlformats.org/officeDocument/2006/relationships/diagramData" Target="../diagrams/data10.xml"/><Relationship Id="rId1" Type="http://schemas.openxmlformats.org/officeDocument/2006/relationships/hyperlink" Target="#KDTM!A1"/><Relationship Id="rId6" Type="http://schemas.microsoft.com/office/2007/relationships/diagramDrawing" Target="../diagrams/drawing10.xml"/><Relationship Id="rId5" Type="http://schemas.openxmlformats.org/officeDocument/2006/relationships/diagramColors" Target="../diagrams/colors10.xml"/><Relationship Id="rId4" Type="http://schemas.openxmlformats.org/officeDocument/2006/relationships/diagramQuickStyle" Target="../diagrams/quickStyle10.xml"/></Relationships>
</file>

<file path=xl/drawings/_rels/drawing10.xml.rels><?xml version="1.0" encoding="UTF-8" standalone="yes"?>
<Relationships xmlns="http://schemas.openxmlformats.org/package/2006/relationships"><Relationship Id="rId3" Type="http://schemas.openxmlformats.org/officeDocument/2006/relationships/diagramLayout" Target="../diagrams/layout11.xml"/><Relationship Id="rId7" Type="http://schemas.openxmlformats.org/officeDocument/2006/relationships/hyperlink" Target="#'Th&#7889;ng k&#234; L&#272; tu&#7847;n'!A1"/><Relationship Id="rId2" Type="http://schemas.openxmlformats.org/officeDocument/2006/relationships/diagramData" Target="../diagrams/data11.xml"/><Relationship Id="rId1" Type="http://schemas.openxmlformats.org/officeDocument/2006/relationships/hyperlink" Target="#L&#272;!A1"/><Relationship Id="rId6" Type="http://schemas.microsoft.com/office/2007/relationships/diagramDrawing" Target="../diagrams/drawing11.xml"/><Relationship Id="rId5" Type="http://schemas.openxmlformats.org/officeDocument/2006/relationships/diagramColors" Target="../diagrams/colors11.xml"/><Relationship Id="rId4" Type="http://schemas.openxmlformats.org/officeDocument/2006/relationships/diagramQuickStyle" Target="../diagrams/quickStyle11.xml"/></Relationships>
</file>

<file path=xl/drawings/_rels/drawing11.xml.rels><?xml version="1.0" encoding="UTF-8" standalone="yes"?>
<Relationships xmlns="http://schemas.openxmlformats.org/package/2006/relationships"><Relationship Id="rId3" Type="http://schemas.openxmlformats.org/officeDocument/2006/relationships/diagramLayout" Target="../diagrams/layout12.xml"/><Relationship Id="rId7" Type="http://schemas.openxmlformats.org/officeDocument/2006/relationships/hyperlink" Target="#'Th&#7889;ng k&#234; HC tu&#7847;n'!A1"/><Relationship Id="rId2" Type="http://schemas.openxmlformats.org/officeDocument/2006/relationships/diagramData" Target="../diagrams/data12.xml"/><Relationship Id="rId1" Type="http://schemas.openxmlformats.org/officeDocument/2006/relationships/hyperlink" Target="#HC!A1"/><Relationship Id="rId6" Type="http://schemas.microsoft.com/office/2007/relationships/diagramDrawing" Target="../diagrams/drawing12.xml"/><Relationship Id="rId5" Type="http://schemas.openxmlformats.org/officeDocument/2006/relationships/diagramColors" Target="../diagrams/colors12.xml"/><Relationship Id="rId4" Type="http://schemas.openxmlformats.org/officeDocument/2006/relationships/diagramQuickStyle" Target="../diagrams/quickStyle12.xml"/></Relationships>
</file>

<file path=xl/drawings/_rels/drawing12.xml.rels><?xml version="1.0" encoding="UTF-8" standalone="yes"?>
<Relationships xmlns="http://schemas.openxmlformats.org/package/2006/relationships"><Relationship Id="rId3" Type="http://schemas.openxmlformats.org/officeDocument/2006/relationships/diagramLayout" Target="../diagrams/layout13.xml"/><Relationship Id="rId7" Type="http://schemas.openxmlformats.org/officeDocument/2006/relationships/hyperlink" Target="#'Th&#7889;ng k&#234; HNG&#272; th&#225;ng'!A1"/><Relationship Id="rId2" Type="http://schemas.openxmlformats.org/officeDocument/2006/relationships/diagramData" Target="../diagrams/data13.xml"/><Relationship Id="rId1" Type="http://schemas.openxmlformats.org/officeDocument/2006/relationships/hyperlink" Target="#HNG&#272;!A1"/><Relationship Id="rId6" Type="http://schemas.microsoft.com/office/2007/relationships/diagramDrawing" Target="../diagrams/drawing13.xml"/><Relationship Id="rId5" Type="http://schemas.openxmlformats.org/officeDocument/2006/relationships/diagramColors" Target="../diagrams/colors13.xml"/><Relationship Id="rId4" Type="http://schemas.openxmlformats.org/officeDocument/2006/relationships/diagramQuickStyle" Target="../diagrams/quickStyle13.xml"/></Relationships>
</file>

<file path=xl/drawings/_rels/drawing13.xml.rels><?xml version="1.0" encoding="UTF-8" standalone="yes"?>
<Relationships xmlns="http://schemas.openxmlformats.org/package/2006/relationships"><Relationship Id="rId3" Type="http://schemas.openxmlformats.org/officeDocument/2006/relationships/diagramLayout" Target="../diagrams/layout14.xml"/><Relationship Id="rId7" Type="http://schemas.openxmlformats.org/officeDocument/2006/relationships/hyperlink" Target="#'Th&#7889;ng k&#234; DS th&#225;ng'!A1"/><Relationship Id="rId2" Type="http://schemas.openxmlformats.org/officeDocument/2006/relationships/diagramData" Target="../diagrams/data14.xml"/><Relationship Id="rId1" Type="http://schemas.openxmlformats.org/officeDocument/2006/relationships/hyperlink" Target="#DS!A1"/><Relationship Id="rId6" Type="http://schemas.microsoft.com/office/2007/relationships/diagramDrawing" Target="../diagrams/drawing14.xml"/><Relationship Id="rId5" Type="http://schemas.openxmlformats.org/officeDocument/2006/relationships/diagramColors" Target="../diagrams/colors14.xml"/><Relationship Id="rId4" Type="http://schemas.openxmlformats.org/officeDocument/2006/relationships/diagramQuickStyle" Target="../diagrams/quickStyle14.xml"/></Relationships>
</file>

<file path=xl/drawings/_rels/drawing14.xml.rels><?xml version="1.0" encoding="UTF-8" standalone="yes"?>
<Relationships xmlns="http://schemas.openxmlformats.org/package/2006/relationships"><Relationship Id="rId3" Type="http://schemas.openxmlformats.org/officeDocument/2006/relationships/diagramLayout" Target="../diagrams/layout15.xml"/><Relationship Id="rId7" Type="http://schemas.openxmlformats.org/officeDocument/2006/relationships/hyperlink" Target="#'Th&#7889;ng k&#234; KDTM th&#225;ng'!A1"/><Relationship Id="rId2" Type="http://schemas.openxmlformats.org/officeDocument/2006/relationships/diagramData" Target="../diagrams/data15.xml"/><Relationship Id="rId1" Type="http://schemas.openxmlformats.org/officeDocument/2006/relationships/hyperlink" Target="#KDTM!A1"/><Relationship Id="rId6" Type="http://schemas.microsoft.com/office/2007/relationships/diagramDrawing" Target="../diagrams/drawing15.xml"/><Relationship Id="rId5" Type="http://schemas.openxmlformats.org/officeDocument/2006/relationships/diagramColors" Target="../diagrams/colors15.xml"/><Relationship Id="rId4" Type="http://schemas.openxmlformats.org/officeDocument/2006/relationships/diagramQuickStyle" Target="../diagrams/quickStyle15.xml"/></Relationships>
</file>

<file path=xl/drawings/_rels/drawing15.xml.rels><?xml version="1.0" encoding="UTF-8" standalone="yes"?>
<Relationships xmlns="http://schemas.openxmlformats.org/package/2006/relationships"><Relationship Id="rId3" Type="http://schemas.openxmlformats.org/officeDocument/2006/relationships/diagramLayout" Target="../diagrams/layout16.xml"/><Relationship Id="rId7" Type="http://schemas.openxmlformats.org/officeDocument/2006/relationships/hyperlink" Target="#'Th&#7889;ng k&#234; L&#272; th&#225;ng'!A1"/><Relationship Id="rId2" Type="http://schemas.openxmlformats.org/officeDocument/2006/relationships/diagramData" Target="../diagrams/data16.xml"/><Relationship Id="rId1" Type="http://schemas.openxmlformats.org/officeDocument/2006/relationships/hyperlink" Target="#L&#272;!A1"/><Relationship Id="rId6" Type="http://schemas.microsoft.com/office/2007/relationships/diagramDrawing" Target="../diagrams/drawing16.xml"/><Relationship Id="rId5" Type="http://schemas.openxmlformats.org/officeDocument/2006/relationships/diagramColors" Target="../diagrams/colors16.xml"/><Relationship Id="rId4" Type="http://schemas.openxmlformats.org/officeDocument/2006/relationships/diagramQuickStyle" Target="../diagrams/quickStyle16.xml"/></Relationships>
</file>

<file path=xl/drawings/_rels/drawing16.xml.rels><?xml version="1.0" encoding="UTF-8" standalone="yes"?>
<Relationships xmlns="http://schemas.openxmlformats.org/package/2006/relationships"><Relationship Id="rId3" Type="http://schemas.openxmlformats.org/officeDocument/2006/relationships/diagramLayout" Target="../diagrams/layout17.xml"/><Relationship Id="rId7" Type="http://schemas.openxmlformats.org/officeDocument/2006/relationships/hyperlink" Target="#'Th&#7889;ng k&#234; HC th&#225;ng'!A1"/><Relationship Id="rId2" Type="http://schemas.openxmlformats.org/officeDocument/2006/relationships/diagramData" Target="../diagrams/data17.xml"/><Relationship Id="rId1" Type="http://schemas.openxmlformats.org/officeDocument/2006/relationships/hyperlink" Target="#HC!A1"/><Relationship Id="rId6" Type="http://schemas.microsoft.com/office/2007/relationships/diagramDrawing" Target="../diagrams/drawing17.xml"/><Relationship Id="rId5" Type="http://schemas.openxmlformats.org/officeDocument/2006/relationships/diagramColors" Target="../diagrams/colors17.xml"/><Relationship Id="rId4" Type="http://schemas.openxmlformats.org/officeDocument/2006/relationships/diagramQuickStyle" Target="../diagrams/quickStyle17.xml"/></Relationships>
</file>

<file path=xl/drawings/_rels/drawing17.xml.rels><?xml version="1.0" encoding="UTF-8" standalone="yes"?>
<Relationships xmlns="http://schemas.openxmlformats.org/package/2006/relationships"><Relationship Id="rId1" Type="http://schemas.openxmlformats.org/officeDocument/2006/relationships/hyperlink" Target="#'Trang ch&#7911;'!A1"/></Relationships>
</file>

<file path=xl/drawings/_rels/drawing18.xml.rels><?xml version="1.0" encoding="UTF-8" standalone="yes"?>
<Relationships xmlns="http://schemas.openxmlformats.org/package/2006/relationships"><Relationship Id="rId1" Type="http://schemas.openxmlformats.org/officeDocument/2006/relationships/hyperlink" Target="#'Trang ch&#7911;'!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449263</xdr:colOff>
      <xdr:row>24</xdr:row>
      <xdr:rowOff>68263</xdr:rowOff>
    </xdr:from>
    <xdr:to>
      <xdr:col>3</xdr:col>
      <xdr:colOff>279401</xdr:colOff>
      <xdr:row>26</xdr:row>
      <xdr:rowOff>4763</xdr:rowOff>
    </xdr:to>
    <xdr:sp macro="" textlink="">
      <xdr:nvSpPr>
        <xdr:cNvPr id="9" name="TextBox 8">
          <a:hlinkClick xmlns:r="http://schemas.openxmlformats.org/officeDocument/2006/relationships" r:id="rId1"/>
          <a:extLst>
            <a:ext uri="{FF2B5EF4-FFF2-40B4-BE49-F238E27FC236}">
              <a16:creationId xmlns:a16="http://schemas.microsoft.com/office/drawing/2014/main" id="{870332A5-9099-42DB-92B8-47A46F3C38E0}"/>
            </a:ext>
          </a:extLst>
        </xdr:cNvPr>
        <xdr:cNvSpPr txBox="1"/>
      </xdr:nvSpPr>
      <xdr:spPr>
        <a:xfrm>
          <a:off x="449263" y="4830763"/>
          <a:ext cx="2011363" cy="317500"/>
        </a:xfrm>
        <a:prstGeom prst="rect">
          <a:avLst/>
        </a:prstGeom>
        <a:ln>
          <a:solidFill>
            <a:sysClr val="windowText" lastClr="000000"/>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400">
              <a:latin typeface="Times New Roman" panose="02020603050405020304" pitchFamily="18" charset="0"/>
              <a:cs typeface="Times New Roman" panose="02020603050405020304" pitchFamily="18" charset="0"/>
            </a:rPr>
            <a:t>Cập</a:t>
          </a:r>
          <a:r>
            <a:rPr lang="en-US" sz="1400" baseline="0">
              <a:latin typeface="Times New Roman" panose="02020603050405020304" pitchFamily="18" charset="0"/>
              <a:cs typeface="Times New Roman" panose="02020603050405020304" pitchFamily="18" charset="0"/>
            </a:rPr>
            <a:t> nhật ngày nghỉ lễ</a:t>
          </a:r>
          <a:endParaRPr lang="en-US" sz="1400">
            <a:latin typeface="Times New Roman" panose="02020603050405020304" pitchFamily="18" charset="0"/>
            <a:cs typeface="Times New Roman" panose="02020603050405020304" pitchFamily="18" charset="0"/>
          </a:endParaRPr>
        </a:p>
      </xdr:txBody>
    </xdr:sp>
    <xdr:clientData/>
  </xdr:twoCellAnchor>
  <xdr:twoCellAnchor>
    <xdr:from>
      <xdr:col>0</xdr:col>
      <xdr:colOff>295275</xdr:colOff>
      <xdr:row>5</xdr:row>
      <xdr:rowOff>138112</xdr:rowOff>
    </xdr:from>
    <xdr:to>
      <xdr:col>5</xdr:col>
      <xdr:colOff>57150</xdr:colOff>
      <xdr:row>20</xdr:row>
      <xdr:rowOff>23812</xdr:rowOff>
    </xdr:to>
    <xdr:graphicFrame macro="">
      <xdr:nvGraphicFramePr>
        <xdr:cNvPr id="15" name="Diagram 14">
          <a:extLst>
            <a:ext uri="{FF2B5EF4-FFF2-40B4-BE49-F238E27FC236}">
              <a16:creationId xmlns:a16="http://schemas.microsoft.com/office/drawing/2014/main" id="{B6FF142E-F408-455A-A8A5-90B379DF8AE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8</xdr:col>
      <xdr:colOff>9525</xdr:colOff>
      <xdr:row>5</xdr:row>
      <xdr:rowOff>142875</xdr:rowOff>
    </xdr:from>
    <xdr:to>
      <xdr:col>12</xdr:col>
      <xdr:colOff>619125</xdr:colOff>
      <xdr:row>20</xdr:row>
      <xdr:rowOff>28575</xdr:rowOff>
    </xdr:to>
    <xdr:graphicFrame macro="">
      <xdr:nvGraphicFramePr>
        <xdr:cNvPr id="16" name="Diagram 15">
          <a:extLst>
            <a:ext uri="{FF2B5EF4-FFF2-40B4-BE49-F238E27FC236}">
              <a16:creationId xmlns:a16="http://schemas.microsoft.com/office/drawing/2014/main" id="{0E3DF5B9-09F8-4074-8D93-749EFC22B761}"/>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twoCellAnchor>
    <xdr:from>
      <xdr:col>4</xdr:col>
      <xdr:colOff>152400</xdr:colOff>
      <xdr:row>24</xdr:row>
      <xdr:rowOff>76200</xdr:rowOff>
    </xdr:from>
    <xdr:to>
      <xdr:col>7</xdr:col>
      <xdr:colOff>476250</xdr:colOff>
      <xdr:row>26</xdr:row>
      <xdr:rowOff>12700</xdr:rowOff>
    </xdr:to>
    <xdr:sp macro="" textlink="">
      <xdr:nvSpPr>
        <xdr:cNvPr id="5" name="TextBox 4">
          <a:hlinkClick xmlns:r="http://schemas.openxmlformats.org/officeDocument/2006/relationships" r:id="rId12"/>
          <a:extLst>
            <a:ext uri="{FF2B5EF4-FFF2-40B4-BE49-F238E27FC236}">
              <a16:creationId xmlns:a16="http://schemas.microsoft.com/office/drawing/2014/main" id="{90F76618-3CA7-44E2-A0B9-B7AFD0A85C2E}"/>
            </a:ext>
          </a:extLst>
        </xdr:cNvPr>
        <xdr:cNvSpPr txBox="1"/>
      </xdr:nvSpPr>
      <xdr:spPr>
        <a:xfrm>
          <a:off x="2971800" y="4838700"/>
          <a:ext cx="2238375" cy="317500"/>
        </a:xfrm>
        <a:prstGeom prst="rect">
          <a:avLst/>
        </a:prstGeom>
        <a:ln>
          <a:solidFill>
            <a:sysClr val="windowText" lastClr="000000"/>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400">
              <a:latin typeface="Times New Roman" panose="02020603050405020304" pitchFamily="18" charset="0"/>
              <a:cs typeface="Times New Roman" panose="02020603050405020304" pitchFamily="18" charset="0"/>
            </a:rPr>
            <a:t>Cập</a:t>
          </a:r>
          <a:r>
            <a:rPr lang="en-US" sz="1400" baseline="0">
              <a:latin typeface="Times New Roman" panose="02020603050405020304" pitchFamily="18" charset="0"/>
              <a:cs typeface="Times New Roman" panose="02020603050405020304" pitchFamily="18" charset="0"/>
            </a:rPr>
            <a:t> nhật các loại thời hạn</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392206</xdr:colOff>
      <xdr:row>1</xdr:row>
      <xdr:rowOff>558053</xdr:rowOff>
    </xdr:from>
    <xdr:to>
      <xdr:col>3</xdr:col>
      <xdr:colOff>770965</xdr:colOff>
      <xdr:row>2</xdr:row>
      <xdr:rowOff>510988</xdr:rowOff>
    </xdr:to>
    <xdr:sp macro="" textlink="">
      <xdr:nvSpPr>
        <xdr:cNvPr id="9" name="TextBox 8">
          <a:hlinkClick xmlns:r="http://schemas.openxmlformats.org/officeDocument/2006/relationships" r:id="rId1"/>
          <a:extLst>
            <a:ext uri="{FF2B5EF4-FFF2-40B4-BE49-F238E27FC236}">
              <a16:creationId xmlns:a16="http://schemas.microsoft.com/office/drawing/2014/main" id="{19AD09A0-A7D0-4C9E-87A8-842BA0CED76F}"/>
            </a:ext>
          </a:extLst>
        </xdr:cNvPr>
        <xdr:cNvSpPr txBox="1"/>
      </xdr:nvSpPr>
      <xdr:spPr>
        <a:xfrm>
          <a:off x="607359" y="1167653"/>
          <a:ext cx="2225488" cy="56253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HNGĐ tháng</a:t>
          </a:r>
        </a:p>
      </xdr:txBody>
    </xdr:sp>
    <xdr:clientData/>
  </xdr:twoCellAnchor>
  <xdr:twoCellAnchor>
    <xdr:from>
      <xdr:col>12</xdr:col>
      <xdr:colOff>22412</xdr:colOff>
      <xdr:row>0</xdr:row>
      <xdr:rowOff>224118</xdr:rowOff>
    </xdr:from>
    <xdr:to>
      <xdr:col>18</xdr:col>
      <xdr:colOff>414617</xdr:colOff>
      <xdr:row>2</xdr:row>
      <xdr:rowOff>347377</xdr:rowOff>
    </xdr:to>
    <xdr:graphicFrame macro="">
      <xdr:nvGraphicFramePr>
        <xdr:cNvPr id="10" name="Diagram 9">
          <a:extLst>
            <a:ext uri="{FF2B5EF4-FFF2-40B4-BE49-F238E27FC236}">
              <a16:creationId xmlns:a16="http://schemas.microsoft.com/office/drawing/2014/main" id="{33EB283B-6272-4D92-ACC6-F88DA4F2405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5</xdr:col>
      <xdr:colOff>17929</xdr:colOff>
      <xdr:row>1</xdr:row>
      <xdr:rowOff>546847</xdr:rowOff>
    </xdr:from>
    <xdr:to>
      <xdr:col>7</xdr:col>
      <xdr:colOff>217394</xdr:colOff>
      <xdr:row>2</xdr:row>
      <xdr:rowOff>499782</xdr:rowOff>
    </xdr:to>
    <xdr:sp macro="" textlink="">
      <xdr:nvSpPr>
        <xdr:cNvPr id="2" name="TextBox 1">
          <a:hlinkClick xmlns:r="http://schemas.openxmlformats.org/officeDocument/2006/relationships" r:id="rId7"/>
          <a:extLst>
            <a:ext uri="{FF2B5EF4-FFF2-40B4-BE49-F238E27FC236}">
              <a16:creationId xmlns:a16="http://schemas.microsoft.com/office/drawing/2014/main" id="{5DC2E500-13F6-44AA-9A89-8CDF79DF24FF}"/>
            </a:ext>
          </a:extLst>
        </xdr:cNvPr>
        <xdr:cNvSpPr txBox="1"/>
      </xdr:nvSpPr>
      <xdr:spPr>
        <a:xfrm>
          <a:off x="4105835" y="1156447"/>
          <a:ext cx="2225488" cy="56253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a:t>
          </a:r>
          <a:r>
            <a:rPr lang="en-US" sz="1600" b="1" baseline="0">
              <a:solidFill>
                <a:schemeClr val="dk1"/>
              </a:solidFill>
              <a:latin typeface="Times New Roman" panose="02020603050405020304" pitchFamily="18" charset="0"/>
              <a:ea typeface="+mn-ea"/>
              <a:cs typeface="Times New Roman" panose="02020603050405020304" pitchFamily="18" charset="0"/>
            </a:rPr>
            <a:t> HNGĐ tuần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786653</xdr:colOff>
      <xdr:row>1</xdr:row>
      <xdr:rowOff>504264</xdr:rowOff>
    </xdr:from>
    <xdr:to>
      <xdr:col>3</xdr:col>
      <xdr:colOff>1766048</xdr:colOff>
      <xdr:row>2</xdr:row>
      <xdr:rowOff>466165</xdr:rowOff>
    </xdr:to>
    <xdr:sp macro="" textlink="">
      <xdr:nvSpPr>
        <xdr:cNvPr id="7" name="TextBox 6">
          <a:hlinkClick xmlns:r="http://schemas.openxmlformats.org/officeDocument/2006/relationships" r:id="rId1"/>
          <a:extLst>
            <a:ext uri="{FF2B5EF4-FFF2-40B4-BE49-F238E27FC236}">
              <a16:creationId xmlns:a16="http://schemas.microsoft.com/office/drawing/2014/main" id="{85E6D10E-5E39-4632-86C8-3143F5A05FE9}"/>
            </a:ext>
          </a:extLst>
        </xdr:cNvPr>
        <xdr:cNvSpPr txBox="1"/>
      </xdr:nvSpPr>
      <xdr:spPr>
        <a:xfrm>
          <a:off x="1575547" y="1113864"/>
          <a:ext cx="2037230" cy="57150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a:t>
          </a:r>
          <a:r>
            <a:rPr lang="en-US" sz="1600" b="1" baseline="0">
              <a:solidFill>
                <a:schemeClr val="dk1"/>
              </a:solidFill>
              <a:latin typeface="Times New Roman" panose="02020603050405020304" pitchFamily="18" charset="0"/>
              <a:ea typeface="+mn-ea"/>
              <a:cs typeface="Times New Roman" panose="02020603050405020304" pitchFamily="18" charset="0"/>
            </a:rPr>
            <a:t> DS tháng</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11</xdr:col>
      <xdr:colOff>22411</xdr:colOff>
      <xdr:row>0</xdr:row>
      <xdr:rowOff>212912</xdr:rowOff>
    </xdr:from>
    <xdr:to>
      <xdr:col>17</xdr:col>
      <xdr:colOff>739587</xdr:colOff>
      <xdr:row>2</xdr:row>
      <xdr:rowOff>336171</xdr:rowOff>
    </xdr:to>
    <xdr:graphicFrame macro="">
      <xdr:nvGraphicFramePr>
        <xdr:cNvPr id="8" name="Diagram 7">
          <a:extLst>
            <a:ext uri="{FF2B5EF4-FFF2-40B4-BE49-F238E27FC236}">
              <a16:creationId xmlns:a16="http://schemas.microsoft.com/office/drawing/2014/main" id="{9513BD7B-A5A7-46E8-9DE1-0056C3D7E1E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645459</xdr:colOff>
      <xdr:row>1</xdr:row>
      <xdr:rowOff>519953</xdr:rowOff>
    </xdr:from>
    <xdr:to>
      <xdr:col>6</xdr:col>
      <xdr:colOff>880783</xdr:colOff>
      <xdr:row>2</xdr:row>
      <xdr:rowOff>481854</xdr:rowOff>
    </xdr:to>
    <xdr:sp macro="" textlink="">
      <xdr:nvSpPr>
        <xdr:cNvPr id="2" name="TextBox 1">
          <a:hlinkClick xmlns:r="http://schemas.openxmlformats.org/officeDocument/2006/relationships" r:id="rId7"/>
          <a:extLst>
            <a:ext uri="{FF2B5EF4-FFF2-40B4-BE49-F238E27FC236}">
              <a16:creationId xmlns:a16="http://schemas.microsoft.com/office/drawing/2014/main" id="{163620A4-7053-4B34-BDF8-6EF496322E59}"/>
            </a:ext>
          </a:extLst>
        </xdr:cNvPr>
        <xdr:cNvSpPr txBox="1"/>
      </xdr:nvSpPr>
      <xdr:spPr>
        <a:xfrm>
          <a:off x="4518212" y="1129553"/>
          <a:ext cx="2037230" cy="57150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DS tuần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201704</xdr:colOff>
      <xdr:row>1</xdr:row>
      <xdr:rowOff>481853</xdr:rowOff>
    </xdr:from>
    <xdr:to>
      <xdr:col>3</xdr:col>
      <xdr:colOff>1030940</xdr:colOff>
      <xdr:row>2</xdr:row>
      <xdr:rowOff>355786</xdr:rowOff>
    </xdr:to>
    <xdr:sp macro="" textlink="">
      <xdr:nvSpPr>
        <xdr:cNvPr id="7" name="TextBox 6">
          <a:hlinkClick xmlns:r="http://schemas.openxmlformats.org/officeDocument/2006/relationships" r:id="rId1"/>
          <a:extLst>
            <a:ext uri="{FF2B5EF4-FFF2-40B4-BE49-F238E27FC236}">
              <a16:creationId xmlns:a16="http://schemas.microsoft.com/office/drawing/2014/main" id="{D591C722-DB77-4A00-B7C5-5B1B0D872887}"/>
            </a:ext>
          </a:extLst>
        </xdr:cNvPr>
        <xdr:cNvSpPr txBox="1"/>
      </xdr:nvSpPr>
      <xdr:spPr>
        <a:xfrm>
          <a:off x="201704" y="1019735"/>
          <a:ext cx="2568389"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KDTM tháng</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22412</xdr:colOff>
      <xdr:row>0</xdr:row>
      <xdr:rowOff>123265</xdr:rowOff>
    </xdr:from>
    <xdr:to>
      <xdr:col>19</xdr:col>
      <xdr:colOff>212912</xdr:colOff>
      <xdr:row>2</xdr:row>
      <xdr:rowOff>380994</xdr:rowOff>
    </xdr:to>
    <xdr:graphicFrame macro="">
      <xdr:nvGraphicFramePr>
        <xdr:cNvPr id="8" name="Diagram 7">
          <a:extLst>
            <a:ext uri="{FF2B5EF4-FFF2-40B4-BE49-F238E27FC236}">
              <a16:creationId xmlns:a16="http://schemas.microsoft.com/office/drawing/2014/main" id="{3AC58A29-C2EF-4782-B1C3-68BD3C72988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35858</xdr:colOff>
      <xdr:row>1</xdr:row>
      <xdr:rowOff>493060</xdr:rowOff>
    </xdr:from>
    <xdr:to>
      <xdr:col>6</xdr:col>
      <xdr:colOff>802341</xdr:colOff>
      <xdr:row>2</xdr:row>
      <xdr:rowOff>366993</xdr:rowOff>
    </xdr:to>
    <xdr:sp macro="" textlink="">
      <xdr:nvSpPr>
        <xdr:cNvPr id="2" name="TextBox 1">
          <a:hlinkClick xmlns:r="http://schemas.openxmlformats.org/officeDocument/2006/relationships" r:id="rId7"/>
          <a:extLst>
            <a:ext uri="{FF2B5EF4-FFF2-40B4-BE49-F238E27FC236}">
              <a16:creationId xmlns:a16="http://schemas.microsoft.com/office/drawing/2014/main" id="{2D01EA38-933A-4390-A367-8F532BD0C21C}"/>
            </a:ext>
          </a:extLst>
        </xdr:cNvPr>
        <xdr:cNvSpPr txBox="1"/>
      </xdr:nvSpPr>
      <xdr:spPr>
        <a:xfrm>
          <a:off x="3496234" y="1030942"/>
          <a:ext cx="2568389"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KDTM tuần</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5</xdr:col>
      <xdr:colOff>98612</xdr:colOff>
      <xdr:row>2</xdr:row>
      <xdr:rowOff>411816</xdr:rowOff>
    </xdr:to>
    <xdr:sp macro="" textlink="">
      <xdr:nvSpPr>
        <xdr:cNvPr id="7" name="TextBox 6">
          <a:hlinkClick xmlns:r="http://schemas.openxmlformats.org/officeDocument/2006/relationships" r:id="rId1"/>
          <a:extLst>
            <a:ext uri="{FF2B5EF4-FFF2-40B4-BE49-F238E27FC236}">
              <a16:creationId xmlns:a16="http://schemas.microsoft.com/office/drawing/2014/main" id="{7614B0C7-F5CE-4E8B-8656-A6C84727BA83}"/>
            </a:ext>
          </a:extLst>
        </xdr:cNvPr>
        <xdr:cNvSpPr txBox="1"/>
      </xdr:nvSpPr>
      <xdr:spPr>
        <a:xfrm>
          <a:off x="2061882" y="1165412"/>
          <a:ext cx="2268071"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LĐ tháng</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22412</xdr:colOff>
      <xdr:row>0</xdr:row>
      <xdr:rowOff>212912</xdr:rowOff>
    </xdr:from>
    <xdr:to>
      <xdr:col>18</xdr:col>
      <xdr:colOff>414618</xdr:colOff>
      <xdr:row>2</xdr:row>
      <xdr:rowOff>358582</xdr:rowOff>
    </xdr:to>
    <xdr:graphicFrame macro="">
      <xdr:nvGraphicFramePr>
        <xdr:cNvPr id="8" name="Diagram 7">
          <a:extLst>
            <a:ext uri="{FF2B5EF4-FFF2-40B4-BE49-F238E27FC236}">
              <a16:creationId xmlns:a16="http://schemas.microsoft.com/office/drawing/2014/main" id="{126ECCD3-EFA8-458E-9D0B-EA0C1E1AB15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6</xdr:col>
      <xdr:colOff>0</xdr:colOff>
      <xdr:row>2</xdr:row>
      <xdr:rowOff>0</xdr:rowOff>
    </xdr:from>
    <xdr:to>
      <xdr:col>8</xdr:col>
      <xdr:colOff>430306</xdr:colOff>
      <xdr:row>2</xdr:row>
      <xdr:rowOff>411816</xdr:rowOff>
    </xdr:to>
    <xdr:sp macro="" textlink="">
      <xdr:nvSpPr>
        <xdr:cNvPr id="2" name="TextBox 1">
          <a:hlinkClick xmlns:r="http://schemas.openxmlformats.org/officeDocument/2006/relationships" r:id="rId7"/>
          <a:extLst>
            <a:ext uri="{FF2B5EF4-FFF2-40B4-BE49-F238E27FC236}">
              <a16:creationId xmlns:a16="http://schemas.microsoft.com/office/drawing/2014/main" id="{6E2FF403-AEDC-42DE-B2E7-CB666F831907}"/>
            </a:ext>
          </a:extLst>
        </xdr:cNvPr>
        <xdr:cNvSpPr txBox="1"/>
      </xdr:nvSpPr>
      <xdr:spPr>
        <a:xfrm>
          <a:off x="5369859" y="1165412"/>
          <a:ext cx="2268071"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LĐ tuần</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355226</xdr:colOff>
      <xdr:row>2</xdr:row>
      <xdr:rowOff>411816</xdr:rowOff>
    </xdr:to>
    <xdr:sp macro="" textlink="">
      <xdr:nvSpPr>
        <xdr:cNvPr id="7" name="TextBox 6">
          <a:hlinkClick xmlns:r="http://schemas.openxmlformats.org/officeDocument/2006/relationships" r:id="rId1"/>
          <a:extLst>
            <a:ext uri="{FF2B5EF4-FFF2-40B4-BE49-F238E27FC236}">
              <a16:creationId xmlns:a16="http://schemas.microsoft.com/office/drawing/2014/main" id="{C1696763-01E0-46A1-9AA7-A55123447004}"/>
            </a:ext>
          </a:extLst>
        </xdr:cNvPr>
        <xdr:cNvSpPr txBox="1"/>
      </xdr:nvSpPr>
      <xdr:spPr>
        <a:xfrm>
          <a:off x="2252382" y="1232647"/>
          <a:ext cx="211455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HC tháng</a:t>
          </a:r>
        </a:p>
      </xdr:txBody>
    </xdr:sp>
    <xdr:clientData/>
  </xdr:twoCellAnchor>
  <xdr:twoCellAnchor>
    <xdr:from>
      <xdr:col>12</xdr:col>
      <xdr:colOff>11206</xdr:colOff>
      <xdr:row>0</xdr:row>
      <xdr:rowOff>246530</xdr:rowOff>
    </xdr:from>
    <xdr:to>
      <xdr:col>18</xdr:col>
      <xdr:colOff>403412</xdr:colOff>
      <xdr:row>2</xdr:row>
      <xdr:rowOff>347377</xdr:rowOff>
    </xdr:to>
    <xdr:graphicFrame macro="">
      <xdr:nvGraphicFramePr>
        <xdr:cNvPr id="8" name="Diagram 7">
          <a:extLst>
            <a:ext uri="{FF2B5EF4-FFF2-40B4-BE49-F238E27FC236}">
              <a16:creationId xmlns:a16="http://schemas.microsoft.com/office/drawing/2014/main" id="{86C33459-6814-42D3-AE44-8DA757C714F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6</xdr:col>
      <xdr:colOff>0</xdr:colOff>
      <xdr:row>2</xdr:row>
      <xdr:rowOff>0</xdr:rowOff>
    </xdr:from>
    <xdr:to>
      <xdr:col>7</xdr:col>
      <xdr:colOff>1278591</xdr:colOff>
      <xdr:row>2</xdr:row>
      <xdr:rowOff>411816</xdr:rowOff>
    </xdr:to>
    <xdr:sp macro="" textlink="">
      <xdr:nvSpPr>
        <xdr:cNvPr id="2" name="TextBox 1">
          <a:hlinkClick xmlns:r="http://schemas.openxmlformats.org/officeDocument/2006/relationships" r:id="rId7"/>
          <a:extLst>
            <a:ext uri="{FF2B5EF4-FFF2-40B4-BE49-F238E27FC236}">
              <a16:creationId xmlns:a16="http://schemas.microsoft.com/office/drawing/2014/main" id="{426EA5B9-899E-4978-AA78-0004C0ABF4C2}"/>
            </a:ext>
          </a:extLst>
        </xdr:cNvPr>
        <xdr:cNvSpPr txBox="1"/>
      </xdr:nvSpPr>
      <xdr:spPr>
        <a:xfrm>
          <a:off x="5342965" y="1237129"/>
          <a:ext cx="2166097"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HC tuần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693084</xdr:colOff>
      <xdr:row>2</xdr:row>
      <xdr:rowOff>411816</xdr:rowOff>
    </xdr:to>
    <xdr:sp macro="" textlink="">
      <xdr:nvSpPr>
        <xdr:cNvPr id="8" name="TextBox 7">
          <a:hlinkClick xmlns:r="http://schemas.openxmlformats.org/officeDocument/2006/relationships" r:id="rId1"/>
          <a:extLst>
            <a:ext uri="{FF2B5EF4-FFF2-40B4-BE49-F238E27FC236}">
              <a16:creationId xmlns:a16="http://schemas.microsoft.com/office/drawing/2014/main" id="{43B92A98-6CB7-44F4-AAF2-95785050BF8E}"/>
            </a:ext>
          </a:extLst>
        </xdr:cNvPr>
        <xdr:cNvSpPr txBox="1"/>
      </xdr:nvSpPr>
      <xdr:spPr>
        <a:xfrm>
          <a:off x="609600" y="1009650"/>
          <a:ext cx="1769409"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HNGĐ</a:t>
          </a:r>
        </a:p>
      </xdr:txBody>
    </xdr:sp>
    <xdr:clientData/>
  </xdr:twoCellAnchor>
  <xdr:twoCellAnchor>
    <xdr:from>
      <xdr:col>11</xdr:col>
      <xdr:colOff>209550</xdr:colOff>
      <xdr:row>0</xdr:row>
      <xdr:rowOff>120015</xdr:rowOff>
    </xdr:from>
    <xdr:to>
      <xdr:col>16</xdr:col>
      <xdr:colOff>308610</xdr:colOff>
      <xdr:row>2</xdr:row>
      <xdr:rowOff>443859</xdr:rowOff>
    </xdr:to>
    <xdr:graphicFrame macro="">
      <xdr:nvGraphicFramePr>
        <xdr:cNvPr id="9" name="Diagram 8">
          <a:extLst>
            <a:ext uri="{FF2B5EF4-FFF2-40B4-BE49-F238E27FC236}">
              <a16:creationId xmlns:a16="http://schemas.microsoft.com/office/drawing/2014/main" id="{0BE961A4-8C61-4188-96BA-0C8B8D3AE2F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6</xdr:col>
      <xdr:colOff>480060</xdr:colOff>
      <xdr:row>2</xdr:row>
      <xdr:rowOff>434340</xdr:rowOff>
    </xdr:to>
    <xdr:sp macro="" textlink="">
      <xdr:nvSpPr>
        <xdr:cNvPr id="2" name="TextBox 1">
          <a:hlinkClick xmlns:r="http://schemas.openxmlformats.org/officeDocument/2006/relationships" r:id="rId7"/>
          <a:extLst>
            <a:ext uri="{FF2B5EF4-FFF2-40B4-BE49-F238E27FC236}">
              <a16:creationId xmlns:a16="http://schemas.microsoft.com/office/drawing/2014/main" id="{74CB8CCA-381D-44AE-9896-60BB1EA42AEC}"/>
            </a:ext>
          </a:extLst>
        </xdr:cNvPr>
        <xdr:cNvSpPr txBox="1"/>
      </xdr:nvSpPr>
      <xdr:spPr>
        <a:xfrm>
          <a:off x="2842260" y="1005840"/>
          <a:ext cx="1699260" cy="43434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a:t>
          </a:r>
          <a:r>
            <a:rPr lang="en-US" sz="1600" b="1" baseline="0">
              <a:solidFill>
                <a:schemeClr val="dk1"/>
              </a:solidFill>
              <a:latin typeface="Times New Roman" panose="02020603050405020304" pitchFamily="18" charset="0"/>
              <a:ea typeface="+mn-ea"/>
              <a:cs typeface="Times New Roman" panose="02020603050405020304" pitchFamily="18" charset="0"/>
            </a:rPr>
            <a:t> </a:t>
          </a:r>
          <a:r>
            <a:rPr lang="en-US" sz="1600" b="1">
              <a:solidFill>
                <a:schemeClr val="dk1"/>
              </a:solidFill>
              <a:latin typeface="Times New Roman" panose="02020603050405020304" pitchFamily="18" charset="0"/>
              <a:ea typeface="+mn-ea"/>
              <a:cs typeface="Times New Roman" panose="02020603050405020304" pitchFamily="18" charset="0"/>
            </a:rPr>
            <a:t>HNGĐ</a:t>
          </a:r>
          <a:r>
            <a:rPr lang="en-US" sz="1600" b="1" baseline="0">
              <a:solidFill>
                <a:schemeClr val="dk1"/>
              </a:solidFill>
              <a:latin typeface="Times New Roman" panose="02020603050405020304" pitchFamily="18" charset="0"/>
              <a:ea typeface="+mn-ea"/>
              <a:cs typeface="Times New Roman" panose="02020603050405020304" pitchFamily="18" charset="0"/>
            </a:rPr>
            <a:t> tuần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2</xdr:row>
      <xdr:rowOff>0</xdr:rowOff>
    </xdr:from>
    <xdr:to>
      <xdr:col>1</xdr:col>
      <xdr:colOff>1769409</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CE200701-4399-4897-AEC2-CF9327170C48}"/>
            </a:ext>
          </a:extLst>
        </xdr:cNvPr>
        <xdr:cNvSpPr txBox="1"/>
      </xdr:nvSpPr>
      <xdr:spPr>
        <a:xfrm>
          <a:off x="609600" y="838200"/>
          <a:ext cx="1769409"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DS</a:t>
          </a:r>
        </a:p>
      </xdr:txBody>
    </xdr:sp>
    <xdr:clientData/>
  </xdr:twoCellAnchor>
  <xdr:twoCellAnchor>
    <xdr:from>
      <xdr:col>9</xdr:col>
      <xdr:colOff>28575</xdr:colOff>
      <xdr:row>0</xdr:row>
      <xdr:rowOff>28575</xdr:rowOff>
    </xdr:from>
    <xdr:to>
      <xdr:col>16</xdr:col>
      <xdr:colOff>333375</xdr:colOff>
      <xdr:row>2</xdr:row>
      <xdr:rowOff>523869</xdr:rowOff>
    </xdr:to>
    <xdr:graphicFrame macro="">
      <xdr:nvGraphicFramePr>
        <xdr:cNvPr id="3" name="Diagram 2">
          <a:extLst>
            <a:ext uri="{FF2B5EF4-FFF2-40B4-BE49-F238E27FC236}">
              <a16:creationId xmlns:a16="http://schemas.microsoft.com/office/drawing/2014/main" id="{78F3E663-5BC0-48B6-9DCF-52FF805672A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3</xdr:col>
      <xdr:colOff>0</xdr:colOff>
      <xdr:row>2</xdr:row>
      <xdr:rowOff>0</xdr:rowOff>
    </xdr:from>
    <xdr:to>
      <xdr:col>5</xdr:col>
      <xdr:colOff>784860</xdr:colOff>
      <xdr:row>2</xdr:row>
      <xdr:rowOff>487680</xdr:rowOff>
    </xdr:to>
    <xdr:sp macro="" textlink="">
      <xdr:nvSpPr>
        <xdr:cNvPr id="4" name="TextBox 3">
          <a:hlinkClick xmlns:r="http://schemas.openxmlformats.org/officeDocument/2006/relationships" r:id="rId7"/>
          <a:extLst>
            <a:ext uri="{FF2B5EF4-FFF2-40B4-BE49-F238E27FC236}">
              <a16:creationId xmlns:a16="http://schemas.microsoft.com/office/drawing/2014/main" id="{166709EC-CD99-4F49-BBC1-E56D6937A21F}"/>
            </a:ext>
          </a:extLst>
        </xdr:cNvPr>
        <xdr:cNvSpPr txBox="1"/>
      </xdr:nvSpPr>
      <xdr:spPr>
        <a:xfrm>
          <a:off x="3413760" y="838200"/>
          <a:ext cx="2385060" cy="4876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THỐNG</a:t>
          </a:r>
          <a:r>
            <a:rPr lang="en-US" sz="1600" b="1" baseline="0">
              <a:solidFill>
                <a:schemeClr val="dk1"/>
              </a:solidFill>
              <a:latin typeface="Times New Roman" panose="02020603050405020304" pitchFamily="18" charset="0"/>
              <a:ea typeface="+mn-ea"/>
              <a:cs typeface="Times New Roman" panose="02020603050405020304" pitchFamily="18" charset="0"/>
            </a:rPr>
            <a:t> KÊ </a:t>
          </a:r>
          <a:r>
            <a:rPr lang="en-US" sz="1600" b="1">
              <a:solidFill>
                <a:schemeClr val="dk1"/>
              </a:solidFill>
              <a:latin typeface="Times New Roman" panose="02020603050405020304" pitchFamily="18" charset="0"/>
              <a:ea typeface="+mn-ea"/>
              <a:cs typeface="Times New Roman" panose="02020603050405020304" pitchFamily="18" charset="0"/>
            </a:rPr>
            <a:t>DS TUẦN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578784</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506384A9-AC35-4127-98AE-0D7AB700EF5C}"/>
            </a:ext>
          </a:extLst>
        </xdr:cNvPr>
        <xdr:cNvSpPr txBox="1"/>
      </xdr:nvSpPr>
      <xdr:spPr>
        <a:xfrm>
          <a:off x="609600" y="914400"/>
          <a:ext cx="1769409"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KDTM</a:t>
          </a:r>
        </a:p>
      </xdr:txBody>
    </xdr:sp>
    <xdr:clientData/>
  </xdr:twoCellAnchor>
  <xdr:twoCellAnchor>
    <xdr:from>
      <xdr:col>12</xdr:col>
      <xdr:colOff>14287</xdr:colOff>
      <xdr:row>0</xdr:row>
      <xdr:rowOff>0</xdr:rowOff>
    </xdr:from>
    <xdr:to>
      <xdr:col>19</xdr:col>
      <xdr:colOff>319087</xdr:colOff>
      <xdr:row>2</xdr:row>
      <xdr:rowOff>419094</xdr:rowOff>
    </xdr:to>
    <xdr:graphicFrame macro="">
      <xdr:nvGraphicFramePr>
        <xdr:cNvPr id="6" name="Diagram 5">
          <a:extLst>
            <a:ext uri="{FF2B5EF4-FFF2-40B4-BE49-F238E27FC236}">
              <a16:creationId xmlns:a16="http://schemas.microsoft.com/office/drawing/2014/main" id="{C2D4A737-B7B2-4DAA-BCF0-BD7C2EF236E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7</xdr:col>
      <xdr:colOff>106680</xdr:colOff>
      <xdr:row>2</xdr:row>
      <xdr:rowOff>411816</xdr:rowOff>
    </xdr:to>
    <xdr:sp macro="" textlink="">
      <xdr:nvSpPr>
        <xdr:cNvPr id="3" name="TextBox 2">
          <a:hlinkClick xmlns:r="http://schemas.openxmlformats.org/officeDocument/2006/relationships" r:id="rId7"/>
          <a:extLst>
            <a:ext uri="{FF2B5EF4-FFF2-40B4-BE49-F238E27FC236}">
              <a16:creationId xmlns:a16="http://schemas.microsoft.com/office/drawing/2014/main" id="{2DEDB8DA-2E18-40E2-A676-7AFCC94E25D3}"/>
            </a:ext>
          </a:extLst>
        </xdr:cNvPr>
        <xdr:cNvSpPr txBox="1"/>
      </xdr:nvSpPr>
      <xdr:spPr>
        <a:xfrm>
          <a:off x="3589020" y="914400"/>
          <a:ext cx="246126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KDTM tuần</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578785</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687234C9-13D5-4A4B-96CE-B4D804991233}"/>
            </a:ext>
          </a:extLst>
        </xdr:cNvPr>
        <xdr:cNvSpPr txBox="1"/>
      </xdr:nvSpPr>
      <xdr:spPr>
        <a:xfrm>
          <a:off x="609600" y="895350"/>
          <a:ext cx="176941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LĐ</a:t>
          </a:r>
        </a:p>
      </xdr:txBody>
    </xdr:sp>
    <xdr:clientData/>
  </xdr:twoCellAnchor>
  <xdr:twoCellAnchor>
    <xdr:from>
      <xdr:col>9</xdr:col>
      <xdr:colOff>0</xdr:colOff>
      <xdr:row>0</xdr:row>
      <xdr:rowOff>0</xdr:rowOff>
    </xdr:from>
    <xdr:to>
      <xdr:col>16</xdr:col>
      <xdr:colOff>304800</xdr:colOff>
      <xdr:row>2</xdr:row>
      <xdr:rowOff>438144</xdr:rowOff>
    </xdr:to>
    <xdr:graphicFrame macro="">
      <xdr:nvGraphicFramePr>
        <xdr:cNvPr id="3" name="Diagram 2">
          <a:extLst>
            <a:ext uri="{FF2B5EF4-FFF2-40B4-BE49-F238E27FC236}">
              <a16:creationId xmlns:a16="http://schemas.microsoft.com/office/drawing/2014/main" id="{99A44206-F707-4EE9-8944-CE9710EB430B}"/>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7</xdr:col>
      <xdr:colOff>426720</xdr:colOff>
      <xdr:row>2</xdr:row>
      <xdr:rowOff>411816</xdr:rowOff>
    </xdr:to>
    <xdr:sp macro="" textlink="">
      <xdr:nvSpPr>
        <xdr:cNvPr id="4" name="TextBox 3">
          <a:hlinkClick xmlns:r="http://schemas.openxmlformats.org/officeDocument/2006/relationships" r:id="rId7"/>
          <a:extLst>
            <a:ext uri="{FF2B5EF4-FFF2-40B4-BE49-F238E27FC236}">
              <a16:creationId xmlns:a16="http://schemas.microsoft.com/office/drawing/2014/main" id="{7D7543B5-805A-4CB2-A64F-5302B5477829}"/>
            </a:ext>
          </a:extLst>
        </xdr:cNvPr>
        <xdr:cNvSpPr txBox="1"/>
      </xdr:nvSpPr>
      <xdr:spPr>
        <a:xfrm>
          <a:off x="3726180" y="883920"/>
          <a:ext cx="230124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THỐNG</a:t>
          </a:r>
          <a:r>
            <a:rPr lang="en-US" sz="1600" b="1" baseline="0">
              <a:solidFill>
                <a:schemeClr val="dk1"/>
              </a:solidFill>
              <a:latin typeface="Times New Roman" panose="02020603050405020304" pitchFamily="18" charset="0"/>
              <a:ea typeface="+mn-ea"/>
              <a:cs typeface="Times New Roman" panose="02020603050405020304" pitchFamily="18" charset="0"/>
            </a:rPr>
            <a:t> KÊ LĐ tuần</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654985</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40DFDC6B-E8B7-459F-9499-C9E5C554CE5E}"/>
            </a:ext>
          </a:extLst>
        </xdr:cNvPr>
        <xdr:cNvSpPr txBox="1"/>
      </xdr:nvSpPr>
      <xdr:spPr>
        <a:xfrm>
          <a:off x="609600" y="952500"/>
          <a:ext cx="176941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HC</a:t>
          </a:r>
        </a:p>
      </xdr:txBody>
    </xdr:sp>
    <xdr:clientData/>
  </xdr:twoCellAnchor>
  <xdr:twoCellAnchor>
    <xdr:from>
      <xdr:col>9</xdr:col>
      <xdr:colOff>28575</xdr:colOff>
      <xdr:row>0</xdr:row>
      <xdr:rowOff>38100</xdr:rowOff>
    </xdr:from>
    <xdr:to>
      <xdr:col>16</xdr:col>
      <xdr:colOff>333375</xdr:colOff>
      <xdr:row>2</xdr:row>
      <xdr:rowOff>419094</xdr:rowOff>
    </xdr:to>
    <xdr:graphicFrame macro="">
      <xdr:nvGraphicFramePr>
        <xdr:cNvPr id="3" name="Diagram 2">
          <a:extLst>
            <a:ext uri="{FF2B5EF4-FFF2-40B4-BE49-F238E27FC236}">
              <a16:creationId xmlns:a16="http://schemas.microsoft.com/office/drawing/2014/main" id="{75D136DA-F88D-4261-AD7A-A2D05E3802F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6</xdr:col>
      <xdr:colOff>327325</xdr:colOff>
      <xdr:row>2</xdr:row>
      <xdr:rowOff>411816</xdr:rowOff>
    </xdr:to>
    <xdr:sp macro="" textlink="">
      <xdr:nvSpPr>
        <xdr:cNvPr id="4" name="TextBox 3">
          <a:hlinkClick xmlns:r="http://schemas.openxmlformats.org/officeDocument/2006/relationships" r:id="rId7"/>
          <a:extLst>
            <a:ext uri="{FF2B5EF4-FFF2-40B4-BE49-F238E27FC236}">
              <a16:creationId xmlns:a16="http://schemas.microsoft.com/office/drawing/2014/main" id="{26424B75-DE43-4D60-9AC2-B3E9402CAD73}"/>
            </a:ext>
          </a:extLst>
        </xdr:cNvPr>
        <xdr:cNvSpPr txBox="1"/>
      </xdr:nvSpPr>
      <xdr:spPr>
        <a:xfrm>
          <a:off x="3459480" y="944880"/>
          <a:ext cx="1797985"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HC tuần</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2</xdr:row>
      <xdr:rowOff>0</xdr:rowOff>
    </xdr:from>
    <xdr:to>
      <xdr:col>6</xdr:col>
      <xdr:colOff>129540</xdr:colOff>
      <xdr:row>3</xdr:row>
      <xdr:rowOff>0</xdr:rowOff>
    </xdr:to>
    <xdr:sp macro="" textlink="">
      <xdr:nvSpPr>
        <xdr:cNvPr id="2" name="TextBox 1">
          <a:hlinkClick xmlns:r="http://schemas.openxmlformats.org/officeDocument/2006/relationships" r:id="rId1"/>
          <a:extLst>
            <a:ext uri="{FF2B5EF4-FFF2-40B4-BE49-F238E27FC236}">
              <a16:creationId xmlns:a16="http://schemas.microsoft.com/office/drawing/2014/main" id="{4520E631-4941-46F8-AE81-BACB0F8B6314}"/>
            </a:ext>
          </a:extLst>
        </xdr:cNvPr>
        <xdr:cNvSpPr txBox="1"/>
      </xdr:nvSpPr>
      <xdr:spPr>
        <a:xfrm>
          <a:off x="861060" y="594360"/>
          <a:ext cx="1813560" cy="4495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HNGĐ</a:t>
          </a:r>
        </a:p>
      </xdr:txBody>
    </xdr:sp>
    <xdr:clientData/>
  </xdr:twoCellAnchor>
  <xdr:twoCellAnchor>
    <xdr:from>
      <xdr:col>15</xdr:col>
      <xdr:colOff>34290</xdr:colOff>
      <xdr:row>0</xdr:row>
      <xdr:rowOff>13334</xdr:rowOff>
    </xdr:from>
    <xdr:to>
      <xdr:col>23</xdr:col>
      <xdr:colOff>198120</xdr:colOff>
      <xdr:row>3</xdr:row>
      <xdr:rowOff>167640</xdr:rowOff>
    </xdr:to>
    <xdr:graphicFrame macro="">
      <xdr:nvGraphicFramePr>
        <xdr:cNvPr id="3" name="Diagram 2">
          <a:extLst>
            <a:ext uri="{FF2B5EF4-FFF2-40B4-BE49-F238E27FC236}">
              <a16:creationId xmlns:a16="http://schemas.microsoft.com/office/drawing/2014/main" id="{5F77B6F7-8DAF-4CEE-AD82-56199F3B9FE6}"/>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9</xdr:col>
      <xdr:colOff>0</xdr:colOff>
      <xdr:row>2</xdr:row>
      <xdr:rowOff>0</xdr:rowOff>
    </xdr:from>
    <xdr:to>
      <xdr:col>11</xdr:col>
      <xdr:colOff>708660</xdr:colOff>
      <xdr:row>3</xdr:row>
      <xdr:rowOff>0</xdr:rowOff>
    </xdr:to>
    <xdr:sp macro="" textlink="">
      <xdr:nvSpPr>
        <xdr:cNvPr id="4" name="TextBox 3">
          <a:hlinkClick xmlns:r="http://schemas.openxmlformats.org/officeDocument/2006/relationships" r:id="rId7"/>
          <a:extLst>
            <a:ext uri="{FF2B5EF4-FFF2-40B4-BE49-F238E27FC236}">
              <a16:creationId xmlns:a16="http://schemas.microsoft.com/office/drawing/2014/main" id="{A91A084C-60E1-443A-BCD8-E8D2DB1224A2}"/>
            </a:ext>
          </a:extLst>
        </xdr:cNvPr>
        <xdr:cNvSpPr txBox="1"/>
      </xdr:nvSpPr>
      <xdr:spPr>
        <a:xfrm>
          <a:off x="3543300" y="594360"/>
          <a:ext cx="1813560" cy="44958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HNGĐ tháng</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22860</xdr:colOff>
      <xdr:row>2</xdr:row>
      <xdr:rowOff>91440</xdr:rowOff>
    </xdr:from>
    <xdr:to>
      <xdr:col>3</xdr:col>
      <xdr:colOff>213360</xdr:colOff>
      <xdr:row>3</xdr:row>
      <xdr:rowOff>53676</xdr:rowOff>
    </xdr:to>
    <xdr:sp macro="" textlink="">
      <xdr:nvSpPr>
        <xdr:cNvPr id="2" name="TextBox 1">
          <a:hlinkClick xmlns:r="http://schemas.openxmlformats.org/officeDocument/2006/relationships" r:id="rId1"/>
          <a:extLst>
            <a:ext uri="{FF2B5EF4-FFF2-40B4-BE49-F238E27FC236}">
              <a16:creationId xmlns:a16="http://schemas.microsoft.com/office/drawing/2014/main" id="{FADFD308-7920-4602-A700-4D533FCE43F2}"/>
            </a:ext>
          </a:extLst>
        </xdr:cNvPr>
        <xdr:cNvSpPr txBox="1"/>
      </xdr:nvSpPr>
      <xdr:spPr>
        <a:xfrm>
          <a:off x="632460" y="685800"/>
          <a:ext cx="140970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DS</a:t>
          </a:r>
        </a:p>
      </xdr:txBody>
    </xdr:sp>
    <xdr:clientData/>
  </xdr:twoCellAnchor>
  <xdr:twoCellAnchor>
    <xdr:from>
      <xdr:col>9</xdr:col>
      <xdr:colOff>28574</xdr:colOff>
      <xdr:row>0</xdr:row>
      <xdr:rowOff>28575</xdr:rowOff>
    </xdr:from>
    <xdr:to>
      <xdr:col>17</xdr:col>
      <xdr:colOff>198119</xdr:colOff>
      <xdr:row>2</xdr:row>
      <xdr:rowOff>447669</xdr:rowOff>
    </xdr:to>
    <xdr:graphicFrame macro="">
      <xdr:nvGraphicFramePr>
        <xdr:cNvPr id="3" name="Diagram 2">
          <a:extLst>
            <a:ext uri="{FF2B5EF4-FFF2-40B4-BE49-F238E27FC236}">
              <a16:creationId xmlns:a16="http://schemas.microsoft.com/office/drawing/2014/main" id="{6D877CB3-65C7-4AE0-92E3-2627EC1011C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3</xdr:col>
      <xdr:colOff>548640</xdr:colOff>
      <xdr:row>2</xdr:row>
      <xdr:rowOff>99060</xdr:rowOff>
    </xdr:from>
    <xdr:to>
      <xdr:col>8</xdr:col>
      <xdr:colOff>114300</xdr:colOff>
      <xdr:row>3</xdr:row>
      <xdr:rowOff>45720</xdr:rowOff>
    </xdr:to>
    <xdr:sp macro="" textlink="">
      <xdr:nvSpPr>
        <xdr:cNvPr id="4" name="TextBox 3">
          <a:hlinkClick xmlns:r="http://schemas.openxmlformats.org/officeDocument/2006/relationships" r:id="rId7"/>
          <a:extLst>
            <a:ext uri="{FF2B5EF4-FFF2-40B4-BE49-F238E27FC236}">
              <a16:creationId xmlns:a16="http://schemas.microsoft.com/office/drawing/2014/main" id="{1A4E31D9-965F-4007-91E0-BBB8992AD901}"/>
            </a:ext>
          </a:extLst>
        </xdr:cNvPr>
        <xdr:cNvSpPr txBox="1"/>
      </xdr:nvSpPr>
      <xdr:spPr>
        <a:xfrm>
          <a:off x="2377440" y="693420"/>
          <a:ext cx="2613660" cy="396240"/>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DS tháng</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2</xdr:row>
      <xdr:rowOff>0</xdr:rowOff>
    </xdr:from>
    <xdr:to>
      <xdr:col>3</xdr:col>
      <xdr:colOff>60960</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1949E387-EE65-48D7-AC9D-0FFAB81202F9}"/>
            </a:ext>
          </a:extLst>
        </xdr:cNvPr>
        <xdr:cNvSpPr txBox="1"/>
      </xdr:nvSpPr>
      <xdr:spPr>
        <a:xfrm>
          <a:off x="609600" y="914400"/>
          <a:ext cx="128016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KDTM</a:t>
          </a:r>
        </a:p>
      </xdr:txBody>
    </xdr:sp>
    <xdr:clientData/>
  </xdr:twoCellAnchor>
  <xdr:twoCellAnchor>
    <xdr:from>
      <xdr:col>12</xdr:col>
      <xdr:colOff>14287</xdr:colOff>
      <xdr:row>0</xdr:row>
      <xdr:rowOff>0</xdr:rowOff>
    </xdr:from>
    <xdr:to>
      <xdr:col>19</xdr:col>
      <xdr:colOff>319087</xdr:colOff>
      <xdr:row>2</xdr:row>
      <xdr:rowOff>419094</xdr:rowOff>
    </xdr:to>
    <xdr:graphicFrame macro="">
      <xdr:nvGraphicFramePr>
        <xdr:cNvPr id="3" name="Diagram 2">
          <a:extLst>
            <a:ext uri="{FF2B5EF4-FFF2-40B4-BE49-F238E27FC236}">
              <a16:creationId xmlns:a16="http://schemas.microsoft.com/office/drawing/2014/main" id="{A8A8DDCB-0CEC-48B0-B185-98C339DE65F6}"/>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7</xdr:col>
      <xdr:colOff>533400</xdr:colOff>
      <xdr:row>2</xdr:row>
      <xdr:rowOff>411816</xdr:rowOff>
    </xdr:to>
    <xdr:sp macro="" textlink="">
      <xdr:nvSpPr>
        <xdr:cNvPr id="4" name="TextBox 3">
          <a:hlinkClick xmlns:r="http://schemas.openxmlformats.org/officeDocument/2006/relationships" r:id="rId7"/>
          <a:extLst>
            <a:ext uri="{FF2B5EF4-FFF2-40B4-BE49-F238E27FC236}">
              <a16:creationId xmlns:a16="http://schemas.microsoft.com/office/drawing/2014/main" id="{071874DF-A4BB-48CF-8B5F-341C4870EE71}"/>
            </a:ext>
          </a:extLst>
        </xdr:cNvPr>
        <xdr:cNvSpPr txBox="1"/>
      </xdr:nvSpPr>
      <xdr:spPr>
        <a:xfrm>
          <a:off x="3421380" y="914400"/>
          <a:ext cx="260604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KDTM tháng</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578785</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2C96A7A2-4AB6-4910-B6CA-761FBE51B0D9}"/>
            </a:ext>
          </a:extLst>
        </xdr:cNvPr>
        <xdr:cNvSpPr txBox="1"/>
      </xdr:nvSpPr>
      <xdr:spPr>
        <a:xfrm>
          <a:off x="624840" y="883920"/>
          <a:ext cx="1805605"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LĐ</a:t>
          </a:r>
        </a:p>
      </xdr:txBody>
    </xdr:sp>
    <xdr:clientData/>
  </xdr:twoCellAnchor>
  <xdr:twoCellAnchor>
    <xdr:from>
      <xdr:col>9</xdr:col>
      <xdr:colOff>0</xdr:colOff>
      <xdr:row>0</xdr:row>
      <xdr:rowOff>0</xdr:rowOff>
    </xdr:from>
    <xdr:to>
      <xdr:col>16</xdr:col>
      <xdr:colOff>304800</xdr:colOff>
      <xdr:row>2</xdr:row>
      <xdr:rowOff>438144</xdr:rowOff>
    </xdr:to>
    <xdr:graphicFrame macro="">
      <xdr:nvGraphicFramePr>
        <xdr:cNvPr id="3" name="Diagram 2">
          <a:extLst>
            <a:ext uri="{FF2B5EF4-FFF2-40B4-BE49-F238E27FC236}">
              <a16:creationId xmlns:a16="http://schemas.microsoft.com/office/drawing/2014/main" id="{3DBB73D3-A69B-41F3-8D00-DA3AC04DCB66}"/>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7</xdr:col>
      <xdr:colOff>426720</xdr:colOff>
      <xdr:row>2</xdr:row>
      <xdr:rowOff>411816</xdr:rowOff>
    </xdr:to>
    <xdr:sp macro="" textlink="">
      <xdr:nvSpPr>
        <xdr:cNvPr id="4" name="TextBox 3">
          <a:hlinkClick xmlns:r="http://schemas.openxmlformats.org/officeDocument/2006/relationships" r:id="rId7"/>
          <a:extLst>
            <a:ext uri="{FF2B5EF4-FFF2-40B4-BE49-F238E27FC236}">
              <a16:creationId xmlns:a16="http://schemas.microsoft.com/office/drawing/2014/main" id="{D948DA60-B81C-4758-A481-6FAC57AF8812}"/>
            </a:ext>
          </a:extLst>
        </xdr:cNvPr>
        <xdr:cNvSpPr txBox="1"/>
      </xdr:nvSpPr>
      <xdr:spPr>
        <a:xfrm>
          <a:off x="3726180" y="883920"/>
          <a:ext cx="2301240"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a:t>
          </a:r>
          <a:r>
            <a:rPr lang="en-US" sz="1600" b="1" baseline="0">
              <a:solidFill>
                <a:schemeClr val="dk1"/>
              </a:solidFill>
              <a:latin typeface="Times New Roman" panose="02020603050405020304" pitchFamily="18" charset="0"/>
              <a:ea typeface="+mn-ea"/>
              <a:cs typeface="Times New Roman" panose="02020603050405020304" pitchFamily="18" charset="0"/>
            </a:rPr>
            <a:t>LĐ tháng</a:t>
          </a:r>
          <a:endParaRPr lang="en-US" sz="16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654985</xdr:colOff>
      <xdr:row>2</xdr:row>
      <xdr:rowOff>411816</xdr:rowOff>
    </xdr:to>
    <xdr:sp macro="" textlink="">
      <xdr:nvSpPr>
        <xdr:cNvPr id="2" name="TextBox 1">
          <a:hlinkClick xmlns:r="http://schemas.openxmlformats.org/officeDocument/2006/relationships" r:id="rId1"/>
          <a:extLst>
            <a:ext uri="{FF2B5EF4-FFF2-40B4-BE49-F238E27FC236}">
              <a16:creationId xmlns:a16="http://schemas.microsoft.com/office/drawing/2014/main" id="{FA5A2CB3-3B75-498D-A455-BAADAC09825A}"/>
            </a:ext>
          </a:extLst>
        </xdr:cNvPr>
        <xdr:cNvSpPr txBox="1"/>
      </xdr:nvSpPr>
      <xdr:spPr>
        <a:xfrm>
          <a:off x="624840" y="944880"/>
          <a:ext cx="1516045"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SỐ LIỆU HC</a:t>
          </a:r>
        </a:p>
      </xdr:txBody>
    </xdr:sp>
    <xdr:clientData/>
  </xdr:twoCellAnchor>
  <xdr:twoCellAnchor>
    <xdr:from>
      <xdr:col>9</xdr:col>
      <xdr:colOff>28575</xdr:colOff>
      <xdr:row>0</xdr:row>
      <xdr:rowOff>38100</xdr:rowOff>
    </xdr:from>
    <xdr:to>
      <xdr:col>16</xdr:col>
      <xdr:colOff>333375</xdr:colOff>
      <xdr:row>2</xdr:row>
      <xdr:rowOff>419094</xdr:rowOff>
    </xdr:to>
    <xdr:graphicFrame macro="">
      <xdr:nvGraphicFramePr>
        <xdr:cNvPr id="3" name="Diagram 2">
          <a:extLst>
            <a:ext uri="{FF2B5EF4-FFF2-40B4-BE49-F238E27FC236}">
              <a16:creationId xmlns:a16="http://schemas.microsoft.com/office/drawing/2014/main" id="{4738D4A6-C2F6-42B3-80AE-685C78594B9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twoCellAnchor>
    <xdr:from>
      <xdr:col>4</xdr:col>
      <xdr:colOff>0</xdr:colOff>
      <xdr:row>2</xdr:row>
      <xdr:rowOff>0</xdr:rowOff>
    </xdr:from>
    <xdr:to>
      <xdr:col>6</xdr:col>
      <xdr:colOff>327325</xdr:colOff>
      <xdr:row>2</xdr:row>
      <xdr:rowOff>411816</xdr:rowOff>
    </xdr:to>
    <xdr:sp macro="" textlink="">
      <xdr:nvSpPr>
        <xdr:cNvPr id="4" name="TextBox 3">
          <a:hlinkClick xmlns:r="http://schemas.openxmlformats.org/officeDocument/2006/relationships" r:id="rId7"/>
          <a:extLst>
            <a:ext uri="{FF2B5EF4-FFF2-40B4-BE49-F238E27FC236}">
              <a16:creationId xmlns:a16="http://schemas.microsoft.com/office/drawing/2014/main" id="{EBF2D474-3A4A-4101-960E-0007B20811D1}"/>
            </a:ext>
          </a:extLst>
        </xdr:cNvPr>
        <xdr:cNvSpPr txBox="1"/>
      </xdr:nvSpPr>
      <xdr:spPr>
        <a:xfrm>
          <a:off x="3192780" y="944880"/>
          <a:ext cx="2034205" cy="41181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marL="0" indent="0" algn="ctr"/>
          <a:r>
            <a:rPr lang="en-US" sz="1600" b="1">
              <a:solidFill>
                <a:schemeClr val="dk1"/>
              </a:solidFill>
              <a:latin typeface="Times New Roman" panose="02020603050405020304" pitchFamily="18" charset="0"/>
              <a:ea typeface="+mn-ea"/>
              <a:cs typeface="Times New Roman" panose="02020603050405020304" pitchFamily="18" charset="0"/>
            </a:rPr>
            <a:t>TK HC tháng</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85725</xdr:colOff>
      <xdr:row>0</xdr:row>
      <xdr:rowOff>114300</xdr:rowOff>
    </xdr:from>
    <xdr:to>
      <xdr:col>0</xdr:col>
      <xdr:colOff>1863537</xdr:colOff>
      <xdr:row>2</xdr:row>
      <xdr:rowOff>85725</xdr:rowOff>
    </xdr:to>
    <xdr:sp macro="" textlink="">
      <xdr:nvSpPr>
        <xdr:cNvPr id="2" name="TextBox 1">
          <a:hlinkClick xmlns:r="http://schemas.openxmlformats.org/officeDocument/2006/relationships" r:id="rId1"/>
          <a:extLst>
            <a:ext uri="{FF2B5EF4-FFF2-40B4-BE49-F238E27FC236}">
              <a16:creationId xmlns:a16="http://schemas.microsoft.com/office/drawing/2014/main" id="{F230C4E7-C3A7-4A19-B37C-34B9B3AFC40F}"/>
            </a:ext>
          </a:extLst>
        </xdr:cNvPr>
        <xdr:cNvSpPr txBox="1"/>
      </xdr:nvSpPr>
      <xdr:spPr>
        <a:xfrm>
          <a:off x="85725" y="114300"/>
          <a:ext cx="1777812" cy="352425"/>
        </a:xfrm>
        <a:prstGeom prst="rect">
          <a:avLst/>
        </a:prstGeom>
        <a:solidFill>
          <a:schemeClr val="accent2">
            <a:lumMod val="60000"/>
            <a:lumOff val="40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600" b="1">
              <a:latin typeface="Times New Roman" panose="02020603050405020304" pitchFamily="18" charset="0"/>
              <a:cs typeface="Times New Roman" panose="02020603050405020304" pitchFamily="18" charset="0"/>
            </a:rPr>
            <a:t>VỀ</a:t>
          </a:r>
          <a:r>
            <a:rPr lang="en-US" sz="1600" b="1" baseline="0">
              <a:latin typeface="Times New Roman" panose="02020603050405020304" pitchFamily="18" charset="0"/>
              <a:cs typeface="Times New Roman" panose="02020603050405020304" pitchFamily="18" charset="0"/>
            </a:rPr>
            <a:t> TRANG CHỦ</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0</xdr:colOff>
      <xdr:row>3</xdr:row>
      <xdr:rowOff>0</xdr:rowOff>
    </xdr:from>
    <xdr:to>
      <xdr:col>13</xdr:col>
      <xdr:colOff>558612</xdr:colOff>
      <xdr:row>4</xdr:row>
      <xdr:rowOff>161925</xdr:rowOff>
    </xdr:to>
    <xdr:sp macro="" textlink="">
      <xdr:nvSpPr>
        <xdr:cNvPr id="2" name="TextBox 1">
          <a:hlinkClick xmlns:r="http://schemas.openxmlformats.org/officeDocument/2006/relationships" r:id="rId1"/>
          <a:extLst>
            <a:ext uri="{FF2B5EF4-FFF2-40B4-BE49-F238E27FC236}">
              <a16:creationId xmlns:a16="http://schemas.microsoft.com/office/drawing/2014/main" id="{56519006-BE79-46DF-8AB3-A33BB8D8DE5A}"/>
            </a:ext>
          </a:extLst>
        </xdr:cNvPr>
        <xdr:cNvSpPr txBox="1"/>
      </xdr:nvSpPr>
      <xdr:spPr>
        <a:xfrm>
          <a:off x="10725150" y="571500"/>
          <a:ext cx="1777812" cy="352425"/>
        </a:xfrm>
        <a:prstGeom prst="rect">
          <a:avLst/>
        </a:prstGeom>
        <a:solidFill>
          <a:schemeClr val="accent2">
            <a:lumMod val="60000"/>
            <a:lumOff val="40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1600" b="1">
              <a:latin typeface="Times New Roman" panose="02020603050405020304" pitchFamily="18" charset="0"/>
              <a:cs typeface="Times New Roman" panose="02020603050405020304" pitchFamily="18" charset="0"/>
            </a:rPr>
            <a:t>VỀ</a:t>
          </a:r>
          <a:r>
            <a:rPr lang="en-US" sz="1600" b="1" baseline="0">
              <a:latin typeface="Times New Roman" panose="02020603050405020304" pitchFamily="18" charset="0"/>
              <a:cs typeface="Times New Roman" panose="02020603050405020304" pitchFamily="18" charset="0"/>
            </a:rPr>
            <a:t> TRANG CHỦ</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_rels/pivotCacheDefinition20.xml.rels><?xml version="1.0" encoding="UTF-8" standalone="yes"?>
<Relationships xmlns="http://schemas.openxmlformats.org/package/2006/relationships"><Relationship Id="rId1" Type="http://schemas.openxmlformats.org/officeDocument/2006/relationships/pivotCacheRecords" Target="pivotCacheRecords20.xml"/></Relationships>
</file>

<file path=xl/pivotCache/_rels/pivotCacheDefinition21.xml.rels><?xml version="1.0" encoding="UTF-8" standalone="yes"?>
<Relationships xmlns="http://schemas.openxmlformats.org/package/2006/relationships"><Relationship Id="rId1" Type="http://schemas.openxmlformats.org/officeDocument/2006/relationships/pivotCacheRecords" Target="pivotCacheRecords21.xml"/></Relationships>
</file>

<file path=xl/pivotCache/_rels/pivotCacheDefinition22.xml.rels><?xml version="1.0" encoding="UTF-8" standalone="yes"?>
<Relationships xmlns="http://schemas.openxmlformats.org/package/2006/relationships"><Relationship Id="rId1" Type="http://schemas.openxmlformats.org/officeDocument/2006/relationships/pivotCacheRecords" Target="pivotCacheRecords22.xml"/></Relationships>
</file>

<file path=xl/pivotCache/_rels/pivotCacheDefinition23.xml.rels><?xml version="1.0" encoding="UTF-8" standalone="yes"?>
<Relationships xmlns="http://schemas.openxmlformats.org/package/2006/relationships"><Relationship Id="rId1" Type="http://schemas.openxmlformats.org/officeDocument/2006/relationships/pivotCacheRecords" Target="pivotCacheRecords23.xml"/></Relationships>
</file>

<file path=xl/pivotCache/_rels/pivotCacheDefinition24.xml.rels><?xml version="1.0" encoding="UTF-8" standalone="yes"?>
<Relationships xmlns="http://schemas.openxmlformats.org/package/2006/relationships"><Relationship Id="rId1" Type="http://schemas.openxmlformats.org/officeDocument/2006/relationships/pivotCacheRecords" Target="pivotCacheRecords24.xml"/></Relationships>
</file>

<file path=xl/pivotCache/_rels/pivotCacheDefinition25.xml.rels><?xml version="1.0" encoding="UTF-8" standalone="yes"?>
<Relationships xmlns="http://schemas.openxmlformats.org/package/2006/relationships"><Relationship Id="rId1" Type="http://schemas.openxmlformats.org/officeDocument/2006/relationships/pivotCacheRecords" Target="pivotCacheRecords25.xml"/></Relationships>
</file>

<file path=xl/pivotCache/_rels/pivotCacheDefinition26.xml.rels><?xml version="1.0" encoding="UTF-8" standalone="yes"?>
<Relationships xmlns="http://schemas.openxmlformats.org/package/2006/relationships"><Relationship Id="rId1" Type="http://schemas.openxmlformats.org/officeDocument/2006/relationships/pivotCacheRecords" Target="pivotCacheRecords26.xml"/></Relationships>
</file>

<file path=xl/pivotCache/_rels/pivotCacheDefinition27.xml.rels><?xml version="1.0" encoding="UTF-8" standalone="yes"?>
<Relationships xmlns="http://schemas.openxmlformats.org/package/2006/relationships"><Relationship Id="rId1" Type="http://schemas.openxmlformats.org/officeDocument/2006/relationships/pivotCacheRecords" Target="pivotCacheRecords27.xml"/></Relationships>
</file>

<file path=xl/pivotCache/_rels/pivotCacheDefinition28.xml.rels><?xml version="1.0" encoding="UTF-8" standalone="yes"?>
<Relationships xmlns="http://schemas.openxmlformats.org/package/2006/relationships"><Relationship Id="rId1" Type="http://schemas.openxmlformats.org/officeDocument/2006/relationships/pivotCacheRecords" Target="pivotCacheRecords28.xml"/></Relationships>
</file>

<file path=xl/pivotCache/_rels/pivotCacheDefinition29.xml.rels><?xml version="1.0" encoding="UTF-8" standalone="yes"?>
<Relationships xmlns="http://schemas.openxmlformats.org/package/2006/relationships"><Relationship Id="rId1" Type="http://schemas.openxmlformats.org/officeDocument/2006/relationships/pivotCacheRecords" Target="pivotCacheRecords29.xml"/></Relationships>
</file>

<file path=xl/pivotCache/_rels/pivotCacheDefinition30.xml.rels><?xml version="1.0" encoding="UTF-8" standalone="yes"?>
<Relationships xmlns="http://schemas.openxmlformats.org/package/2006/relationships"><Relationship Id="rId1" Type="http://schemas.openxmlformats.org/officeDocument/2006/relationships/pivotCacheRecords" Target="pivotCacheRecords30.xml"/></Relationships>
</file>

<file path=xl/pivotCache/_rels/pivotCacheDefinition31.xml.rels><?xml version="1.0" encoding="UTF-8" standalone="yes"?>
<Relationships xmlns="http://schemas.openxmlformats.org/package/2006/relationships"><Relationship Id="rId1" Type="http://schemas.openxmlformats.org/officeDocument/2006/relationships/pivotCacheRecords" Target="pivotCacheRecords31.xml"/></Relationships>
</file>

<file path=xl/pivotCache/_rels/pivotCacheDefinition32.xml.rels><?xml version="1.0" encoding="UTF-8" standalone="yes"?>
<Relationships xmlns="http://schemas.openxmlformats.org/package/2006/relationships"><Relationship Id="rId1" Type="http://schemas.openxmlformats.org/officeDocument/2006/relationships/pivotCacheRecords" Target="pivotCacheRecords32.xml"/></Relationships>
</file>

<file path=xl/pivotCache/_rels/pivotCacheDefinition33.xml.rels><?xml version="1.0" encoding="UTF-8" standalone="yes"?>
<Relationships xmlns="http://schemas.openxmlformats.org/package/2006/relationships"><Relationship Id="rId1" Type="http://schemas.openxmlformats.org/officeDocument/2006/relationships/pivotCacheRecords" Target="pivotCacheRecords33.xml"/></Relationships>
</file>

<file path=xl/pivotCache/_rels/pivotCacheDefinition34.xml.rels><?xml version="1.0" encoding="UTF-8" standalone="yes"?>
<Relationships xmlns="http://schemas.openxmlformats.org/package/2006/relationships"><Relationship Id="rId1" Type="http://schemas.openxmlformats.org/officeDocument/2006/relationships/pivotCacheRecords" Target="pivotCacheRecords34.xml"/></Relationships>
</file>

<file path=xl/pivotCache/_rels/pivotCacheDefinition35.xml.rels><?xml version="1.0" encoding="UTF-8" standalone="yes"?>
<Relationships xmlns="http://schemas.openxmlformats.org/package/2006/relationships"><Relationship Id="rId1" Type="http://schemas.openxmlformats.org/officeDocument/2006/relationships/pivotCacheRecords" Target="pivotCacheRecords3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078703" createdVersion="8" refreshedVersion="8" minRefreshableVersion="3" recordCount="255" xr:uid="{EEE3920A-98DA-4527-A50F-1B8FBB1D273A}">
  <cacheSource type="worksheet">
    <worksheetSource ref="W9:Z264" sheet="HC"/>
  </cacheSource>
  <cacheFields count="4">
    <cacheField name="Ghi chú" numFmtId="0">
      <sharedItems containsNonDate="0" containsBlank="1" count="2">
        <m/>
        <s v="đang TĐC" u="1"/>
      </sharedItems>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078703" createdVersion="8" refreshedVersion="8" minRefreshableVersion="3" recordCount="253" xr:uid="{ABF01A91-28F2-45A5-823A-C23DE5A55BF9}">
  <cacheSource type="worksheet">
    <worksheetSource ref="W9:Z262" sheet="LĐ"/>
  </cacheSource>
  <cacheFields count="4">
    <cacheField name="Ghi chú" numFmtId="0">
      <sharedItems containsNonDate="0" containsBlank="1" count="3">
        <m/>
        <s v="đang TĐC" u="1"/>
        <s v="ĐC do rút đơn" u="1"/>
      </sharedItems>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194442" createdVersion="8" refreshedVersion="8" minRefreshableVersion="3" recordCount="255" xr:uid="{A31CA3E3-796F-4F5C-AD8C-331C9D3DFCE1}">
  <cacheSource type="worksheet">
    <worksheetSource ref="U9:Z264" sheet="HC"/>
  </cacheSource>
  <cacheFields count="6">
    <cacheField name="TK tháng" numFmtId="1">
      <sharedItems containsNonDate="0" containsString="0" containsBlank="1" containsNumber="1" containsInteger="1" minValue="2" maxValue="6" count="5">
        <m/>
        <n v="5" u="1"/>
        <n v="2" u="1"/>
        <n v="6" u="1"/>
        <n v="4" u="1"/>
      </sharedItems>
    </cacheField>
    <cacheField name="PT RKN" numFmtId="0">
      <sharedItems containsNonDate="0" containsBlank="1" count="2">
        <m/>
        <s v="Đã XX" u="1"/>
      </sharedItems>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194442" createdVersion="8" refreshedVersion="8" minRefreshableVersion="3" recordCount="269" xr:uid="{869EC179-C8B3-42F8-9280-837D13C785BA}">
  <cacheSource type="worksheet">
    <worksheetSource ref="U9:Z278" sheet="DS"/>
  </cacheSource>
  <cacheFields count="6">
    <cacheField name="TK tháng" numFmtId="1">
      <sharedItems containsString="0" containsBlank="1" containsNumber="1" containsInteger="1" minValue="1" maxValue="200" count="15">
        <n v="4"/>
        <n v="5"/>
        <m/>
        <n v="10"/>
        <n v="7"/>
        <n v="12" u="1"/>
        <n v="1" u="1"/>
        <n v="6" u="1"/>
        <n v="3" u="1"/>
        <n v="9" u="1"/>
        <n v="8" u="1"/>
        <n v="11" u="1"/>
        <n v="100" u="1"/>
        <n v="200" u="1"/>
        <n v="2" u="1"/>
      </sharedItems>
    </cacheField>
    <cacheField name="PT RKN" numFmtId="0">
      <sharedItems containsBlank="1" count="3">
        <s v="Đã XX"/>
        <m/>
        <s v="Đã ĐK" u="1"/>
      </sharedItems>
    </cacheField>
    <cacheField name="Ghi chú" numFmtId="0">
      <sharedItems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425926" createdVersion="7" refreshedVersion="8" minRefreshableVersion="3" recordCount="226" xr:uid="{DB6167D1-8925-4B72-8FD3-0279243C74F9}">
  <cacheSource type="worksheet">
    <worksheetSource ref="A9:M235" sheet="DS"/>
  </cacheSource>
  <cacheFields count="13">
    <cacheField name="ẩn" numFmtId="0">
      <sharedItems containsSemiMixedTypes="0" containsString="0" containsNumber="1" containsInteger="1" minValue="1" maxValue="1"/>
    </cacheField>
    <cacheField name="STT" numFmtId="0">
      <sharedItems containsString="0" containsBlank="1" containsNumber="1" containsInteger="1" minValue="1" maxValue="8"/>
    </cacheField>
    <cacheField name="Loại" numFmtId="0">
      <sharedItems containsBlank="1" count="12">
        <s v="Vụ cũ"/>
        <s v="Việc cũ"/>
        <s v="Vụ"/>
        <s v="Việc"/>
        <m/>
        <s v="Phục hồi" u="1"/>
        <s v="Phục hồi vụ TĐC kỳ trước" u="1"/>
        <s v="Trả lại đơn vụ" u="1"/>
        <s v="TL YC độc lập" u="1"/>
        <s v="TL phản tố" u="1"/>
        <s v="Chuyển đến vụ" u="1"/>
        <s v="Hòa giải thành" u="1"/>
      </sharedItems>
    </cacheField>
    <cacheField name="Tên" numFmtId="0">
      <sharedItems containsBlank="1"/>
    </cacheField>
    <cacheField name="số" numFmtId="0">
      <sharedItems containsString="0" containsBlank="1" containsNumber="1" containsInteger="1" minValue="1" maxValue="8"/>
    </cacheField>
    <cacheField name="Ngày ban hành" numFmtId="164">
      <sharedItems containsNonDate="0" containsDate="1" containsString="0" containsBlank="1" minDate="2025-02-02T00:00:00" maxDate="2025-07-15T00:00:00"/>
    </cacheField>
    <cacheField name="Ngày nhận" numFmtId="164">
      <sharedItems containsNonDate="0" containsDate="1" containsString="0" containsBlank="1" minDate="2025-02-02T00:00:00" maxDate="2025-07-15T00:00:00"/>
    </cacheField>
    <cacheField name="Số ngày gia hạn" numFmtId="0">
      <sharedItems containsNonDate="0" containsString="0" containsBlank="1"/>
    </cacheField>
    <cacheField name="ngày hết hạn" numFmtId="164">
      <sharedItems containsDate="1" containsMixedTypes="1" minDate="2025-05-03T00:00:00" maxDate="2025-11-07T00:00:00"/>
    </cacheField>
    <cacheField name="thời hạn còn" numFmtId="0">
      <sharedItems containsMixedTypes="1" containsNumber="1" containsInteger="1" minValue="-39" maxValue="32"/>
    </cacheField>
    <cacheField name="KSV" numFmtId="0">
      <sharedItems containsBlank="1"/>
    </cacheField>
    <cacheField name="TK tuần" numFmtId="1">
      <sharedItems containsString="0" containsBlank="1" containsNumber="1" containsInteger="1" minValue="3" maxValue="28"/>
    </cacheField>
    <cacheField name="TK tháng" numFmtId="1">
      <sharedItems containsString="0" containsBlank="1" containsNumber="1" containsInteger="1" minValue="1" maxValue="200" count="13">
        <n v="2"/>
        <n v="3"/>
        <n v="4"/>
        <n v="5"/>
        <n v="6"/>
        <n v="7"/>
        <m/>
        <n v="12" u="1"/>
        <n v="1" u="1"/>
        <n v="10" u="1"/>
        <n v="11" u="1"/>
        <n v="100" u="1"/>
        <n v="200"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657411" createdVersion="7" refreshedVersion="8" minRefreshableVersion="3" recordCount="218" xr:uid="{F409AEE6-6053-4794-8589-5A29ED7B1FF5}">
  <cacheSource type="worksheet">
    <worksheetSource ref="P9:Z227" sheet="DS"/>
  </cacheSource>
  <cacheFields count="11">
    <cacheField name="VB giải quyết" numFmtId="0">
      <sharedItems containsBlank="1" count="9">
        <s v="BA"/>
        <s v="ĐC"/>
        <s v="QĐ giải quyết việc"/>
        <m/>
        <s v="CNTT"/>
        <s v="TĐC"/>
        <s v="CN tại tòa" u="1"/>
        <s v="ĐC tại tòa" u="1"/>
        <s v="Chuyển" u="1"/>
      </sharedItems>
    </cacheField>
    <cacheField name="số" numFmtId="0">
      <sharedItems containsString="0" containsBlank="1" containsNumber="1" containsInteger="1" minValue="12" maxValue="78"/>
    </cacheField>
    <cacheField name="Ngày ban hành" numFmtId="164">
      <sharedItems containsNonDate="0" containsDate="1" containsString="0" containsBlank="1" minDate="2025-04-02T00:00:00" maxDate="2025-10-02T00:00:00"/>
    </cacheField>
    <cacheField name="Ngày nhận" numFmtId="164">
      <sharedItems containsNonDate="0" containsDate="1" containsString="0" containsBlank="1" minDate="2025-04-03T00:00:00" maxDate="2025-10-03T00:00:00"/>
    </cacheField>
    <cacheField name="TK tuần" numFmtId="1">
      <sharedItems containsString="0" containsBlank="1" containsNumber="1" containsInteger="1" minValue="23" maxValue="41"/>
    </cacheField>
    <cacheField name="TK tháng" numFmtId="1">
      <sharedItems containsString="0" containsBlank="1" containsNumber="1" containsInteger="1" minValue="1" maxValue="200" count="15">
        <n v="4"/>
        <n v="5"/>
        <m/>
        <n v="10"/>
        <n v="7"/>
        <n v="12" u="1"/>
        <n v="1" u="1"/>
        <n v="6" u="1"/>
        <n v="3" u="1"/>
        <n v="9" u="1"/>
        <n v="8" u="1"/>
        <n v="11" u="1"/>
        <n v="100" u="1"/>
        <n v="200" u="1"/>
        <n v="2" u="1"/>
      </sharedItems>
    </cacheField>
    <cacheField name="PT RKN" numFmtId="0">
      <sharedItems containsBlank="1"/>
    </cacheField>
    <cacheField name="Ghi chú" numFmtId="0">
      <sharedItems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657411" createdVersion="8" refreshedVersion="8" minRefreshableVersion="3" recordCount="269" xr:uid="{D18D5F38-6A42-4003-B54A-9C1408C16880}">
  <cacheSource type="worksheet">
    <worksheetSource ref="A9:T278" sheet="DS"/>
  </cacheSource>
  <cacheFields count="20">
    <cacheField name="ẩn" numFmtId="0">
      <sharedItems containsString="0" containsBlank="1" containsNumber="1" containsInteger="1" minValue="1" maxValue="1"/>
    </cacheField>
    <cacheField name="STT" numFmtId="0">
      <sharedItems containsString="0" containsBlank="1" containsNumber="1" containsInteger="1" minValue="1" maxValue="8"/>
    </cacheField>
    <cacheField name="Loại" numFmtId="0">
      <sharedItems containsBlank="1"/>
    </cacheField>
    <cacheField name="Tên" numFmtId="0">
      <sharedItems containsBlank="1"/>
    </cacheField>
    <cacheField name="số" numFmtId="0">
      <sharedItems containsString="0" containsBlank="1" containsNumber="1" containsInteger="1" minValue="1" maxValue="8"/>
    </cacheField>
    <cacheField name="Ngày ban hành" numFmtId="164">
      <sharedItems containsNonDate="0" containsDate="1" containsString="0" containsBlank="1" minDate="2025-02-02T00:00:00" maxDate="2025-07-15T00:00:00"/>
    </cacheField>
    <cacheField name="Ngày nhận" numFmtId="164">
      <sharedItems containsNonDate="0" containsDate="1" containsString="0" containsBlank="1" minDate="2025-02-02T00:00:00" maxDate="2025-07-15T00:00:00"/>
    </cacheField>
    <cacheField name="Số ngày gia hạn" numFmtId="0">
      <sharedItems containsNonDate="0" containsString="0" containsBlank="1"/>
    </cacheField>
    <cacheField name="ngày hết hạn" numFmtId="164">
      <sharedItems containsDate="1" containsMixedTypes="1" minDate="2025-05-03T00:00:00" maxDate="2025-11-07T00:00:00"/>
    </cacheField>
    <cacheField name="thời hạn còn" numFmtId="0">
      <sharedItems containsMixedTypes="1" containsNumber="1" containsInteger="1" minValue="-39" maxValue="32"/>
    </cacheField>
    <cacheField name="KSV" numFmtId="0">
      <sharedItems containsBlank="1"/>
    </cacheField>
    <cacheField name="TK tuần" numFmtId="1">
      <sharedItems containsString="0" containsBlank="1" containsNumber="1" containsInteger="1" minValue="3" maxValue="28"/>
    </cacheField>
    <cacheField name="TK tháng" numFmtId="1">
      <sharedItems containsString="0" containsBlank="1" containsNumber="1" containsInteger="1" minValue="2" maxValue="7"/>
    </cacheField>
    <cacheField name="QĐ xét xử/họp" numFmtId="0">
      <sharedItems containsNonDate="0" containsString="0" containsBlank="1"/>
    </cacheField>
    <cacheField name="Ngày" numFmtId="164">
      <sharedItems containsNonDate="0" containsString="0" containsBlank="1"/>
    </cacheField>
    <cacheField name="VB giải quyết" numFmtId="0">
      <sharedItems containsBlank="1" count="9">
        <s v="BA"/>
        <s v="ĐC"/>
        <s v="QĐ giải quyết việc"/>
        <m/>
        <s v="CNTT"/>
        <s v="TĐC"/>
        <s v="CN tại tòa" u="1"/>
        <s v="ĐC tại tòa" u="1"/>
        <s v="Chuyển" u="1"/>
      </sharedItems>
    </cacheField>
    <cacheField name="số2" numFmtId="0">
      <sharedItems containsString="0" containsBlank="1" containsNumber="1" containsInteger="1" minValue="12" maxValue="78"/>
    </cacheField>
    <cacheField name="Ngày ban hành2" numFmtId="164">
      <sharedItems containsNonDate="0" containsDate="1" containsString="0" containsBlank="1" minDate="2025-04-02T00:00:00" maxDate="2025-10-02T00:00:00"/>
    </cacheField>
    <cacheField name="Ngày nhận2" numFmtId="164">
      <sharedItems containsNonDate="0" containsDate="1" containsString="0" containsBlank="1" minDate="2025-04-03T00:00:00" maxDate="2025-10-03T00:00:00"/>
    </cacheField>
    <cacheField name="TK tuần2" numFmtId="1">
      <sharedItems containsString="0" containsBlank="1" containsNumber="1" minValue="2" maxValue="463" count="38">
        <n v="23"/>
        <n v="30"/>
        <m/>
        <n v="41"/>
        <n v="26"/>
        <n v="2" u="1"/>
        <n v="19" u="1"/>
        <n v="9" u="1"/>
        <n v="24" u="1"/>
        <n v="4" u="1"/>
        <n v="35" u="1"/>
        <n v="25" u="1"/>
        <n v="28" u="1"/>
        <n v="17" u="1"/>
        <n v="31" u="1"/>
        <n v="29" u="1"/>
        <n v="44" u="1"/>
        <n v="38" u="1"/>
        <n v="33" u="1"/>
        <n v="32" u="1"/>
        <n v="40" u="1"/>
        <n v="42" u="1"/>
        <n v="34" u="1"/>
        <n v="36" u="1"/>
        <n v="43" u="1"/>
        <n v="39" u="1"/>
        <n v="49" u="1"/>
        <n v="100" u="1"/>
        <n v="200" u="1"/>
        <n v="463" u="1"/>
        <n v="5.2" u="1"/>
        <n v="14" u="1"/>
        <n v="15" u="1"/>
        <n v="16" u="1"/>
        <n v="18" u="1"/>
        <n v="7" u="1"/>
        <n v="20" u="1"/>
        <n v="11" u="1"/>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77315" createdVersion="8" refreshedVersion="8" minRefreshableVersion="3" recordCount="269" xr:uid="{4BC22FC7-C47F-427E-BC58-FF419C93065A}">
  <cacheSource type="worksheet">
    <worksheetSource ref="A9:L278" sheet="DS"/>
  </cacheSource>
  <cacheFields count="12">
    <cacheField name="ẩn" numFmtId="0">
      <sharedItems containsString="0" containsBlank="1" containsNumber="1" containsInteger="1" minValue="1" maxValue="1"/>
    </cacheField>
    <cacheField name="STT" numFmtId="0">
      <sharedItems containsString="0" containsBlank="1" containsNumber="1" containsInteger="1" minValue="1" maxValue="8"/>
    </cacheField>
    <cacheField name="Loại" numFmtId="0">
      <sharedItems containsBlank="1" count="11">
        <s v="Vụ cũ"/>
        <s v="Việc cũ"/>
        <s v="Vụ"/>
        <s v="Việc"/>
        <m/>
        <s v="Phục hồi" u="1"/>
        <s v="Phục hồi vụ TĐC kỳ trước" u="1"/>
        <s v="Trả lại đơn vụ" u="1"/>
        <s v="TL YC độc lập" u="1"/>
        <s v="TL phản tố" u="1"/>
        <s v="Hòa giải thành" u="1"/>
      </sharedItems>
    </cacheField>
    <cacheField name="Tên" numFmtId="0">
      <sharedItems containsBlank="1"/>
    </cacheField>
    <cacheField name="số" numFmtId="0">
      <sharedItems containsString="0" containsBlank="1" containsNumber="1" containsInteger="1" minValue="1" maxValue="8"/>
    </cacheField>
    <cacheField name="Ngày ban hành" numFmtId="164">
      <sharedItems containsNonDate="0" containsDate="1" containsString="0" containsBlank="1" minDate="2025-02-02T00:00:00" maxDate="2025-07-15T00:00:00"/>
    </cacheField>
    <cacheField name="Ngày nhận" numFmtId="164">
      <sharedItems containsNonDate="0" containsDate="1" containsString="0" containsBlank="1" minDate="2025-02-02T00:00:00" maxDate="2025-07-15T00:00:00"/>
    </cacheField>
    <cacheField name="Số ngày gia hạn" numFmtId="0">
      <sharedItems containsNonDate="0" containsString="0" containsBlank="1"/>
    </cacheField>
    <cacheField name="ngày hết hạn" numFmtId="164">
      <sharedItems containsDate="1" containsMixedTypes="1" minDate="2025-05-03T00:00:00" maxDate="2025-11-07T00:00:00"/>
    </cacheField>
    <cacheField name="thời hạn còn" numFmtId="0">
      <sharedItems containsMixedTypes="1" containsNumber="1" containsInteger="1" minValue="-39" maxValue="32"/>
    </cacheField>
    <cacheField name="KSV" numFmtId="0">
      <sharedItems containsBlank="1"/>
    </cacheField>
    <cacheField name="TK tuần" numFmtId="1">
      <sharedItems containsString="0" containsBlank="1" containsNumber="1" containsInteger="1" minValue="1" maxValue="200" count="39">
        <n v="3"/>
        <n v="8"/>
        <n v="9"/>
        <n v="15"/>
        <n v="23"/>
        <n v="27"/>
        <n v="28"/>
        <m/>
        <n v="1" u="1"/>
        <n v="10" u="1"/>
        <n v="2" u="1"/>
        <n v="4" u="1"/>
        <n v="6" u="1"/>
        <n v="7" u="1"/>
        <n v="12" u="1"/>
        <n v="14" u="1"/>
        <n v="17" u="1"/>
        <n v="19" u="1"/>
        <n v="20" u="1"/>
        <n v="21" u="1"/>
        <n v="22" u="1"/>
        <n v="24" u="1"/>
        <n v="25" u="1"/>
        <n v="26" u="1"/>
        <n v="29" u="1"/>
        <n v="30" u="1"/>
        <n v="31" u="1"/>
        <n v="33" u="1"/>
        <n v="45" u="1"/>
        <n v="46" u="1"/>
        <n v="47" u="1"/>
        <n v="48" u="1"/>
        <n v="49" u="1"/>
        <n v="52" u="1"/>
        <n v="100" u="1"/>
        <n v="200" u="1"/>
        <n v="13" u="1"/>
        <n v="16" u="1"/>
        <n v="18" u="1"/>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377315" createdVersion="7" refreshedVersion="8" minRefreshableVersion="3" recordCount="218" xr:uid="{7288E192-CA0A-46F4-A2B9-CE18D6C7A323}">
  <cacheSource type="worksheet">
    <worksheetSource ref="N9:AA227" sheet="HNGĐ"/>
  </cacheSource>
  <cacheFields count="14">
    <cacheField name="QĐ xét xử/họp" numFmtId="0">
      <sharedItems containsNonDate="0" containsString="0" containsBlank="1"/>
    </cacheField>
    <cacheField name="Ngày" numFmtId="164">
      <sharedItems containsNonDate="0" containsString="0" containsBlank="1"/>
    </cacheField>
    <cacheField name="VB giải quyết" numFmtId="0">
      <sharedItems containsNonDate="0" containsBlank="1" count="8">
        <m/>
        <s v="CNTT" u="1"/>
        <s v="TĐC" u="1"/>
        <s v="BA" u="1"/>
        <s v="ĐC" u="1"/>
        <s v="CN tại tòa" u="1"/>
        <s v="QĐ giải quyết việc" u="1"/>
        <s v="Nhập vào vụ khác" u="1"/>
      </sharedItems>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TK tuần" numFmtId="0">
      <sharedItems containsNonDate="0" containsString="0" containsBlank="1"/>
    </cacheField>
    <cacheField name="TK tháng" numFmtId="0">
      <sharedItems containsNonDate="0" containsString="0" containsBlank="1" containsNumber="1" containsInteger="1" minValue="1" maxValue="200" count="15">
        <m/>
        <n v="1" u="1"/>
        <n v="2" u="1"/>
        <n v="3" u="1"/>
        <n v="12" u="1"/>
        <n v="5" u="1"/>
        <n v="4" u="1"/>
        <n v="7" u="1"/>
        <n v="6" u="1"/>
        <n v="8" u="1"/>
        <n v="9" u="1"/>
        <n v="10" u="1"/>
        <n v="11" u="1"/>
        <n v="100" u="1"/>
        <n v="200" u="1"/>
      </sharedItems>
    </cacheField>
    <cacheField name="PT RKN" numFmtId="0">
      <sharedItems containsNonDate="0" containsString="0" containsBlank="1"/>
    </cacheField>
    <cacheField name="Ghi chú TĐC, ĐC" numFmtId="0">
      <sharedItems containsNonDate="0" containsString="0" containsBlank="1"/>
    </cacheField>
    <cacheField name="Ghi chú khác"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004627" createdVersion="7" refreshedVersion="8" minRefreshableVersion="3" recordCount="218" xr:uid="{F86FEB4C-D833-4BDF-8F17-25271E09A277}">
  <cacheSource type="worksheet">
    <worksheetSource ref="A9:M227" sheet="HNGĐ"/>
  </cacheSource>
  <cacheFields count="13">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Blank="1" count="11">
        <m/>
        <s v="Vụ cũ" u="1"/>
        <s v="Việc cũ" u="1"/>
        <s v="Vụ" u="1"/>
        <s v="Việc" u="1"/>
        <s v="Phục hồi" u="1"/>
        <s v="Hòa giải thành" u="1"/>
        <s v="Trả lại đơn vụ" u="1"/>
        <s v="Phục hồi vụ TĐC kỳ trước" u="1"/>
        <s v="Chuyển đến vụ" u="1"/>
        <s v="Trả lại đơn việc"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1" maxValue="200" count="15">
        <m/>
        <n v="7" u="1"/>
        <n v="1" u="1"/>
        <n v="2" u="1"/>
        <n v="12" u="1"/>
        <n v="3" u="1"/>
        <n v="4" u="1"/>
        <n v="5" u="1"/>
        <n v="6" u="1"/>
        <n v="8" u="1"/>
        <n v="9" u="1"/>
        <n v="10" u="1"/>
        <n v="11" u="1"/>
        <n v="100" u="1"/>
        <n v="200" u="1"/>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120373" createdVersion="7" refreshedVersion="8" minRefreshableVersion="3" recordCount="205" xr:uid="{F2B7AD5C-DEA0-4B77-AB9F-E4D1447BFE55}">
  <cacheSource type="worksheet">
    <worksheetSource ref="P9:Z214" sheet="HC"/>
  </cacheSource>
  <cacheFields count="11">
    <cacheField name="VB giải quyết" numFmtId="0">
      <sharedItems containsNonDate="0" containsBlank="1" count="7">
        <m/>
        <s v="CNTT" u="1"/>
        <s v="TĐC" u="1"/>
        <s v="CN đối thoại" u="1"/>
        <s v="BA" u="1"/>
        <s v="CN tại tòa" u="1"/>
        <s v="ĐC" u="1"/>
      </sharedItems>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1" maxValue="6" count="6">
        <m/>
        <n v="5" u="1"/>
        <n v="2" u="1"/>
        <n v="6" u="1"/>
        <n v="1" u="1"/>
        <n v="4" u="1"/>
      </sharedItems>
    </cacheField>
    <cacheField name="PT RKN" numFmtId="0">
      <sharedItems containsNonDate="0" containsString="0" containsBlank="1"/>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120373" createdVersion="7" refreshedVersion="8" minRefreshableVersion="3" recordCount="218" xr:uid="{62BC4A41-F798-4BD0-81C6-149BEA4B4A80}">
  <cacheSource type="worksheet">
    <worksheetSource ref="P9:Z227" sheet="KDTM"/>
  </cacheSource>
  <cacheFields count="11">
    <cacheField name="VB giải quyết" numFmtId="0">
      <sharedItems containsNonDate="0" containsBlank="1" count="4">
        <m/>
        <s v="CNTT" u="1"/>
        <s v="TĐC" u="1"/>
        <s v="ĐC" u="1"/>
      </sharedItems>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1" maxValue="5" count="5">
        <m/>
        <n v="5" u="1"/>
        <n v="2" u="1"/>
        <n v="1" u="1"/>
        <n v="4" u="1"/>
      </sharedItems>
    </cacheField>
    <cacheField name="PT RKN" numFmtId="0">
      <sharedItems containsNonDate="0" containsString="0" containsBlank="1"/>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35185" createdVersion="7" refreshedVersion="8" minRefreshableVersion="3" recordCount="218" xr:uid="{2559828E-8CA6-4975-AC58-52DC486C9EE8}">
  <cacheSource type="worksheet">
    <worksheetSource ref="A9:M227" sheet="LĐ"/>
  </cacheSource>
  <cacheFields count="13">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Blank="1" count="4">
        <m/>
        <s v="Vụ" u="1"/>
        <s v="Phục hồi" u="1"/>
        <s v="Việc"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1" maxValue="8" count="5">
        <m/>
        <n v="1" u="1"/>
        <n v="8" u="1"/>
        <n v="2" u="1"/>
        <n v="4" u="1"/>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467596" createdVersion="7" refreshedVersion="8" minRefreshableVersion="3" recordCount="218" xr:uid="{21D46A1C-955A-4B55-AB04-7EA4A95EC6C7}">
  <cacheSource type="worksheet">
    <worksheetSource ref="P9:Z227" sheet="LĐ"/>
  </cacheSource>
  <cacheFields count="11">
    <cacheField name="VB giải quyết" numFmtId="0">
      <sharedItems containsNonDate="0" containsBlank="1" count="4">
        <m/>
        <s v="TĐC" u="1"/>
        <s v="BA" u="1"/>
        <s v="CNTT" u="1"/>
      </sharedItems>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1" maxValue="9" count="5">
        <m/>
        <n v="4" u="1"/>
        <n v="9" u="1"/>
        <n v="2" u="1"/>
        <n v="1" u="1"/>
      </sharedItems>
    </cacheField>
    <cacheField name="PT RKN" numFmtId="0">
      <sharedItems containsNonDate="0" containsString="0" containsBlank="1"/>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467596" createdVersion="7" refreshedVersion="8" minRefreshableVersion="3" recordCount="205" xr:uid="{1889B340-A91E-4412-8D73-B42192A9086F}">
  <cacheSource type="worksheet">
    <worksheetSource ref="A9:M214" sheet="HC"/>
  </cacheSource>
  <cacheFields count="13">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Blank="1" count="8">
        <m/>
        <s v="Vụ cũ loại a" u="1"/>
        <s v="Trả lại đơn" u="1"/>
        <s v="Chuyển đến loại a" u="1"/>
        <s v="Vụ loại b" u="1"/>
        <s v="Vụ loại a" u="1"/>
        <s v="Hòa giải thành" u="1"/>
        <s v="Chuyển đến loại b"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1" maxValue="4" count="4">
        <m/>
        <n v="2" u="1"/>
        <n v="1" u="1"/>
        <n v="4" u="1"/>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699073" createdVersion="8" refreshedVersion="8" minRefreshableVersion="3" recordCount="291" xr:uid="{4B266AA2-0FEB-4E14-97B3-083ED6C6F4C1}">
  <cacheSource type="worksheet">
    <worksheetSource ref="A9:L300" sheet="HNGĐ"/>
  </cacheSource>
  <cacheFields count="12">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Blank="1" count="10">
        <m/>
        <s v="Vụ cũ" u="1"/>
        <s v="Việc cũ" u="1"/>
        <s v="Vụ" u="1"/>
        <s v="Việc" u="1"/>
        <s v="Phục hồi" u="1"/>
        <s v="Hòa giải thành" u="1"/>
        <s v="Trả lại đơn vụ" u="1"/>
        <s v="Phục hồi vụ TĐC kỳ trước" u="1"/>
        <s v="Trả lại đơn việc"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ontainsNumber="1" containsInteger="1" minValue="1" maxValue="200" count="50">
        <m/>
        <n v="1" u="1"/>
        <n v="2" u="1"/>
        <n v="3" u="1"/>
        <n v="4" u="1"/>
        <n v="5" u="1"/>
        <n v="6" u="1"/>
        <n v="7" u="1"/>
        <n v="9" u="1"/>
        <n v="10" u="1"/>
        <n v="11" u="1"/>
        <n v="13" u="1"/>
        <n v="14" u="1"/>
        <n v="15" u="1"/>
        <n v="16" u="1"/>
        <n v="17" u="1"/>
        <n v="18" u="1"/>
        <n v="19" u="1"/>
        <n v="20" u="1"/>
        <n v="22" u="1"/>
        <n v="24" u="1"/>
        <n v="25" u="1"/>
        <n v="26" u="1"/>
        <n v="27" u="1"/>
        <n v="28" u="1"/>
        <n v="30" u="1"/>
        <n v="31" u="1"/>
        <n v="32" u="1"/>
        <n v="33" u="1"/>
        <n v="34" u="1"/>
        <n v="35" u="1"/>
        <n v="36" u="1"/>
        <n v="38" u="1"/>
        <n v="39" u="1"/>
        <n v="40" u="1"/>
        <n v="41" u="1"/>
        <n v="42" u="1"/>
        <n v="44" u="1"/>
        <n v="45" u="1"/>
        <n v="46" u="1"/>
        <n v="47" u="1"/>
        <n v="48" u="1"/>
        <n v="49" u="1"/>
        <n v="50" u="1"/>
        <n v="51" u="1"/>
        <n v="52" u="1"/>
        <n v="200" u="1"/>
        <n v="100" u="1"/>
        <n v="37" u="1"/>
        <n v="8" u="1"/>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699073" createdVersion="7" refreshedVersion="8" minRefreshableVersion="3" recordCount="218" xr:uid="{213A76C1-6B55-495C-AE00-6002F8E24446}">
  <cacheSource type="worksheet">
    <worksheetSource ref="A9:M227" sheet="KDTM"/>
  </cacheSource>
  <cacheFields count="13">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Blank="1" count="6">
        <m/>
        <s v="Vụ cũ" u="1"/>
        <s v="Vụ" u="1"/>
        <s v="Việc cũ" u="1"/>
        <s v="Việc" u="1"/>
        <s v="Phục hồi"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ontainsNumber="1" containsInteger="1" minValue="2" maxValue="12" count="8">
        <m/>
        <n v="7" u="1"/>
        <n v="10" u="1"/>
        <n v="11" u="1"/>
        <n v="2" u="1"/>
        <n v="3" u="1"/>
        <n v="4" u="1"/>
        <n v="12" u="1"/>
      </sharedItems>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930558" createdVersion="8" refreshedVersion="8" minRefreshableVersion="3" recordCount="218" xr:uid="{0F6FDF36-1DD8-4B3B-B2EA-412C5CC72497}">
  <cacheSource type="worksheet">
    <worksheetSource ref="A9:L227" sheet="KDTM"/>
  </cacheSource>
  <cacheFields count="12">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Blank="1" count="6">
        <m/>
        <s v="Vụ cũ" u="1"/>
        <s v="Vụ" u="1"/>
        <s v="Việc cũ" u="1"/>
        <s v="Việc" u="1"/>
        <s v="Phục hồi"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ontainsNumber="1" containsInteger="1" minValue="1" maxValue="51" count="7">
        <m/>
        <n v="1" u="1"/>
        <n v="46" u="1"/>
        <n v="51" u="1"/>
        <n v="2" u="1"/>
        <n v="11" u="1"/>
        <n v="12" u="1"/>
      </sharedItems>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4930558" createdVersion="8" refreshedVersion="8" minRefreshableVersion="3" recordCount="218" xr:uid="{2074E904-3249-4203-9521-DF1DD1AB0E40}">
  <cacheSource type="worksheet">
    <worksheetSource ref="A9:T227" sheet="KDTM"/>
  </cacheSource>
  <cacheFields count="20">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String="0" containsBlank="1"/>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acheField>
    <cacheField name="QĐ xét xử/họp" numFmtId="0">
      <sharedItems containsNonDate="0" containsString="0" containsBlank="1"/>
    </cacheField>
    <cacheField name="Ngày" numFmtId="164">
      <sharedItems containsNonDate="0" containsString="0" containsBlank="1"/>
    </cacheField>
    <cacheField name="VB giải quyết" numFmtId="0">
      <sharedItems containsNonDate="0" containsBlank="1" count="4">
        <m/>
        <s v="CNTT" u="1"/>
        <s v="TĐC" u="1"/>
        <s v="ĐC" u="1"/>
      </sharedItems>
    </cacheField>
    <cacheField name="số2" numFmtId="0">
      <sharedItems containsNonDate="0" containsString="0" containsBlank="1"/>
    </cacheField>
    <cacheField name="Ngày ban hành2" numFmtId="164">
      <sharedItems containsNonDate="0" containsString="0" containsBlank="1"/>
    </cacheField>
    <cacheField name="Ngày nhận2" numFmtId="164">
      <sharedItems containsNonDate="0" containsString="0" containsBlank="1"/>
    </cacheField>
    <cacheField name="TK tuần2" numFmtId="1">
      <sharedItems containsNonDate="0" containsString="0" containsBlank="1" containsNumber="1" containsInteger="1" minValue="1" maxValue="13" count="8">
        <m/>
        <n v="13" u="1"/>
        <n v="5" u="1"/>
        <n v="2" u="1"/>
        <n v="1" u="1"/>
        <n v="3" u="1"/>
        <n v="11" u="1"/>
        <n v="4" u="1"/>
      </sharedItems>
    </cacheField>
  </cacheFields>
  <extLst>
    <ext xmlns:x14="http://schemas.microsoft.com/office/spreadsheetml/2009/9/main" uri="{725AE2AE-9491-48be-B2B4-4EB974FC3084}">
      <x14:pivotCacheDefinition/>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162035" createdVersion="8" refreshedVersion="8" minRefreshableVersion="3" recordCount="253" xr:uid="{738A4AE9-D078-42AF-830F-442CC045DDD1}">
  <cacheSource type="worksheet">
    <worksheetSource ref="A9:L262" sheet="LĐ"/>
  </cacheSource>
  <cacheFields count="12">
    <cacheField name="ẩn" numFmtId="0">
      <sharedItems containsString="0" containsBlank="1" containsNumber="1" containsInteger="1" minValue="1" maxValue="1"/>
    </cacheField>
    <cacheField name="STT" numFmtId="0">
      <sharedItems containsNonDate="0" containsString="0" containsBlank="1"/>
    </cacheField>
    <cacheField name="Loại" numFmtId="0">
      <sharedItems containsNonDate="0" containsBlank="1" count="4">
        <m/>
        <s v="Vụ" u="1"/>
        <s v="Phục hồi" u="1"/>
        <s v="Việc"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ontainsNumber="1" containsInteger="1" minValue="1" maxValue="39" count="5">
        <m/>
        <n v="5" u="1"/>
        <n v="39" u="1"/>
        <n v="1" u="1"/>
        <n v="3" u="1"/>
      </sharedItems>
    </cacheField>
  </cacheFields>
  <extLst>
    <ext xmlns:x14="http://schemas.microsoft.com/office/spreadsheetml/2009/9/main" uri="{725AE2AE-9491-48be-B2B4-4EB974FC3084}">
      <x14:pivotCacheDefinition/>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162035" createdVersion="8" refreshedVersion="8" minRefreshableVersion="3" recordCount="291" xr:uid="{DFD08811-C53A-4182-BA5C-5313B5EE5EE0}">
  <cacheSource type="worksheet">
    <worksheetSource ref="A9:T300" sheet="HNGĐ"/>
  </cacheSource>
  <cacheFields count="20">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String="0" containsBlank="1"/>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acheField>
    <cacheField name="QĐ xét xử/họp" numFmtId="0">
      <sharedItems containsNonDate="0" containsString="0" containsBlank="1"/>
    </cacheField>
    <cacheField name="Ngày" numFmtId="164">
      <sharedItems containsNonDate="0" containsString="0" containsBlank="1"/>
    </cacheField>
    <cacheField name="VB giải quyết" numFmtId="0">
      <sharedItems containsNonDate="0" containsBlank="1" count="7">
        <m/>
        <s v="CNTT" u="1"/>
        <s v="TĐC" u="1"/>
        <s v="BA" u="1"/>
        <s v="ĐC" u="1"/>
        <s v="CN tại tòa" u="1"/>
        <s v="QĐ giải quyết việc" u="1"/>
      </sharedItems>
    </cacheField>
    <cacheField name="số2" numFmtId="0">
      <sharedItems containsNonDate="0" containsString="0" containsBlank="1"/>
    </cacheField>
    <cacheField name="Ngày ban hành2" numFmtId="164">
      <sharedItems containsNonDate="0" containsString="0" containsBlank="1"/>
    </cacheField>
    <cacheField name="Ngày nhận2" numFmtId="164">
      <sharedItems containsNonDate="0" containsString="0" containsBlank="1"/>
    </cacheField>
    <cacheField name="TK tuần2" numFmtId="0">
      <sharedItems containsNonDate="0" containsString="0" containsBlank="1" containsNumber="1" containsInteger="1" minValue="1" maxValue="200" count="34">
        <m/>
        <n v="1" u="1"/>
        <n v="2" u="1"/>
        <n v="16" u="1"/>
        <n v="10" u="1"/>
        <n v="9" u="1"/>
        <n v="18" u="1"/>
        <n v="5" u="1"/>
        <n v="11" u="1"/>
        <n v="4" u="1"/>
        <n v="12" u="1"/>
        <n v="26" u="1"/>
        <n v="19" u="1"/>
        <n v="25" u="1"/>
        <n v="17" u="1"/>
        <n v="14" u="1"/>
        <n v="33" u="1"/>
        <n v="30" u="1"/>
        <n v="34" u="1"/>
        <n v="35" u="1"/>
        <n v="36" u="1"/>
        <n v="44" u="1"/>
        <n v="41" u="1"/>
        <n v="31" u="1"/>
        <n v="43" u="1"/>
        <n v="39" u="1"/>
        <n v="40" u="1"/>
        <n v="46" u="1"/>
        <n v="48" u="1"/>
        <n v="50" u="1"/>
        <n v="49" u="1"/>
        <n v="100" u="1"/>
        <n v="200" u="1"/>
        <n v="3" u="1"/>
      </sharedItems>
    </cacheField>
  </cacheFields>
  <extLst>
    <ext xmlns:x14="http://schemas.microsoft.com/office/spreadsheetml/2009/9/main" uri="{725AE2AE-9491-48be-B2B4-4EB974FC3084}">
      <x14:pivotCacheDefinition/>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277781" createdVersion="8" refreshedVersion="8" minRefreshableVersion="3" recordCount="291" xr:uid="{D2C50497-A191-4D30-868E-E7F29738EA57}">
  <cacheSource type="worksheet">
    <worksheetSource ref="A9:V300" sheet="HNGĐ"/>
  </cacheSource>
  <cacheFields count="22">
    <cacheField name="ẩn" numFmtId="0">
      <sharedItems containsSemiMixedTypes="0" containsString="0" containsNumber="1" containsInteger="1" minValue="1" maxValue="1"/>
    </cacheField>
    <cacheField name="STT" numFmtId="0">
      <sharedItems containsNonDate="0" containsString="0" containsBlank="1"/>
    </cacheField>
    <cacheField name="Loại" numFmtId="0">
      <sharedItems containsNonDate="0" containsString="0" containsBlank="1"/>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1">
      <sharedItems containsNonDate="0" containsString="0" containsBlank="1"/>
    </cacheField>
    <cacheField name="TK tháng" numFmtId="1">
      <sharedItems containsNonDate="0" containsString="0" containsBlank="1"/>
    </cacheField>
    <cacheField name="QĐ xét xử/họp" numFmtId="0">
      <sharedItems containsNonDate="0" containsString="0" containsBlank="1"/>
    </cacheField>
    <cacheField name="Ngày" numFmtId="164">
      <sharedItems containsNonDate="0" containsString="0" containsBlank="1"/>
    </cacheField>
    <cacheField name="VB giải quyết" numFmtId="0">
      <sharedItems containsNonDate="0" containsString="0" containsBlank="1"/>
    </cacheField>
    <cacheField name="số2" numFmtId="0">
      <sharedItems containsNonDate="0" containsString="0" containsBlank="1"/>
    </cacheField>
    <cacheField name="Ngày ban hành2" numFmtId="164">
      <sharedItems containsNonDate="0" containsString="0" containsBlank="1"/>
    </cacheField>
    <cacheField name="Ngày nhận2" numFmtId="164">
      <sharedItems containsNonDate="0" containsString="0" containsBlank="1"/>
    </cacheField>
    <cacheField name="TK tuần2" numFmtId="0">
      <sharedItems containsNonDate="0" containsString="0" containsBlank="1" containsNumber="1" containsInteger="1" minValue="1" maxValue="200" count="34">
        <m/>
        <n v="1" u="1"/>
        <n v="2" u="1"/>
        <n v="16" u="1"/>
        <n v="10" u="1"/>
        <n v="9" u="1"/>
        <n v="18" u="1"/>
        <n v="5" u="1"/>
        <n v="11" u="1"/>
        <n v="4" u="1"/>
        <n v="12" u="1"/>
        <n v="26" u="1"/>
        <n v="19" u="1"/>
        <n v="25" u="1"/>
        <n v="17" u="1"/>
        <n v="14" u="1"/>
        <n v="33" u="1"/>
        <n v="30" u="1"/>
        <n v="34" u="1"/>
        <n v="35" u="1"/>
        <n v="36" u="1"/>
        <n v="44" u="1"/>
        <n v="41" u="1"/>
        <n v="31" u="1"/>
        <n v="43" u="1"/>
        <n v="39" u="1"/>
        <n v="40" u="1"/>
        <n v="46" u="1"/>
        <n v="48" u="1"/>
        <n v="50" u="1"/>
        <n v="49" u="1"/>
        <n v="100" u="1"/>
        <n v="200" u="1"/>
        <n v="3" u="1"/>
      </sharedItems>
    </cacheField>
    <cacheField name="TK tháng2" numFmtId="0">
      <sharedItems containsNonDate="0" containsString="0" containsBlank="1"/>
    </cacheField>
    <cacheField name="PT RKN" numFmtId="0">
      <sharedItems containsNonDate="0" containsBlank="1" count="3">
        <m/>
        <s v="Đã XX" u="1"/>
        <s v="Đã ĐK" u="1"/>
      </sharedItems>
    </cacheField>
  </cacheFields>
  <extLst>
    <ext xmlns:x14="http://schemas.microsoft.com/office/spreadsheetml/2009/9/main" uri="{725AE2AE-9491-48be-B2B4-4EB974FC3084}">
      <x14:pivotCacheDefinition/>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39352" createdVersion="8" refreshedVersion="8" minRefreshableVersion="3" recordCount="291" xr:uid="{C978E099-ABE4-48F0-B872-181A5B2590A5}">
  <cacheSource type="worksheet">
    <worksheetSource ref="U9:AA300" sheet="HNGĐ"/>
  </cacheSource>
  <cacheFields count="7">
    <cacheField name="TK tháng" numFmtId="0">
      <sharedItems containsNonDate="0" containsString="0" containsBlank="1" containsNumber="1" containsInteger="1" minValue="1" maxValue="200" count="15">
        <m/>
        <n v="1" u="1"/>
        <n v="2" u="1"/>
        <n v="3" u="1"/>
        <n v="12" u="1"/>
        <n v="5" u="1"/>
        <n v="4" u="1"/>
        <n v="7" u="1"/>
        <n v="6" u="1"/>
        <n v="8" u="1"/>
        <n v="9" u="1"/>
        <n v="10" u="1"/>
        <n v="11" u="1"/>
        <n v="100" u="1"/>
        <n v="200" u="1"/>
      </sharedItems>
    </cacheField>
    <cacheField name="PT RKN" numFmtId="0">
      <sharedItems containsNonDate="0" containsBlank="1" count="3">
        <m/>
        <s v="Đã XX" u="1"/>
        <s v="Đã ĐK" u="1"/>
      </sharedItems>
    </cacheField>
    <cacheField name="Ghi chú TĐC, ĐC" numFmtId="0">
      <sharedItems containsNonDate="0" containsString="0" containsBlank="1"/>
    </cacheField>
    <cacheField name="Ghi chú khác"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509259" createdVersion="8" refreshedVersion="8" minRefreshableVersion="3" recordCount="291" xr:uid="{79F60C48-2980-46E6-922C-2FEBE6500442}">
  <cacheSource type="worksheet">
    <worksheetSource ref="V9:AA300" sheet="HNGĐ"/>
  </cacheSource>
  <cacheFields count="6">
    <cacheField name="PT RKN" numFmtId="0">
      <sharedItems containsNonDate="0" containsString="0" containsBlank="1"/>
    </cacheField>
    <cacheField name="Ghi chú TĐC, ĐC" numFmtId="0">
      <sharedItems containsNonDate="0" containsBlank="1" count="3">
        <m/>
        <s v="đang TĐC" u="1"/>
        <s v="ĐC do rút đơn" u="1"/>
      </sharedItems>
    </cacheField>
    <cacheField name="Ghi chú khác"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624997" createdVersion="8" refreshedVersion="8" minRefreshableVersion="3" recordCount="269" xr:uid="{04DAC1D2-92D7-4471-829C-B717B94AD219}">
  <cacheSource type="worksheet">
    <worksheetSource ref="W9:Z278" sheet="DS"/>
  </cacheSource>
  <cacheFields count="4">
    <cacheField name="Ghi chú" numFmtId="0">
      <sharedItems containsBlank="1" count="3">
        <m/>
        <s v="ĐC do rút đơn"/>
        <s v="đang TĐC"/>
      </sharedItems>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624997" createdVersion="8" refreshedVersion="8" minRefreshableVersion="3" recordCount="269" xr:uid="{0EE3E697-1BFB-4994-82C6-072942E34970}">
  <cacheSource type="worksheet">
    <worksheetSource ref="T9:Z278" sheet="DS"/>
  </cacheSource>
  <cacheFields count="7">
    <cacheField name="TK tuần" numFmtId="1">
      <sharedItems containsString="0" containsBlank="1" containsNumber="1" minValue="2" maxValue="463" count="35">
        <n v="23"/>
        <n v="30"/>
        <m/>
        <n v="41"/>
        <n v="26"/>
        <n v="2" u="1"/>
        <n v="19" u="1"/>
        <n v="9" u="1"/>
        <n v="24" u="1"/>
        <n v="4" u="1"/>
        <n v="35" u="1"/>
        <n v="25" u="1"/>
        <n v="28" u="1"/>
        <n v="17" u="1"/>
        <n v="31" u="1"/>
        <n v="29" u="1"/>
        <n v="44" u="1"/>
        <n v="38" u="1"/>
        <n v="33" u="1"/>
        <n v="32" u="1"/>
        <n v="40" u="1"/>
        <n v="42" u="1"/>
        <n v="34" u="1"/>
        <n v="36" u="1"/>
        <n v="43" u="1"/>
        <n v="39" u="1"/>
        <n v="49" u="1"/>
        <n v="100" u="1"/>
        <n v="200" u="1"/>
        <n v="463" u="1"/>
        <n v="5.2" u="1"/>
        <n v="14" u="1"/>
        <n v="7" u="1"/>
        <n v="20" u="1"/>
        <n v="11" u="1"/>
      </sharedItems>
    </cacheField>
    <cacheField name="TK tháng" numFmtId="1">
      <sharedItems containsString="0" containsBlank="1" containsNumber="1" containsInteger="1" minValue="4" maxValue="10"/>
    </cacheField>
    <cacheField name="PT RKN" numFmtId="0">
      <sharedItems containsBlank="1" count="3">
        <s v="Đã XX"/>
        <m/>
        <s v="Đã ĐK" u="1"/>
      </sharedItems>
    </cacheField>
    <cacheField name="Ghi chú" numFmtId="0">
      <sharedItems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856482" createdVersion="8" refreshedVersion="8" minRefreshableVersion="3" recordCount="218" xr:uid="{1BE5EABB-140B-4E61-9AC9-99ACD752C5F0}">
  <cacheSource type="worksheet">
    <worksheetSource ref="U9:Z227" sheet="KDTM"/>
  </cacheSource>
  <cacheFields count="6">
    <cacheField name="TK tháng" numFmtId="1">
      <sharedItems containsNonDate="0" containsString="0" containsBlank="1" containsNumber="1" containsInteger="1" minValue="1" maxValue="5" count="4">
        <m/>
        <n v="5" u="1"/>
        <n v="1" u="1"/>
        <n v="4" u="1"/>
      </sharedItems>
    </cacheField>
    <cacheField name="PT RKN" numFmtId="0">
      <sharedItems containsNonDate="0" containsBlank="1" count="3">
        <m/>
        <s v="Đã ĐK" u="1"/>
        <s v="Đã XX" u="1"/>
      </sharedItems>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972221" createdVersion="8" refreshedVersion="8" minRefreshableVersion="3" recordCount="218" xr:uid="{B37EA98E-B907-463A-A0ED-20D221D96319}">
  <cacheSource type="worksheet">
    <worksheetSource ref="W9:Z227" sheet="KDTM"/>
  </cacheSource>
  <cacheFields count="4">
    <cacheField name="Ghi chú" numFmtId="0">
      <sharedItems containsNonDate="0" containsBlank="1" count="2">
        <m/>
        <s v="ĐC do rút đơn" u="1"/>
      </sharedItems>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5972221" createdVersion="8" refreshedVersion="8" minRefreshableVersion="3" recordCount="218" xr:uid="{9D6B1557-07D2-4071-907C-7B4A16F9B360}">
  <cacheSource type="worksheet">
    <worksheetSource ref="T9:Z227" sheet="KDTM"/>
  </cacheSource>
  <cacheFields count="7">
    <cacheField name="TK tuần" numFmtId="1">
      <sharedItems containsNonDate="0" containsString="0" containsBlank="1" containsNumber="1" containsInteger="1" minValue="1" maxValue="11" count="7">
        <m/>
        <n v="5" u="1"/>
        <n v="2" u="1"/>
        <n v="1" u="1"/>
        <n v="3" u="1"/>
        <n v="11" u="1"/>
        <n v="4" u="1"/>
      </sharedItems>
    </cacheField>
    <cacheField name="TK tháng" numFmtId="1">
      <sharedItems containsNonDate="0" containsString="0" containsBlank="1"/>
    </cacheField>
    <cacheField name="PT RKN" numFmtId="0">
      <sharedItems containsNonDate="0" containsBlank="1" count="3">
        <m/>
        <s v="Đã ĐK" u="1"/>
        <s v="Đã XX" u="1"/>
      </sharedItems>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6203705" createdVersion="8" refreshedVersion="8" minRefreshableVersion="3" recordCount="253" xr:uid="{86FD813C-1ABF-4E1C-8A7A-DB3B2905CCB4}">
  <cacheSource type="worksheet">
    <worksheetSource ref="U9:Z262" sheet="LĐ"/>
  </cacheSource>
  <cacheFields count="6">
    <cacheField name="TK tháng" numFmtId="1">
      <sharedItems containsNonDate="0" containsString="0" containsBlank="1" containsNumber="1" containsInteger="1" minValue="2" maxValue="9" count="4">
        <m/>
        <n v="4" u="1"/>
        <n v="9" u="1"/>
        <n v="2" u="1"/>
      </sharedItems>
    </cacheField>
    <cacheField name="PT RKN" numFmtId="0">
      <sharedItems containsNonDate="0" containsBlank="1" count="2">
        <m/>
        <s v="Đã ĐK" u="1"/>
      </sharedItems>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6319444" createdVersion="8" refreshedVersion="8" minRefreshableVersion="3" recordCount="253" xr:uid="{DB4112FD-E560-49C0-BC3E-1C1C35370EBB}">
  <cacheSource type="worksheet">
    <worksheetSource ref="P9:Z262" sheet="LĐ"/>
  </cacheSource>
  <cacheFields count="11">
    <cacheField name="VB giải quyết" numFmtId="0">
      <sharedItems containsNonDate="0" containsBlank="1" count="4">
        <m/>
        <s v="TĐC" u="1"/>
        <s v="BA" u="1"/>
        <s v="CNTT" u="1"/>
      </sharedItems>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TK tuần" numFmtId="1">
      <sharedItems containsNonDate="0" containsString="0" containsBlank="1" containsNumber="1" containsInteger="1" minValue="1" maxValue="44" count="5">
        <m/>
        <n v="19" u="1"/>
        <n v="44" u="1"/>
        <n v="1" u="1"/>
        <n v="3" u="1"/>
      </sharedItems>
    </cacheField>
    <cacheField name="TK tháng" numFmtId="1">
      <sharedItems containsNonDate="0" containsString="0" containsBlank="1"/>
    </cacheField>
    <cacheField name="PT RKN" numFmtId="0">
      <sharedItems containsNonDate="0" containsString="0" containsBlank="1"/>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6319444" createdVersion="8" refreshedVersion="8" minRefreshableVersion="3" recordCount="253" xr:uid="{85DF60A6-E22A-49AB-AA33-099D88DBA94F}">
  <cacheSource type="worksheet">
    <worksheetSource ref="T9:Z262" sheet="LĐ"/>
  </cacheSource>
  <cacheFields count="7">
    <cacheField name="TK tuần" numFmtId="1">
      <sharedItems containsNonDate="0" containsString="0" containsBlank="1" containsNumber="1" containsInteger="1" minValue="1" maxValue="44" count="5">
        <m/>
        <n v="19" u="1"/>
        <n v="44" u="1"/>
        <n v="1" u="1"/>
        <n v="3" u="1"/>
      </sharedItems>
    </cacheField>
    <cacheField name="TK tháng" numFmtId="1">
      <sharedItems containsNonDate="0" containsString="0" containsBlank="1"/>
    </cacheField>
    <cacheField name="PT RKN" numFmtId="0">
      <sharedItems containsNonDate="0" containsBlank="1" count="2">
        <m/>
        <s v="Đã ĐK" u="1"/>
      </sharedItems>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6435182" createdVersion="8" refreshedVersion="8" minRefreshableVersion="3" recordCount="255" xr:uid="{A3FC7F95-5183-43F1-8AD6-5DD52B3391A0}">
  <cacheSource type="worksheet">
    <worksheetSource ref="A9:L264" sheet="HC"/>
  </cacheSource>
  <cacheFields count="12">
    <cacheField name="ẩn" numFmtId="0">
      <sharedItems containsString="0" containsBlank="1" containsNumber="1" containsInteger="1" minValue="1" maxValue="1"/>
    </cacheField>
    <cacheField name="STT" numFmtId="0">
      <sharedItems containsNonDate="0" containsString="0" containsBlank="1"/>
    </cacheField>
    <cacheField name="Loại" numFmtId="0">
      <sharedItems containsNonDate="0" containsBlank="1" count="3">
        <m/>
        <s v="Vụ cũ loại a" u="1"/>
        <s v="Vụ loại b" u="1"/>
      </sharedItems>
    </cacheField>
    <cacheField name="Tên" numFmtId="0">
      <sharedItems containsNonDate="0" containsString="0" containsBlank="1"/>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Số ngày gia hạn" numFmtId="0">
      <sharedItems containsNonDate="0" containsString="0" containsBlank="1"/>
    </cacheField>
    <cacheField name="ngày hết hạn" numFmtId="164">
      <sharedItems/>
    </cacheField>
    <cacheField name="thời hạn còn" numFmtId="0">
      <sharedItems/>
    </cacheField>
    <cacheField name="KSV" numFmtId="0">
      <sharedItems containsNonDate="0" containsString="0" containsBlank="1"/>
    </cacheField>
    <cacheField name="TK tuần" numFmtId="0">
      <sharedItems containsNonDate="0" containsString="0" containsBlank="1" containsNumber="1" containsInteger="1" minValue="1" maxValue="3" count="3">
        <m/>
        <n v="1" u="1"/>
        <n v="3" u="1"/>
      </sharedItems>
    </cacheField>
  </cacheFields>
  <extLst>
    <ext xmlns:x14="http://schemas.microsoft.com/office/spreadsheetml/2009/9/main" uri="{725AE2AE-9491-48be-B2B4-4EB974FC3084}">
      <x14:pivotCacheDefinition/>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6550928" createdVersion="8" refreshedVersion="8" minRefreshableVersion="3" recordCount="255" xr:uid="{DAF10230-4159-4A59-A0D7-CD0AD8007116}">
  <cacheSource type="worksheet">
    <worksheetSource ref="P9:Z264" sheet="HC"/>
  </cacheSource>
  <cacheFields count="11">
    <cacheField name="VB giải quyết" numFmtId="0">
      <sharedItems containsNonDate="0" containsBlank="1" count="3">
        <m/>
        <s v="CN tại tòa" u="1"/>
        <s v="ĐC" u="1"/>
      </sharedItems>
    </cacheField>
    <cacheField name="số" numFmtId="0">
      <sharedItems containsNonDate="0" containsString="0" containsBlank="1"/>
    </cacheField>
    <cacheField name="Ngày ban hành" numFmtId="164">
      <sharedItems containsNonDate="0" containsString="0" containsBlank="1"/>
    </cacheField>
    <cacheField name="Ngày nhận" numFmtId="164">
      <sharedItems containsNonDate="0" containsString="0" containsBlank="1"/>
    </cacheField>
    <cacheField name="TK tuần" numFmtId="1">
      <sharedItems containsNonDate="0" containsString="0" containsBlank="1" containsNumber="1" containsInteger="1" minValue="1" maxValue="4" count="5">
        <m/>
        <n v="2" u="1"/>
        <n v="1" u="1"/>
        <n v="3" u="1"/>
        <n v="4" u="1"/>
      </sharedItems>
    </cacheField>
    <cacheField name="TK tháng" numFmtId="1">
      <sharedItems containsNonDate="0" containsString="0" containsBlank="1"/>
    </cacheField>
    <cacheField name="PT RKN" numFmtId="0">
      <sharedItems containsNonDate="0" containsString="0" containsBlank="1"/>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852.440316550928" createdVersion="8" refreshedVersion="8" minRefreshableVersion="3" recordCount="255" xr:uid="{255FA649-C1C6-4E7C-BA8E-6E0D5AE14DB4}">
  <cacheSource type="worksheet">
    <worksheetSource ref="T9:Z264" sheet="HC"/>
  </cacheSource>
  <cacheFields count="7">
    <cacheField name="TK tuần" numFmtId="1">
      <sharedItems containsNonDate="0" containsString="0" containsBlank="1" containsNumber="1" containsInteger="1" minValue="1" maxValue="4" count="5">
        <m/>
        <n v="2" u="1"/>
        <n v="1" u="1"/>
        <n v="3" u="1"/>
        <n v="4" u="1"/>
      </sharedItems>
    </cacheField>
    <cacheField name="TK tháng" numFmtId="1">
      <sharedItems containsNonDate="0" containsString="0" containsBlank="1"/>
    </cacheField>
    <cacheField name="PT RKN" numFmtId="0">
      <sharedItems containsNonDate="0" containsBlank="1" count="2">
        <m/>
        <s v="Đã XX" u="1"/>
      </sharedItems>
    </cacheField>
    <cacheField name="Ghi chú" numFmtId="0">
      <sharedItems containsNonDate="0" containsString="0" containsBlank="1"/>
    </cacheField>
    <cacheField name="Thời hạn gửi TBTL, QĐ tiếp tục, QĐ hòa giải thành" numFmtId="0">
      <sharedItems/>
    </cacheField>
    <cacheField name="Thời hạn gửi các QĐ,BA" numFmtId="0">
      <sharedItems/>
    </cacheField>
    <cacheField name="ẩn"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3">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9">
  <r>
    <x v="0"/>
    <x v="0"/>
    <m/>
    <s v=""/>
    <s v=""/>
    <n v="1"/>
  </r>
  <r>
    <x v="1"/>
    <x v="1"/>
    <s v="ĐC do rút đơn"/>
    <s v="Quá hạn 2 ngày"/>
    <s v="Quá hạn 3 ngày"/>
    <n v="1"/>
  </r>
  <r>
    <x v="1"/>
    <x v="1"/>
    <m/>
    <s v=""/>
    <s v=""/>
    <n v="1"/>
  </r>
  <r>
    <x v="2"/>
    <x v="1"/>
    <m/>
    <s v=""/>
    <s v=""/>
    <n v="1"/>
  </r>
  <r>
    <x v="3"/>
    <x v="1"/>
    <m/>
    <s v="Quá hạn 2 ngày"/>
    <s v=""/>
    <n v="1"/>
  </r>
  <r>
    <x v="4"/>
    <x v="1"/>
    <s v="đang TĐC"/>
    <s v="Quá hạn 2 ngày"/>
    <s v=""/>
    <n v="1"/>
  </r>
  <r>
    <x v="4"/>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r>
    <x v="2"/>
    <x v="1"/>
    <m/>
    <s v=""/>
    <s v=""/>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6">
  <r>
    <n v="1"/>
    <n v="1"/>
    <x v="0"/>
    <s v="A-B"/>
    <n v="1"/>
    <d v="2025-02-02T00:00:00"/>
    <d v="2025-02-02T00:00:00"/>
    <m/>
    <d v="2025-06-02T00:00:00"/>
    <s v=""/>
    <s v="VD Ninh"/>
    <n v="3"/>
    <x v="0"/>
  </r>
  <r>
    <n v="1"/>
    <n v="2"/>
    <x v="0"/>
    <s v="C-D"/>
    <n v="2"/>
    <d v="2025-03-02T00:00:00"/>
    <d v="2025-03-10T00:00:00"/>
    <m/>
    <d v="2025-07-02T00:00:00"/>
    <s v=""/>
    <s v="N Dũng"/>
    <n v="8"/>
    <x v="1"/>
  </r>
  <r>
    <n v="1"/>
    <n v="3"/>
    <x v="1"/>
    <s v="E-F"/>
    <n v="3"/>
    <d v="2025-04-03T00:00:00"/>
    <d v="2025-04-04T00:00:00"/>
    <m/>
    <d v="2025-05-03T00:00:00"/>
    <s v=""/>
    <s v="T Dũng"/>
    <n v="9"/>
    <x v="2"/>
  </r>
  <r>
    <n v="1"/>
    <n v="4"/>
    <x v="1"/>
    <s v="G-H"/>
    <n v="4"/>
    <d v="2025-05-04T00:00:00"/>
    <d v="2025-05-06T00:00:00"/>
    <m/>
    <d v="2025-06-04T00:00:00"/>
    <n v="-39"/>
    <s v="Việt"/>
    <n v="15"/>
    <x v="3"/>
  </r>
  <r>
    <n v="1"/>
    <n v="5"/>
    <x v="2"/>
    <s v="I-K"/>
    <n v="5"/>
    <d v="2025-06-05T00:00:00"/>
    <d v="2025-06-12T00:00:00"/>
    <m/>
    <d v="2025-10-05T00:00:00"/>
    <s v=""/>
    <s v="V Anh"/>
    <n v="23"/>
    <x v="4"/>
  </r>
  <r>
    <n v="1"/>
    <n v="6"/>
    <x v="2"/>
    <s v="L-M"/>
    <n v="6"/>
    <d v="2025-07-06T00:00:00"/>
    <d v="2025-07-14T00:00:00"/>
    <m/>
    <d v="2025-11-06T00:00:00"/>
    <s v=""/>
    <s v="VD Ninh"/>
    <n v="27"/>
    <x v="5"/>
  </r>
  <r>
    <n v="1"/>
    <n v="7"/>
    <x v="3"/>
    <s v="N-O"/>
    <n v="7"/>
    <d v="2025-07-13T00:00:00"/>
    <d v="2025-07-14T00:00:00"/>
    <m/>
    <d v="2025-08-13T00:00:00"/>
    <s v=""/>
    <s v="P Huyền"/>
    <n v="28"/>
    <x v="5"/>
  </r>
  <r>
    <n v="1"/>
    <n v="8"/>
    <x v="3"/>
    <s v="P-Q"/>
    <n v="8"/>
    <d v="2025-07-14T00:00:00"/>
    <d v="2025-07-14T00:00:00"/>
    <m/>
    <d v="2025-08-14T00:00:00"/>
    <n v="32"/>
    <s v="Chinh"/>
    <n v="28"/>
    <x v="5"/>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r>
    <n v="1"/>
    <m/>
    <x v="4"/>
    <m/>
    <m/>
    <m/>
    <m/>
    <m/>
    <s v=""/>
    <s v=""/>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x v="0"/>
    <n v="12"/>
    <d v="2025-04-02T00:00:00"/>
    <d v="2025-04-03T00:00:00"/>
    <n v="23"/>
    <x v="0"/>
    <s v="Đã XX"/>
    <m/>
    <s v=""/>
    <s v=""/>
    <n v="1"/>
  </r>
  <r>
    <x v="1"/>
    <n v="34"/>
    <d v="2025-05-10T00:00:00"/>
    <d v="2025-05-20T00:00:00"/>
    <n v="30"/>
    <x v="1"/>
    <m/>
    <s v="ĐC do rút đơn"/>
    <s v="Quá hạn 2 ngày"/>
    <s v="Quá hạn 3 ngày"/>
    <n v="1"/>
  </r>
  <r>
    <x v="2"/>
    <n v="56"/>
    <d v="2025-05-03T00:00:00"/>
    <d v="2025-05-04T00:00:00"/>
    <m/>
    <x v="1"/>
    <m/>
    <m/>
    <s v=""/>
    <s v=""/>
    <n v="1"/>
  </r>
  <r>
    <x v="3"/>
    <n v="78"/>
    <m/>
    <m/>
    <m/>
    <x v="2"/>
    <m/>
    <m/>
    <s v=""/>
    <s v=""/>
    <n v="1"/>
  </r>
  <r>
    <x v="4"/>
    <n v="54"/>
    <d v="2025-10-01T00:00:00"/>
    <d v="2025-10-02T00:00:00"/>
    <n v="41"/>
    <x v="3"/>
    <m/>
    <m/>
    <s v="Quá hạn 2 ngày"/>
    <s v=""/>
    <n v="1"/>
  </r>
  <r>
    <x v="5"/>
    <n v="22"/>
    <d v="2025-07-19T00:00:00"/>
    <d v="2025-07-20T00:00:00"/>
    <n v="26"/>
    <x v="4"/>
    <m/>
    <s v="đang TĐC"/>
    <s v="Quá hạn 2 ngày"/>
    <s v=""/>
    <n v="1"/>
  </r>
  <r>
    <x v="2"/>
    <n v="74"/>
    <d v="2025-07-19T00:00:00"/>
    <d v="2025-07-20T00:00:00"/>
    <n v="26"/>
    <x v="4"/>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r>
    <x v="3"/>
    <m/>
    <m/>
    <m/>
    <m/>
    <x v="2"/>
    <m/>
    <m/>
    <s v=""/>
    <s v=""/>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9">
  <r>
    <n v="1"/>
    <n v="1"/>
    <s v="Vụ cũ"/>
    <s v="A-B"/>
    <n v="1"/>
    <d v="2025-02-02T00:00:00"/>
    <d v="2025-02-02T00:00:00"/>
    <m/>
    <d v="2025-06-02T00:00:00"/>
    <s v=""/>
    <s v="VD Ninh"/>
    <n v="3"/>
    <n v="2"/>
    <m/>
    <m/>
    <x v="0"/>
    <n v="12"/>
    <d v="2025-04-02T00:00:00"/>
    <d v="2025-04-03T00:00:00"/>
    <x v="0"/>
  </r>
  <r>
    <n v="1"/>
    <n v="2"/>
    <s v="Vụ cũ"/>
    <s v="C-D"/>
    <n v="2"/>
    <d v="2025-03-02T00:00:00"/>
    <d v="2025-03-10T00:00:00"/>
    <m/>
    <d v="2025-07-02T00:00:00"/>
    <s v=""/>
    <s v="N Dũng"/>
    <n v="8"/>
    <n v="3"/>
    <m/>
    <m/>
    <x v="1"/>
    <n v="34"/>
    <d v="2025-05-10T00:00:00"/>
    <d v="2025-05-20T00:00:00"/>
    <x v="1"/>
  </r>
  <r>
    <n v="1"/>
    <n v="3"/>
    <s v="Việc cũ"/>
    <s v="E-F"/>
    <n v="3"/>
    <d v="2025-04-03T00:00:00"/>
    <d v="2025-04-04T00:00:00"/>
    <m/>
    <d v="2025-05-03T00:00:00"/>
    <s v=""/>
    <s v="T Dũng"/>
    <n v="9"/>
    <n v="4"/>
    <m/>
    <m/>
    <x v="2"/>
    <n v="56"/>
    <d v="2025-05-03T00:00:00"/>
    <d v="2025-05-04T00:00:00"/>
    <x v="2"/>
  </r>
  <r>
    <n v="1"/>
    <n v="4"/>
    <s v="Việc cũ"/>
    <s v="G-H"/>
    <n v="4"/>
    <d v="2025-05-04T00:00:00"/>
    <d v="2025-05-06T00:00:00"/>
    <m/>
    <d v="2025-06-04T00:00:00"/>
    <n v="-39"/>
    <s v="Việt"/>
    <n v="15"/>
    <n v="5"/>
    <m/>
    <m/>
    <x v="3"/>
    <n v="78"/>
    <m/>
    <m/>
    <x v="2"/>
  </r>
  <r>
    <n v="1"/>
    <n v="5"/>
    <s v="Vụ"/>
    <s v="I-K"/>
    <n v="5"/>
    <d v="2025-06-05T00:00:00"/>
    <d v="2025-06-12T00:00:00"/>
    <m/>
    <d v="2025-10-05T00:00:00"/>
    <s v=""/>
    <s v="V Anh"/>
    <n v="23"/>
    <n v="6"/>
    <m/>
    <m/>
    <x v="4"/>
    <n v="54"/>
    <d v="2025-10-01T00:00:00"/>
    <d v="2025-10-02T00:00:00"/>
    <x v="3"/>
  </r>
  <r>
    <n v="1"/>
    <n v="6"/>
    <s v="Vụ"/>
    <s v="L-M"/>
    <n v="6"/>
    <d v="2025-07-06T00:00:00"/>
    <d v="2025-07-14T00:00:00"/>
    <m/>
    <d v="2025-11-06T00:00:00"/>
    <s v=""/>
    <s v="VD Ninh"/>
    <n v="27"/>
    <n v="7"/>
    <m/>
    <m/>
    <x v="5"/>
    <n v="22"/>
    <d v="2025-07-19T00:00:00"/>
    <d v="2025-07-20T00:00:00"/>
    <x v="4"/>
  </r>
  <r>
    <n v="1"/>
    <n v="7"/>
    <s v="Việc"/>
    <s v="N-O"/>
    <n v="7"/>
    <d v="2025-07-13T00:00:00"/>
    <d v="2025-07-14T00:00:00"/>
    <m/>
    <d v="2025-08-13T00:00:00"/>
    <s v=""/>
    <s v="P Huyền"/>
    <n v="28"/>
    <n v="7"/>
    <m/>
    <m/>
    <x v="2"/>
    <n v="74"/>
    <d v="2025-07-19T00:00:00"/>
    <d v="2025-07-20T00:00:00"/>
    <x v="4"/>
  </r>
  <r>
    <n v="1"/>
    <n v="8"/>
    <s v="Việc"/>
    <s v="P-Q"/>
    <n v="8"/>
    <d v="2025-07-14T00:00:00"/>
    <d v="2025-07-14T00:00:00"/>
    <m/>
    <d v="2025-08-14T00:00:00"/>
    <n v="32"/>
    <s v="Chinh"/>
    <n v="28"/>
    <n v="7"/>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n v="1"/>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r>
    <m/>
    <m/>
    <m/>
    <m/>
    <m/>
    <m/>
    <m/>
    <m/>
    <s v=""/>
    <s v=""/>
    <m/>
    <m/>
    <m/>
    <m/>
    <m/>
    <x v="3"/>
    <m/>
    <m/>
    <m/>
    <x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9">
  <r>
    <n v="1"/>
    <n v="1"/>
    <x v="0"/>
    <s v="A-B"/>
    <n v="1"/>
    <d v="2025-02-02T00:00:00"/>
    <d v="2025-02-02T00:00:00"/>
    <m/>
    <d v="2025-06-02T00:00:00"/>
    <s v=""/>
    <s v="VD Ninh"/>
    <x v="0"/>
  </r>
  <r>
    <n v="1"/>
    <n v="2"/>
    <x v="0"/>
    <s v="C-D"/>
    <n v="2"/>
    <d v="2025-03-02T00:00:00"/>
    <d v="2025-03-10T00:00:00"/>
    <m/>
    <d v="2025-07-02T00:00:00"/>
    <s v=""/>
    <s v="N Dũng"/>
    <x v="1"/>
  </r>
  <r>
    <n v="1"/>
    <n v="3"/>
    <x v="1"/>
    <s v="E-F"/>
    <n v="3"/>
    <d v="2025-04-03T00:00:00"/>
    <d v="2025-04-04T00:00:00"/>
    <m/>
    <d v="2025-05-03T00:00:00"/>
    <s v=""/>
    <s v="T Dũng"/>
    <x v="2"/>
  </r>
  <r>
    <n v="1"/>
    <n v="4"/>
    <x v="1"/>
    <s v="G-H"/>
    <n v="4"/>
    <d v="2025-05-04T00:00:00"/>
    <d v="2025-05-06T00:00:00"/>
    <m/>
    <d v="2025-06-04T00:00:00"/>
    <n v="-39"/>
    <s v="Việt"/>
    <x v="3"/>
  </r>
  <r>
    <n v="1"/>
    <n v="5"/>
    <x v="2"/>
    <s v="I-K"/>
    <n v="5"/>
    <d v="2025-06-05T00:00:00"/>
    <d v="2025-06-12T00:00:00"/>
    <m/>
    <d v="2025-10-05T00:00:00"/>
    <s v=""/>
    <s v="V Anh"/>
    <x v="4"/>
  </r>
  <r>
    <n v="1"/>
    <n v="6"/>
    <x v="2"/>
    <s v="L-M"/>
    <n v="6"/>
    <d v="2025-07-06T00:00:00"/>
    <d v="2025-07-14T00:00:00"/>
    <m/>
    <d v="2025-11-06T00:00:00"/>
    <s v=""/>
    <s v="VD Ninh"/>
    <x v="5"/>
  </r>
  <r>
    <n v="1"/>
    <n v="7"/>
    <x v="3"/>
    <s v="N-O"/>
    <n v="7"/>
    <d v="2025-07-13T00:00:00"/>
    <d v="2025-07-14T00:00:00"/>
    <m/>
    <d v="2025-08-13T00:00:00"/>
    <s v=""/>
    <s v="P Huyền"/>
    <x v="6"/>
  </r>
  <r>
    <n v="1"/>
    <n v="8"/>
    <x v="3"/>
    <s v="P-Q"/>
    <n v="8"/>
    <d v="2025-07-14T00:00:00"/>
    <d v="2025-07-14T00:00:00"/>
    <m/>
    <d v="2025-08-14T00:00:00"/>
    <n v="32"/>
    <s v="Chinh"/>
    <x v="6"/>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n v="1"/>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r>
    <m/>
    <m/>
    <x v="4"/>
    <m/>
    <m/>
    <m/>
    <m/>
    <m/>
    <s v=""/>
    <s v=""/>
    <m/>
    <x v="7"/>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r>
    <m/>
    <m/>
    <x v="0"/>
    <m/>
    <m/>
    <m/>
    <m/>
    <x v="0"/>
    <m/>
    <m/>
    <m/>
    <s v=""/>
    <s v=""/>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r>
    <x v="0"/>
    <m/>
    <m/>
    <m/>
    <m/>
    <x v="0"/>
    <m/>
    <m/>
    <s v=""/>
    <s v=""/>
    <n v="1"/>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pivotCacheRecords>
</file>

<file path=xl/pivotCache/pivotCacheRecords1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r>
    <n v="1"/>
    <m/>
    <x v="0"/>
    <m/>
    <m/>
    <m/>
    <m/>
    <m/>
    <s v=""/>
    <s v=""/>
    <m/>
    <m/>
    <x v="0"/>
  </r>
</pivotCacheRecords>
</file>

<file path=xl/pivotCache/pivotCacheRecords1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pivotCacheRecords>
</file>

<file path=xl/pivotCache/pivotCacheRecords1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pivotCacheRecords>
</file>

<file path=xl/pivotCache/pivotCacheRecords2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3">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r>
    <m/>
    <m/>
    <x v="0"/>
    <m/>
    <m/>
    <m/>
    <m/>
    <m/>
    <s v=""/>
    <s v=""/>
    <m/>
    <x v="0"/>
  </r>
</pivotCacheRecords>
</file>

<file path=xl/pivotCache/pivotCacheRecords2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r>
    <n v="1"/>
    <m/>
    <m/>
    <m/>
    <m/>
    <m/>
    <m/>
    <m/>
    <s v=""/>
    <s v=""/>
    <m/>
    <m/>
    <m/>
    <m/>
    <m/>
    <x v="0"/>
    <m/>
    <m/>
    <m/>
    <x v="0"/>
  </r>
</pivotCacheRecords>
</file>

<file path=xl/pivotCache/pivotCacheRecords2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r>
    <n v="1"/>
    <m/>
    <m/>
    <m/>
    <m/>
    <m/>
    <m/>
    <m/>
    <s v=""/>
    <s v=""/>
    <m/>
    <m/>
    <m/>
    <m/>
    <m/>
    <m/>
    <m/>
    <m/>
    <m/>
    <x v="0"/>
    <m/>
    <x v="0"/>
  </r>
</pivotCacheRecords>
</file>

<file path=xl/pivotCache/pivotCacheRecords2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r>
    <x v="0"/>
    <x v="0"/>
    <m/>
    <m/>
    <s v=""/>
    <s v=""/>
    <n v="1"/>
  </r>
</pivotCacheRecords>
</file>

<file path=xl/pivotCache/pivotCacheRecords2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r>
    <m/>
    <x v="0"/>
    <m/>
    <s v=""/>
    <s v=""/>
    <n v="1"/>
  </r>
</pivotCacheRecords>
</file>

<file path=xl/pivotCache/pivotCacheRecords2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9">
  <r>
    <x v="0"/>
    <s v=""/>
    <s v=""/>
    <n v="1"/>
  </r>
  <r>
    <x v="1"/>
    <s v="Quá hạn 2 ngày"/>
    <s v="Quá hạn 3 ngày"/>
    <n v="1"/>
  </r>
  <r>
    <x v="0"/>
    <s v=""/>
    <s v=""/>
    <n v="1"/>
  </r>
  <r>
    <x v="0"/>
    <s v=""/>
    <s v=""/>
    <n v="1"/>
  </r>
  <r>
    <x v="0"/>
    <s v="Quá hạn 2 ngày"/>
    <s v=""/>
    <n v="1"/>
  </r>
  <r>
    <x v="2"/>
    <s v="Quá hạn 2 ngày"/>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pivotCacheRecords>
</file>

<file path=xl/pivotCache/pivotCacheRecords2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9">
  <r>
    <x v="0"/>
    <n v="4"/>
    <x v="0"/>
    <m/>
    <s v=""/>
    <s v=""/>
    <n v="1"/>
  </r>
  <r>
    <x v="1"/>
    <n v="5"/>
    <x v="1"/>
    <s v="ĐC do rút đơn"/>
    <s v="Quá hạn 2 ngày"/>
    <s v="Quá hạn 3 ngày"/>
    <n v="1"/>
  </r>
  <r>
    <x v="2"/>
    <n v="5"/>
    <x v="1"/>
    <m/>
    <s v=""/>
    <s v=""/>
    <n v="1"/>
  </r>
  <r>
    <x v="2"/>
    <m/>
    <x v="1"/>
    <m/>
    <s v=""/>
    <s v=""/>
    <n v="1"/>
  </r>
  <r>
    <x v="3"/>
    <n v="10"/>
    <x v="1"/>
    <m/>
    <s v="Quá hạn 2 ngày"/>
    <s v=""/>
    <n v="1"/>
  </r>
  <r>
    <x v="4"/>
    <n v="7"/>
    <x v="1"/>
    <s v="đang TĐC"/>
    <s v="Quá hạn 2 ngày"/>
    <s v=""/>
    <n v="1"/>
  </r>
  <r>
    <x v="4"/>
    <n v="7"/>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r>
    <x v="2"/>
    <m/>
    <x v="1"/>
    <m/>
    <s v=""/>
    <s v=""/>
    <n v="1"/>
  </r>
</pivotCacheRecords>
</file>

<file path=xl/pivotCache/pivotCacheRecords2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pivotCacheRecords>
</file>

<file path=xl/pivotCache/pivotCacheRecords2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r>
    <x v="0"/>
    <s v=""/>
    <s v=""/>
    <n v="1"/>
  </r>
</pivotCacheRecords>
</file>

<file path=xl/pivotCache/pivotCacheRecords2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8">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pivotCacheRecords>
</file>

<file path=xl/pivotCache/pivotCacheRecords3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3">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r>
    <x v="0"/>
    <x v="0"/>
    <m/>
    <s v=""/>
    <s v=""/>
    <n v="1"/>
  </r>
</pivotCacheRecords>
</file>

<file path=xl/pivotCache/pivotCacheRecords3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3">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pivotCacheRecords>
</file>

<file path=xl/pivotCache/pivotCacheRecords3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3">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pivotCacheRecords>
</file>

<file path=xl/pivotCache/pivotCacheRecords3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n v="1"/>
    <m/>
    <x v="0"/>
    <m/>
    <m/>
    <m/>
    <m/>
    <m/>
    <s v=""/>
    <s v=""/>
    <m/>
    <x v="0"/>
  </r>
  <r>
    <m/>
    <m/>
    <x v="0"/>
    <m/>
    <m/>
    <m/>
    <m/>
    <m/>
    <s v=""/>
    <s v=""/>
    <m/>
    <x v="0"/>
  </r>
</pivotCacheRecords>
</file>

<file path=xl/pivotCache/pivotCacheRecords3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r>
    <x v="0"/>
    <m/>
    <m/>
    <m/>
    <x v="0"/>
    <m/>
    <m/>
    <m/>
    <s v=""/>
    <s v=""/>
    <n v="1"/>
  </r>
</pivotCacheRecords>
</file>

<file path=xl/pivotCache/pivotCacheRecords3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5">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r>
    <x v="0"/>
    <m/>
    <x v="0"/>
    <m/>
    <s v=""/>
    <s v=""/>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0A6181-F00E-432B-92C8-BABD21CDF025}" name="PivotTable14" cacheId="22"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háng">
  <location ref="B38:C40" firstHeaderRow="1" firstDataRow="2" firstDataCol="1"/>
  <pivotFields count="7">
    <pivotField axis="axisCol" showAll="0">
      <items count="16">
        <item m="1" x="1"/>
        <item m="1" x="2"/>
        <item m="1" x="3"/>
        <item m="1" x="6"/>
        <item m="1" x="4"/>
        <item x="0"/>
        <item m="1" x="5"/>
        <item m="1" x="8"/>
        <item m="1" x="7"/>
        <item m="1" x="9"/>
        <item m="1" x="10"/>
        <item m="1" x="11"/>
        <item m="1" x="12"/>
        <item m="1" x="13"/>
        <item m="1" x="14"/>
        <item t="default"/>
      </items>
    </pivotField>
    <pivotField axis="axisRow" showAll="0">
      <items count="4">
        <item m="1" x="2"/>
        <item x="0"/>
        <item m="1" x="1"/>
        <item t="default"/>
      </items>
    </pivotField>
    <pivotField showAll="0"/>
    <pivotField showAll="0"/>
    <pivotField showAll="0"/>
    <pivotField showAll="0"/>
    <pivotField dataField="1" showAll="0"/>
  </pivotFields>
  <rowFields count="1">
    <field x="1"/>
  </rowFields>
  <rowItems count="1">
    <i t="grand">
      <x/>
    </i>
  </rowItems>
  <colFields count="1">
    <field x="0"/>
  </colFields>
  <colItems count="1">
    <i t="grand">
      <x/>
    </i>
  </colItems>
  <dataFields count="1">
    <dataField name="PT 08" fld="6" baseField="0" baseItem="0"/>
  </dataFields>
  <formats count="6">
    <format dxfId="514">
      <pivotArea type="all" dataOnly="0" outline="0" fieldPosition="0"/>
    </format>
    <format dxfId="513">
      <pivotArea type="all" dataOnly="0" outline="0" fieldPosition="0"/>
    </format>
    <format dxfId="512">
      <pivotArea type="all" dataOnly="0" outline="0" fieldPosition="0"/>
    </format>
    <format dxfId="511">
      <pivotArea type="all" dataOnly="0" outline="0" fieldPosition="0"/>
    </format>
    <format dxfId="510">
      <pivotArea type="all" dataOnly="0" outline="0" fieldPosition="0"/>
    </format>
    <format dxfId="509">
      <pivotArea type="all" dataOnly="0" outline="0" fieldPosition="0"/>
    </format>
  </formats>
  <pivotTableStyleInfo name="PivotStyleMedium9" showRowHeaders="1" showColHeaders="1" showRowStripes="0" showColStripes="0" showLastColumn="1"/>
  <filters count="2">
    <filter fld="1"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2A8B12-E6D5-4AD2-B952-9993D2A58A30}" name="PivotTable2" cacheId="8"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26:C28" firstHeaderRow="1" firstDataRow="2" firstDataCol="1"/>
  <pivotFields count="14">
    <pivotField showAll="0"/>
    <pivotField showAll="0"/>
    <pivotField axis="axisRow" showAll="0">
      <items count="9">
        <item m="1" x="3"/>
        <item m="1" x="1"/>
        <item m="1" x="4"/>
        <item x="0"/>
        <item m="1" x="7"/>
        <item m="1" x="5"/>
        <item m="1" x="6"/>
        <item m="1" x="2"/>
        <item t="default"/>
      </items>
    </pivotField>
    <pivotField showAll="0"/>
    <pivotField showAll="0"/>
    <pivotField showAll="0"/>
    <pivotField showAll="0"/>
    <pivotField axis="axisCol" showAll="0" sortType="ascending">
      <items count="16">
        <item m="1" x="1"/>
        <item m="1" x="2"/>
        <item m="1" x="3"/>
        <item m="1" x="6"/>
        <item m="1" x="5"/>
        <item m="1" x="8"/>
        <item m="1" x="7"/>
        <item m="1" x="9"/>
        <item m="1" x="10"/>
        <item m="1" x="11"/>
        <item m="1" x="12"/>
        <item m="1" x="4"/>
        <item m="1" x="13"/>
        <item m="1" x="14"/>
        <item x="0"/>
        <item t="default"/>
      </items>
    </pivotField>
    <pivotField showAll="0"/>
    <pivotField showAll="0"/>
    <pivotField showAll="0"/>
    <pivotField showAll="0"/>
    <pivotField showAll="0"/>
    <pivotField dataField="1" showAll="0"/>
  </pivotFields>
  <rowFields count="1">
    <field x="2"/>
  </rowFields>
  <rowItems count="1">
    <i t="grand">
      <x/>
    </i>
  </rowItems>
  <colFields count="1">
    <field x="7"/>
  </colFields>
  <colItems count="1">
    <i t="grand">
      <x/>
    </i>
  </colItems>
  <dataFields count="1">
    <dataField name="TK giải quyết" fld="13" subtotal="count" baseField="2" baseItem="0"/>
  </dataFields>
  <formats count="25">
    <format dxfId="539">
      <pivotArea type="all" dataOnly="0" outline="0" fieldPosition="0"/>
    </format>
    <format dxfId="538">
      <pivotArea type="all" dataOnly="0" outline="0" fieldPosition="0"/>
    </format>
    <format dxfId="537">
      <pivotArea type="all" dataOnly="0" outline="0" fieldPosition="0"/>
    </format>
    <format dxfId="536">
      <pivotArea type="all" dataOnly="0" outline="0" fieldPosition="0"/>
    </format>
    <format dxfId="535">
      <pivotArea type="all" dataOnly="0" outline="0" fieldPosition="0"/>
    </format>
    <format dxfId="534">
      <pivotArea outline="0" collapsedLevelsAreSubtotals="1" fieldPosition="0"/>
    </format>
    <format dxfId="533">
      <pivotArea type="origin" dataOnly="0" labelOnly="1" outline="0" fieldPosition="0"/>
    </format>
    <format dxfId="532">
      <pivotArea field="7" type="button" dataOnly="0" labelOnly="1" outline="0" axis="axisCol" fieldPosition="0"/>
    </format>
    <format dxfId="531">
      <pivotArea type="topRight" dataOnly="0" labelOnly="1" outline="0" fieldPosition="0"/>
    </format>
    <format dxfId="530">
      <pivotArea field="2" type="button" dataOnly="0" labelOnly="1" outline="0" axis="axisRow" fieldPosition="0"/>
    </format>
    <format dxfId="529">
      <pivotArea dataOnly="0" labelOnly="1" fieldPosition="0">
        <references count="1">
          <reference field="2" count="3">
            <x v="0"/>
            <x v="1"/>
            <x v="2"/>
          </reference>
        </references>
      </pivotArea>
    </format>
    <format dxfId="528">
      <pivotArea dataOnly="0" labelOnly="1" grandRow="1" outline="0" fieldPosition="0"/>
    </format>
    <format dxfId="527">
      <pivotArea dataOnly="0" labelOnly="1" fieldPosition="0">
        <references count="1">
          <reference field="7" count="3">
            <x v="0"/>
            <x v="1"/>
            <x v="11"/>
          </reference>
        </references>
      </pivotArea>
    </format>
    <format dxfId="526">
      <pivotArea dataOnly="0" labelOnly="1" grandCol="1" outline="0" fieldPosition="0"/>
    </format>
    <format dxfId="525">
      <pivotArea type="all" dataOnly="0" outline="0" fieldPosition="0"/>
    </format>
    <format dxfId="524">
      <pivotArea type="all" dataOnly="0" outline="0" fieldPosition="0"/>
    </format>
    <format dxfId="523">
      <pivotArea outline="0" collapsedLevelsAreSubtotals="1" fieldPosition="0"/>
    </format>
    <format dxfId="522">
      <pivotArea type="origin" dataOnly="0" labelOnly="1" outline="0" fieldPosition="0"/>
    </format>
    <format dxfId="521">
      <pivotArea field="7" type="button" dataOnly="0" labelOnly="1" outline="0" axis="axisCol" fieldPosition="0"/>
    </format>
    <format dxfId="520">
      <pivotArea type="topRight" dataOnly="0" labelOnly="1" outline="0" fieldPosition="0"/>
    </format>
    <format dxfId="519">
      <pivotArea field="2" type="button" dataOnly="0" labelOnly="1" outline="0" axis="axisRow" fieldPosition="0"/>
    </format>
    <format dxfId="518">
      <pivotArea dataOnly="0" labelOnly="1" fieldPosition="0">
        <references count="1">
          <reference field="2" count="3">
            <x v="0"/>
            <x v="1"/>
            <x v="2"/>
          </reference>
        </references>
      </pivotArea>
    </format>
    <format dxfId="517">
      <pivotArea dataOnly="0" labelOnly="1" grandRow="1" outline="0" fieldPosition="0"/>
    </format>
    <format dxfId="516">
      <pivotArea dataOnly="0" labelOnly="1" fieldPosition="0">
        <references count="1">
          <reference field="7" count="4">
            <x v="0"/>
            <x v="1"/>
            <x v="2"/>
            <x v="11"/>
          </reference>
        </references>
      </pivotArea>
    </format>
    <format dxfId="515">
      <pivotArea dataOnly="0" labelOnly="1" grandCol="1" outline="0" fieldPosition="0"/>
    </format>
  </formats>
  <pivotTableStyleInfo name="PivotStyleMedium9" showRowHeaders="1" showColHeaders="1" showRowStripes="0" showColStripes="0" showLastColumn="1"/>
  <filters count="2">
    <filter fld="7" type="captionNotContains" evalOrder="-1" id="2" stringValue1="trống">
      <autoFilter ref="A1">
        <filterColumn colId="0">
          <customFilters>
            <customFilter operator="notEqual" val="*trống*"/>
          </customFilters>
        </filterColumn>
      </autoFilter>
    </filter>
    <filter fld="2"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B361AF-7892-4BD5-BAA1-647A98D2C25D}" name="PivotTable1" cacheId="9"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việc" colHeaderCaption="Tháng">
  <location ref="B8:C10" firstHeaderRow="1" firstDataRow="2" firstDataCol="1"/>
  <pivotFields count="13">
    <pivotField dataField="1" showAll="0"/>
    <pivotField showAll="0"/>
    <pivotField axis="axisRow" showAll="0">
      <items count="12">
        <item m="1" x="6"/>
        <item m="1" x="10"/>
        <item m="1" x="7"/>
        <item m="1" x="3"/>
        <item m="1" x="1"/>
        <item x="0"/>
        <item m="1" x="4"/>
        <item m="1" x="9"/>
        <item m="1" x="2"/>
        <item m="1" x="8"/>
        <item m="1" x="5"/>
        <item t="default"/>
      </items>
    </pivotField>
    <pivotField showAll="0"/>
    <pivotField showAll="0"/>
    <pivotField showAll="0"/>
    <pivotField showAll="0"/>
    <pivotField showAll="0"/>
    <pivotField showAll="0"/>
    <pivotField showAll="0"/>
    <pivotField showAll="0"/>
    <pivotField showAll="0"/>
    <pivotField axis="axisCol" showAll="0" sortType="ascending">
      <items count="16">
        <item m="1" x="2"/>
        <item m="1" x="3"/>
        <item m="1" x="5"/>
        <item m="1" x="6"/>
        <item m="1" x="7"/>
        <item m="1" x="8"/>
        <item m="1" x="1"/>
        <item m="1" x="9"/>
        <item m="1" x="10"/>
        <item m="1" x="11"/>
        <item m="1" x="12"/>
        <item m="1" x="4"/>
        <item m="1" x="13"/>
        <item m="1" x="14"/>
        <item x="0"/>
        <item t="default"/>
      </items>
    </pivotField>
  </pivotFields>
  <rowFields count="1">
    <field x="2"/>
  </rowFields>
  <rowItems count="1">
    <i t="grand">
      <x/>
    </i>
  </rowItems>
  <colFields count="1">
    <field x="12"/>
  </colFields>
  <colItems count="1">
    <i t="grand">
      <x/>
    </i>
  </colItems>
  <dataFields count="1">
    <dataField name="TK thụ lý" fld="0" subtotal="count" baseField="2" baseItem="0"/>
  </dataFields>
  <formats count="26">
    <format dxfId="565">
      <pivotArea type="all" dataOnly="0" outline="0" fieldPosition="0"/>
    </format>
    <format dxfId="564">
      <pivotArea type="all" dataOnly="0" outline="0" fieldPosition="0"/>
    </format>
    <format dxfId="563">
      <pivotArea type="all" dataOnly="0" outline="0" fieldPosition="0"/>
    </format>
    <format dxfId="562">
      <pivotArea type="all" dataOnly="0" outline="0" fieldPosition="0"/>
    </format>
    <format dxfId="561">
      <pivotArea type="all" dataOnly="0" outline="0" fieldPosition="0"/>
    </format>
    <format dxfId="560">
      <pivotArea outline="0" collapsedLevelsAreSubtotals="1" fieldPosition="0"/>
    </format>
    <format dxfId="559">
      <pivotArea type="origin" dataOnly="0" labelOnly="1" outline="0" fieldPosition="0"/>
    </format>
    <format dxfId="558">
      <pivotArea field="12" type="button" dataOnly="0" labelOnly="1" outline="0" axis="axisCol" fieldPosition="0"/>
    </format>
    <format dxfId="557">
      <pivotArea type="topRight" dataOnly="0" labelOnly="1" outline="0" fieldPosition="0"/>
    </format>
    <format dxfId="556">
      <pivotArea field="2" type="button" dataOnly="0" labelOnly="1" outline="0" axis="axisRow" fieldPosition="0"/>
    </format>
    <format dxfId="555">
      <pivotArea dataOnly="0" labelOnly="1" fieldPosition="0">
        <references count="1">
          <reference field="2" count="5">
            <x v="0"/>
            <x v="1"/>
            <x v="2"/>
            <x v="3"/>
            <x v="4"/>
          </reference>
        </references>
      </pivotArea>
    </format>
    <format dxfId="554">
      <pivotArea dataOnly="0" labelOnly="1" grandRow="1" outline="0" fieldPosition="0"/>
    </format>
    <format dxfId="553">
      <pivotArea dataOnly="0" labelOnly="1" fieldPosition="0">
        <references count="1">
          <reference field="12" count="3">
            <x v="0"/>
            <x v="1"/>
            <x v="11"/>
          </reference>
        </references>
      </pivotArea>
    </format>
    <format dxfId="552">
      <pivotArea dataOnly="0" labelOnly="1" grandCol="1" outline="0" fieldPosition="0"/>
    </format>
    <format dxfId="551">
      <pivotArea type="all" dataOnly="0" outline="0" fieldPosition="0"/>
    </format>
    <format dxfId="550">
      <pivotArea dataOnly="0" labelOnly="1" fieldPosition="0">
        <references count="1">
          <reference field="2" count="1">
            <x v="1"/>
          </reference>
        </references>
      </pivotArea>
    </format>
    <format dxfId="549">
      <pivotArea type="all" dataOnly="0" outline="0" fieldPosition="0"/>
    </format>
    <format dxfId="548">
      <pivotArea outline="0" collapsedLevelsAreSubtotals="1" fieldPosition="0"/>
    </format>
    <format dxfId="547">
      <pivotArea type="origin" dataOnly="0" labelOnly="1" outline="0" fieldPosition="0"/>
    </format>
    <format dxfId="546">
      <pivotArea field="12" type="button" dataOnly="0" labelOnly="1" outline="0" axis="axisCol" fieldPosition="0"/>
    </format>
    <format dxfId="545">
      <pivotArea type="topRight" dataOnly="0" labelOnly="1" outline="0" fieldPosition="0"/>
    </format>
    <format dxfId="544">
      <pivotArea field="2" type="button" dataOnly="0" labelOnly="1" outline="0" axis="axisRow" fieldPosition="0"/>
    </format>
    <format dxfId="543">
      <pivotArea dataOnly="0" labelOnly="1" fieldPosition="0">
        <references count="1">
          <reference field="2" count="5">
            <x v="0"/>
            <x v="1"/>
            <x v="2"/>
            <x v="3"/>
            <x v="4"/>
          </reference>
        </references>
      </pivotArea>
    </format>
    <format dxfId="542">
      <pivotArea dataOnly="0" labelOnly="1" grandRow="1" outline="0" fieldPosition="0"/>
    </format>
    <format dxfId="541">
      <pivotArea dataOnly="0" labelOnly="1" fieldPosition="0">
        <references count="1">
          <reference field="12" count="4">
            <x v="0"/>
            <x v="1"/>
            <x v="2"/>
            <x v="11"/>
          </reference>
        </references>
      </pivotArea>
    </format>
    <format dxfId="540">
      <pivotArea dataOnly="0" labelOnly="1" grandCol="1" outline="0" fieldPosition="0"/>
    </format>
  </formats>
  <pivotTableStyleInfo name="PivotStyleMedium9" showRowHeaders="1" showColHeaders="1" showRowStripes="0" showColStripes="0" showLastColumn="1"/>
  <filters count="1">
    <filter fld="12" type="captionNotContains" evalOrder="-1" id="4"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0BEE8E7-8891-4291-88FA-C80000D607DD}" name="PivotTable15" cacheId="23"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location ref="B47:C48" firstHeaderRow="1" firstDataRow="1" firstDataCol="1"/>
  <pivotFields count="6">
    <pivotField showAll="0"/>
    <pivotField axis="axisRow" showAll="0">
      <items count="4">
        <item x="0"/>
        <item m="1" x="2"/>
        <item m="1" x="1"/>
        <item t="default"/>
      </items>
    </pivotField>
    <pivotField showAll="0"/>
    <pivotField showAll="0"/>
    <pivotField showAll="0"/>
    <pivotField dataField="1" showAll="0"/>
  </pivotFields>
  <rowFields count="1">
    <field x="1"/>
  </rowFields>
  <rowItems count="1">
    <i t="grand">
      <x/>
    </i>
  </rowItems>
  <colItems count="1">
    <i/>
  </colItems>
  <dataFields count="1">
    <dataField name="Số lượng" fld="5" subtotal="count" baseField="1" baseItem="0"/>
  </dataFields>
  <formats count="36">
    <format dxfId="601">
      <pivotArea type="all" dataOnly="0" outline="0" fieldPosition="0"/>
    </format>
    <format dxfId="600">
      <pivotArea outline="0" collapsedLevelsAreSubtotals="1" fieldPosition="0"/>
    </format>
    <format dxfId="599">
      <pivotArea field="1" type="button" dataOnly="0" labelOnly="1" outline="0" axis="axisRow" fieldPosition="0"/>
    </format>
    <format dxfId="598">
      <pivotArea dataOnly="0" labelOnly="1" fieldPosition="0">
        <references count="1">
          <reference field="1" count="0"/>
        </references>
      </pivotArea>
    </format>
    <format dxfId="597">
      <pivotArea dataOnly="0" labelOnly="1" grandRow="1" outline="0" fieldPosition="0"/>
    </format>
    <format dxfId="596">
      <pivotArea dataOnly="0" labelOnly="1" outline="0" axis="axisValues" fieldPosition="0"/>
    </format>
    <format dxfId="595">
      <pivotArea type="all" dataOnly="0" outline="0" fieldPosition="0"/>
    </format>
    <format dxfId="594">
      <pivotArea outline="0" collapsedLevelsAreSubtotals="1" fieldPosition="0"/>
    </format>
    <format dxfId="593">
      <pivotArea field="1" type="button" dataOnly="0" labelOnly="1" outline="0" axis="axisRow" fieldPosition="0"/>
    </format>
    <format dxfId="592">
      <pivotArea dataOnly="0" labelOnly="1" fieldPosition="0">
        <references count="1">
          <reference field="1" count="0"/>
        </references>
      </pivotArea>
    </format>
    <format dxfId="591">
      <pivotArea dataOnly="0" labelOnly="1" grandRow="1" outline="0" fieldPosition="0"/>
    </format>
    <format dxfId="590">
      <pivotArea dataOnly="0" labelOnly="1" outline="0" axis="axisValues" fieldPosition="0"/>
    </format>
    <format dxfId="589">
      <pivotArea type="all" dataOnly="0" outline="0" fieldPosition="0"/>
    </format>
    <format dxfId="588">
      <pivotArea outline="0" collapsedLevelsAreSubtotals="1" fieldPosition="0"/>
    </format>
    <format dxfId="587">
      <pivotArea field="1" type="button" dataOnly="0" labelOnly="1" outline="0" axis="axisRow" fieldPosition="0"/>
    </format>
    <format dxfId="586">
      <pivotArea dataOnly="0" labelOnly="1" fieldPosition="0">
        <references count="1">
          <reference field="1" count="0"/>
        </references>
      </pivotArea>
    </format>
    <format dxfId="585">
      <pivotArea dataOnly="0" labelOnly="1" grandRow="1" outline="0" fieldPosition="0"/>
    </format>
    <format dxfId="584">
      <pivotArea dataOnly="0" labelOnly="1" outline="0" axis="axisValues" fieldPosition="0"/>
    </format>
    <format dxfId="583">
      <pivotArea type="all" dataOnly="0" outline="0" fieldPosition="0"/>
    </format>
    <format dxfId="582">
      <pivotArea outline="0" collapsedLevelsAreSubtotals="1" fieldPosition="0"/>
    </format>
    <format dxfId="581">
      <pivotArea field="1" type="button" dataOnly="0" labelOnly="1" outline="0" axis="axisRow" fieldPosition="0"/>
    </format>
    <format dxfId="580">
      <pivotArea dataOnly="0" labelOnly="1" fieldPosition="0">
        <references count="1">
          <reference field="1" count="0"/>
        </references>
      </pivotArea>
    </format>
    <format dxfId="579">
      <pivotArea dataOnly="0" labelOnly="1" grandRow="1" outline="0" fieldPosition="0"/>
    </format>
    <format dxfId="578">
      <pivotArea dataOnly="0" labelOnly="1" outline="0" axis="axisValues" fieldPosition="0"/>
    </format>
    <format dxfId="577">
      <pivotArea type="all" dataOnly="0" outline="0" fieldPosition="0"/>
    </format>
    <format dxfId="576">
      <pivotArea outline="0" collapsedLevelsAreSubtotals="1" fieldPosition="0"/>
    </format>
    <format dxfId="575">
      <pivotArea field="1" type="button" dataOnly="0" labelOnly="1" outline="0" axis="axisRow" fieldPosition="0"/>
    </format>
    <format dxfId="574">
      <pivotArea dataOnly="0" labelOnly="1" fieldPosition="0">
        <references count="1">
          <reference field="1" count="0"/>
        </references>
      </pivotArea>
    </format>
    <format dxfId="573">
      <pivotArea dataOnly="0" labelOnly="1" grandRow="1" outline="0" fieldPosition="0"/>
    </format>
    <format dxfId="572">
      <pivotArea dataOnly="0" labelOnly="1" outline="0" axis="axisValues" fieldPosition="0"/>
    </format>
    <format dxfId="571">
      <pivotArea type="all" dataOnly="0" outline="0" fieldPosition="0"/>
    </format>
    <format dxfId="570">
      <pivotArea outline="0" collapsedLevelsAreSubtotals="1" fieldPosition="0"/>
    </format>
    <format dxfId="569">
      <pivotArea field="1" type="button" dataOnly="0" labelOnly="1" outline="0" axis="axisRow" fieldPosition="0"/>
    </format>
    <format dxfId="568">
      <pivotArea dataOnly="0" labelOnly="1" fieldPosition="0">
        <references count="1">
          <reference field="1" count="0"/>
        </references>
      </pivotArea>
    </format>
    <format dxfId="567">
      <pivotArea dataOnly="0" labelOnly="1" grandRow="1" outline="0" fieldPosition="0"/>
    </format>
    <format dxfId="566">
      <pivotArea dataOnly="0" labelOnly="1" outline="0" axis="axisValues" fieldPosition="0"/>
    </format>
  </formats>
  <pivotTableStyleInfo name="PivotStyleMedium9" showRowHeaders="1" showColHeaders="1" showRowStripes="0" showColStripes="0" showLastColumn="1"/>
  <filters count="1">
    <filter fld="1"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CD1A22-0AD2-410C-B2AE-5F2D85A86E50}" name="PivotTable17" cacheId="24"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52:C55" firstHeaderRow="1" firstDataRow="1" firstDataCol="1"/>
  <pivotFields count="4">
    <pivotField axis="axisRow" showAll="0">
      <items count="4">
        <item x="2"/>
        <item x="1"/>
        <item x="0"/>
        <item t="default"/>
      </items>
    </pivotField>
    <pivotField showAll="0"/>
    <pivotField showAll="0"/>
    <pivotField dataField="1" showAll="0"/>
  </pivotFields>
  <rowFields count="1">
    <field x="0"/>
  </rowFields>
  <rowItems count="3">
    <i>
      <x/>
    </i>
    <i>
      <x v="1"/>
    </i>
    <i t="grand">
      <x/>
    </i>
  </rowItems>
  <colItems count="1">
    <i/>
  </colItems>
  <dataFields count="1">
    <dataField name="Số lượng" fld="3" subtotal="count" baseField="0" baseItem="0"/>
  </dataFields>
  <formats count="36">
    <format dxfId="444">
      <pivotArea type="all" dataOnly="0" outline="0" fieldPosition="0"/>
    </format>
    <format dxfId="443">
      <pivotArea outline="0" collapsedLevelsAreSubtotals="1" fieldPosition="0"/>
    </format>
    <format dxfId="442">
      <pivotArea field="0" type="button" dataOnly="0" labelOnly="1" outline="0" axis="axisRow" fieldPosition="0"/>
    </format>
    <format dxfId="441">
      <pivotArea dataOnly="0" labelOnly="1" fieldPosition="0">
        <references count="1">
          <reference field="0" count="0"/>
        </references>
      </pivotArea>
    </format>
    <format dxfId="440">
      <pivotArea dataOnly="0" labelOnly="1" grandRow="1" outline="0" fieldPosition="0"/>
    </format>
    <format dxfId="439">
      <pivotArea dataOnly="0" labelOnly="1" outline="0" axis="axisValues" fieldPosition="0"/>
    </format>
    <format dxfId="438">
      <pivotArea type="all" dataOnly="0" outline="0" fieldPosition="0"/>
    </format>
    <format dxfId="437">
      <pivotArea outline="0" collapsedLevelsAreSubtotals="1" fieldPosition="0"/>
    </format>
    <format dxfId="436">
      <pivotArea field="0" type="button" dataOnly="0" labelOnly="1" outline="0" axis="axisRow" fieldPosition="0"/>
    </format>
    <format dxfId="435">
      <pivotArea dataOnly="0" labelOnly="1" fieldPosition="0">
        <references count="1">
          <reference field="0" count="0"/>
        </references>
      </pivotArea>
    </format>
    <format dxfId="434">
      <pivotArea dataOnly="0" labelOnly="1" grandRow="1" outline="0" fieldPosition="0"/>
    </format>
    <format dxfId="433">
      <pivotArea dataOnly="0" labelOnly="1" outline="0" axis="axisValues" fieldPosition="0"/>
    </format>
    <format dxfId="432">
      <pivotArea type="all" dataOnly="0" outline="0" fieldPosition="0"/>
    </format>
    <format dxfId="431">
      <pivotArea outline="0" collapsedLevelsAreSubtotals="1" fieldPosition="0"/>
    </format>
    <format dxfId="430">
      <pivotArea field="0" type="button" dataOnly="0" labelOnly="1" outline="0" axis="axisRow" fieldPosition="0"/>
    </format>
    <format dxfId="429">
      <pivotArea dataOnly="0" labelOnly="1" fieldPosition="0">
        <references count="1">
          <reference field="0" count="0"/>
        </references>
      </pivotArea>
    </format>
    <format dxfId="428">
      <pivotArea dataOnly="0" labelOnly="1" grandRow="1" outline="0" fieldPosition="0"/>
    </format>
    <format dxfId="427">
      <pivotArea dataOnly="0" labelOnly="1" outline="0" axis="axisValues" fieldPosition="0"/>
    </format>
    <format dxfId="426">
      <pivotArea type="all" dataOnly="0" outline="0" fieldPosition="0"/>
    </format>
    <format dxfId="425">
      <pivotArea outline="0" collapsedLevelsAreSubtotals="1" fieldPosition="0"/>
    </format>
    <format dxfId="424">
      <pivotArea field="0" type="button" dataOnly="0" labelOnly="1" outline="0" axis="axisRow" fieldPosition="0"/>
    </format>
    <format dxfId="423">
      <pivotArea dataOnly="0" labelOnly="1" fieldPosition="0">
        <references count="1">
          <reference field="0" count="0"/>
        </references>
      </pivotArea>
    </format>
    <format dxfId="422">
      <pivotArea dataOnly="0" labelOnly="1" grandRow="1" outline="0" fieldPosition="0"/>
    </format>
    <format dxfId="421">
      <pivotArea dataOnly="0" labelOnly="1" outline="0" axis="axisValues" fieldPosition="0"/>
    </format>
    <format dxfId="420">
      <pivotArea type="all" dataOnly="0" outline="0" fieldPosition="0"/>
    </format>
    <format dxfId="419">
      <pivotArea outline="0" collapsedLevelsAreSubtotals="1" fieldPosition="0"/>
    </format>
    <format dxfId="418">
      <pivotArea field="0" type="button" dataOnly="0" labelOnly="1" outline="0" axis="axisRow" fieldPosition="0"/>
    </format>
    <format dxfId="417">
      <pivotArea dataOnly="0" labelOnly="1" fieldPosition="0">
        <references count="1">
          <reference field="0" count="0"/>
        </references>
      </pivotArea>
    </format>
    <format dxfId="416">
      <pivotArea dataOnly="0" labelOnly="1" grandRow="1" outline="0" fieldPosition="0"/>
    </format>
    <format dxfId="415">
      <pivotArea dataOnly="0" labelOnly="1" outline="0" axis="axisValues" fieldPosition="0"/>
    </format>
    <format dxfId="414">
      <pivotArea type="all" dataOnly="0" outline="0" fieldPosition="0"/>
    </format>
    <format dxfId="413">
      <pivotArea outline="0" collapsedLevelsAreSubtotals="1" fieldPosition="0"/>
    </format>
    <format dxfId="412">
      <pivotArea field="0" type="button" dataOnly="0" labelOnly="1" outline="0" axis="axisRow" fieldPosition="0"/>
    </format>
    <format dxfId="411">
      <pivotArea dataOnly="0" labelOnly="1" fieldPosition="0">
        <references count="1">
          <reference field="0" count="0"/>
        </references>
      </pivotArea>
    </format>
    <format dxfId="410">
      <pivotArea dataOnly="0" labelOnly="1" grandRow="1" outline="0" fieldPosition="0"/>
    </format>
    <format dxfId="409">
      <pivotArea dataOnly="0" labelOnly="1" outline="0" axis="axisValues" fieldPosition="0"/>
    </format>
  </formats>
  <pivotTableStyleInfo name="PivotStyleMedium9" showRowHeaders="1" showColHeaders="1" showRowStripes="0" showColStripes="0" showLastColumn="1"/>
  <filters count="1">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C910BA-93DC-4294-A6F7-41F727DDCD78}" name="PivotTable16" cacheId="3"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háng">
  <location ref="B42:D45" firstHeaderRow="1" firstDataRow="2" firstDataCol="1"/>
  <pivotFields count="6">
    <pivotField axis="axisCol" showAll="0">
      <items count="16">
        <item m="1" x="6"/>
        <item m="1" x="14"/>
        <item m="1" x="8"/>
        <item m="1" x="7"/>
        <item x="2"/>
        <item m="1" x="5"/>
        <item x="0"/>
        <item x="1"/>
        <item x="4"/>
        <item m="1" x="10"/>
        <item m="1" x="9"/>
        <item m="1" x="11"/>
        <item m="1" x="12"/>
        <item m="1" x="13"/>
        <item x="3"/>
        <item t="default"/>
      </items>
    </pivotField>
    <pivotField axis="axisRow" showAll="0">
      <items count="4">
        <item x="0"/>
        <item x="1"/>
        <item m="1" x="2"/>
        <item t="default"/>
      </items>
    </pivotField>
    <pivotField showAll="0"/>
    <pivotField showAll="0"/>
    <pivotField showAll="0"/>
    <pivotField dataField="1" showAll="0"/>
  </pivotFields>
  <rowFields count="1">
    <field x="1"/>
  </rowFields>
  <rowItems count="2">
    <i>
      <x/>
    </i>
    <i t="grand">
      <x/>
    </i>
  </rowItems>
  <colFields count="1">
    <field x="0"/>
  </colFields>
  <colItems count="2">
    <i>
      <x v="6"/>
    </i>
    <i t="grand">
      <x/>
    </i>
  </colItems>
  <dataFields count="1">
    <dataField name="PT 08" fld="5" subtotal="count" baseField="1" baseItem="0"/>
  </dataFields>
  <formats count="6">
    <format dxfId="450">
      <pivotArea type="all" dataOnly="0" outline="0" fieldPosition="0"/>
    </format>
    <format dxfId="449">
      <pivotArea type="all" dataOnly="0" outline="0" fieldPosition="0"/>
    </format>
    <format dxfId="448">
      <pivotArea type="all" dataOnly="0" outline="0" fieldPosition="0"/>
    </format>
    <format dxfId="447">
      <pivotArea type="all" dataOnly="0" outline="0" fieldPosition="0"/>
    </format>
    <format dxfId="446">
      <pivotArea type="all" dataOnly="0" outline="0" fieldPosition="0"/>
    </format>
    <format dxfId="445">
      <pivotArea type="all" dataOnly="0" outline="0" fieldPosition="0"/>
    </format>
  </formats>
  <pivotTableStyleInfo name="PivotStyleMedium9" showRowHeaders="1" showColHeaders="1" showRowStripes="0" showColStripes="0" showLastColumn="1"/>
  <filters count="2">
    <filter fld="1"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3F41C4-A13D-4409-B78E-7C3988A9B24F}" name="PivotTable6" cacheId="5"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VB" colHeaderCaption="Tháng">
  <location ref="B26:G33" firstHeaderRow="1" firstDataRow="2" firstDataCol="1"/>
  <pivotFields count="11">
    <pivotField axis="axisRow" showAll="0">
      <items count="10">
        <item x="0"/>
        <item x="5"/>
        <item x="3"/>
        <item x="1"/>
        <item x="4"/>
        <item m="1" x="8"/>
        <item m="1" x="7"/>
        <item x="2"/>
        <item m="1" x="6"/>
        <item t="default"/>
      </items>
    </pivotField>
    <pivotField showAll="0"/>
    <pivotField showAll="0"/>
    <pivotField showAll="0"/>
    <pivotField showAll="0"/>
    <pivotField axis="axisCol" showAll="0" sortType="ascending">
      <items count="16">
        <item m="1" x="6"/>
        <item m="1" x="14"/>
        <item m="1" x="8"/>
        <item x="0"/>
        <item x="1"/>
        <item m="1" x="7"/>
        <item x="4"/>
        <item m="1" x="10"/>
        <item m="1" x="9"/>
        <item x="3"/>
        <item m="1" x="11"/>
        <item m="1" x="5"/>
        <item m="1" x="12"/>
        <item m="1" x="13"/>
        <item x="2"/>
        <item t="default"/>
      </items>
    </pivotField>
    <pivotField showAll="0"/>
    <pivotField showAll="0"/>
    <pivotField showAll="0"/>
    <pivotField showAll="0"/>
    <pivotField dataField="1" showAll="0"/>
  </pivotFields>
  <rowFields count="1">
    <field x="0"/>
  </rowFields>
  <rowItems count="6">
    <i>
      <x/>
    </i>
    <i>
      <x v="1"/>
    </i>
    <i>
      <x v="3"/>
    </i>
    <i>
      <x v="4"/>
    </i>
    <i>
      <x v="7"/>
    </i>
    <i t="grand">
      <x/>
    </i>
  </rowItems>
  <colFields count="1">
    <field x="5"/>
  </colFields>
  <colItems count="5">
    <i>
      <x v="3"/>
    </i>
    <i>
      <x v="4"/>
    </i>
    <i>
      <x v="6"/>
    </i>
    <i>
      <x v="9"/>
    </i>
    <i t="grand">
      <x/>
    </i>
  </colItems>
  <dataFields count="1">
    <dataField name="TK giải quyết" fld="10" subtotal="count" baseField="0" baseItem="0"/>
  </dataFields>
  <formats count="32">
    <format dxfId="482">
      <pivotArea type="all" dataOnly="0" outline="0" fieldPosition="0"/>
    </format>
    <format dxfId="481">
      <pivotArea outline="0" collapsedLevelsAreSubtotals="1" fieldPosition="0"/>
    </format>
    <format dxfId="480">
      <pivotArea type="origin" dataOnly="0" labelOnly="1" outline="0" fieldPosition="0"/>
    </format>
    <format dxfId="479">
      <pivotArea field="5" type="button" dataOnly="0" labelOnly="1" outline="0" axis="axisCol" fieldPosition="0"/>
    </format>
    <format dxfId="478">
      <pivotArea type="topRight" dataOnly="0" labelOnly="1" outline="0" fieldPosition="0"/>
    </format>
    <format dxfId="477">
      <pivotArea field="0" type="button" dataOnly="0" labelOnly="1" outline="0" axis="axisRow" fieldPosition="0"/>
    </format>
    <format dxfId="476">
      <pivotArea dataOnly="0" labelOnly="1" fieldPosition="0">
        <references count="1">
          <reference field="0" count="0"/>
        </references>
      </pivotArea>
    </format>
    <format dxfId="475">
      <pivotArea dataOnly="0" labelOnly="1" grandRow="1" outline="0" fieldPosition="0"/>
    </format>
    <format dxfId="474">
      <pivotArea dataOnly="0" labelOnly="1" fieldPosition="0">
        <references count="1">
          <reference field="5" count="0"/>
        </references>
      </pivotArea>
    </format>
    <format dxfId="473">
      <pivotArea dataOnly="0" labelOnly="1" grandCol="1" outline="0" fieldPosition="0"/>
    </format>
    <format dxfId="472">
      <pivotArea type="all" dataOnly="0" outline="0" fieldPosition="0"/>
    </format>
    <format dxfId="471">
      <pivotArea type="all" dataOnly="0" outline="0" fieldPosition="0"/>
    </format>
    <format dxfId="470">
      <pivotArea type="all" dataOnly="0" outline="0" fieldPosition="0"/>
    </format>
    <format dxfId="469">
      <pivotArea outline="0" collapsedLevelsAreSubtotals="1" fieldPosition="0"/>
    </format>
    <format dxfId="468">
      <pivotArea type="origin" dataOnly="0" labelOnly="1" outline="0" fieldPosition="0"/>
    </format>
    <format dxfId="467">
      <pivotArea field="5" type="button" dataOnly="0" labelOnly="1" outline="0" axis="axisCol" fieldPosition="0"/>
    </format>
    <format dxfId="466">
      <pivotArea type="topRight" dataOnly="0" labelOnly="1" outline="0" fieldPosition="0"/>
    </format>
    <format dxfId="465">
      <pivotArea field="0" type="button" dataOnly="0" labelOnly="1" outline="0" axis="axisRow" fieldPosition="0"/>
    </format>
    <format dxfId="464">
      <pivotArea dataOnly="0" labelOnly="1" fieldPosition="0">
        <references count="1">
          <reference field="0" count="2">
            <x v="0"/>
            <x v="1"/>
          </reference>
        </references>
      </pivotArea>
    </format>
    <format dxfId="463">
      <pivotArea dataOnly="0" labelOnly="1" grandRow="1" outline="0" fieldPosition="0"/>
    </format>
    <format dxfId="462">
      <pivotArea dataOnly="0" labelOnly="1" fieldPosition="0">
        <references count="1">
          <reference field="5" count="2">
            <x v="0"/>
            <x v="1"/>
          </reference>
        </references>
      </pivotArea>
    </format>
    <format dxfId="461">
      <pivotArea dataOnly="0" labelOnly="1" grandCol="1" outline="0" fieldPosition="0"/>
    </format>
    <format dxfId="460">
      <pivotArea type="all" dataOnly="0" outline="0" fieldPosition="0"/>
    </format>
    <format dxfId="459">
      <pivotArea outline="0" collapsedLevelsAreSubtotals="1" fieldPosition="0"/>
    </format>
    <format dxfId="458">
      <pivotArea type="origin" dataOnly="0" labelOnly="1" outline="0" fieldPosition="0"/>
    </format>
    <format dxfId="457">
      <pivotArea field="5" type="button" dataOnly="0" labelOnly="1" outline="0" axis="axisCol" fieldPosition="0"/>
    </format>
    <format dxfId="456">
      <pivotArea type="topRight" dataOnly="0" labelOnly="1" outline="0" fieldPosition="0"/>
    </format>
    <format dxfId="455">
      <pivotArea field="0" type="button" dataOnly="0" labelOnly="1" outline="0" axis="axisRow" fieldPosition="0"/>
    </format>
    <format dxfId="454">
      <pivotArea dataOnly="0" labelOnly="1" fieldPosition="0">
        <references count="1">
          <reference field="0" count="3">
            <x v="0"/>
            <x v="1"/>
            <x v="3"/>
          </reference>
        </references>
      </pivotArea>
    </format>
    <format dxfId="453">
      <pivotArea dataOnly="0" labelOnly="1" grandRow="1" outline="0" fieldPosition="0"/>
    </format>
    <format dxfId="452">
      <pivotArea dataOnly="0" labelOnly="1" fieldPosition="0">
        <references count="1">
          <reference field="5" count="3">
            <x v="0"/>
            <x v="1"/>
            <x v="2"/>
          </reference>
        </references>
      </pivotArea>
    </format>
    <format dxfId="451">
      <pivotArea dataOnly="0" labelOnly="1" grandCol="1" outline="0" fieldPosition="0"/>
    </format>
  </formats>
  <pivotTableStyleInfo name="PivotStyleMedium9" showRowHeaders="1" showColHeaders="1" showRowStripes="0" showColStripes="0" showLastColumn="1"/>
  <filters count="1">
    <filter fld="5"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87ADA72-810B-4AD7-A8EC-1D494B70BACA}" name="PivotTable5" cacheId="4"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việc" colHeaderCaption="Tháng">
  <location ref="B8:I14" firstHeaderRow="1" firstDataRow="2" firstDataCol="1"/>
  <pivotFields count="13">
    <pivotField dataField="1" showAll="0"/>
    <pivotField showAll="0"/>
    <pivotField axis="axisRow" showAll="0">
      <items count="13">
        <item m="1" x="11"/>
        <item m="1" x="6"/>
        <item m="1" x="8"/>
        <item m="1" x="7"/>
        <item x="3"/>
        <item x="2"/>
        <item x="0"/>
        <item x="4"/>
        <item m="1" x="10"/>
        <item m="1" x="9"/>
        <item m="1" x="5"/>
        <item x="1"/>
        <item t="default"/>
      </items>
    </pivotField>
    <pivotField showAll="0"/>
    <pivotField showAll="0"/>
    <pivotField showAll="0"/>
    <pivotField showAll="0"/>
    <pivotField showAll="0"/>
    <pivotField showAll="0"/>
    <pivotField showAll="0"/>
    <pivotField showAll="0"/>
    <pivotField showAll="0"/>
    <pivotField axis="axisCol" showAll="0" sortType="ascending">
      <items count="14">
        <item m="1" x="8"/>
        <item x="0"/>
        <item x="1"/>
        <item x="2"/>
        <item x="3"/>
        <item x="4"/>
        <item x="5"/>
        <item m="1" x="9"/>
        <item m="1" x="10"/>
        <item m="1" x="7"/>
        <item m="1" x="11"/>
        <item m="1" x="12"/>
        <item x="6"/>
        <item t="default"/>
      </items>
    </pivotField>
  </pivotFields>
  <rowFields count="1">
    <field x="2"/>
  </rowFields>
  <rowItems count="5">
    <i>
      <x v="4"/>
    </i>
    <i>
      <x v="5"/>
    </i>
    <i>
      <x v="6"/>
    </i>
    <i>
      <x v="11"/>
    </i>
    <i t="grand">
      <x/>
    </i>
  </rowItems>
  <colFields count="1">
    <field x="12"/>
  </colFields>
  <colItems count="7">
    <i>
      <x v="1"/>
    </i>
    <i>
      <x v="2"/>
    </i>
    <i>
      <x v="3"/>
    </i>
    <i>
      <x v="4"/>
    </i>
    <i>
      <x v="5"/>
    </i>
    <i>
      <x v="6"/>
    </i>
    <i t="grand">
      <x/>
    </i>
  </colItems>
  <dataFields count="1">
    <dataField name="TK thụ lý" fld="0" subtotal="count" baseField="2" baseItem="0"/>
  </dataFields>
  <formats count="26">
    <format dxfId="508">
      <pivotArea type="all" dataOnly="0" outline="0" fieldPosition="0"/>
    </format>
    <format dxfId="507">
      <pivotArea type="all" dataOnly="0" outline="0" fieldPosition="0"/>
    </format>
    <format dxfId="506">
      <pivotArea type="all" dataOnly="0" outline="0" fieldPosition="0"/>
    </format>
    <format dxfId="505">
      <pivotArea type="all" dataOnly="0" outline="0" fieldPosition="0"/>
    </format>
    <format dxfId="504">
      <pivotArea type="all" dataOnly="0" outline="0" fieldPosition="0"/>
    </format>
    <format dxfId="503">
      <pivotArea dataOnly="0" labelOnly="1" fieldPosition="0">
        <references count="1">
          <reference field="2" count="1">
            <x v="1"/>
          </reference>
        </references>
      </pivotArea>
    </format>
    <format dxfId="502">
      <pivotArea type="all" dataOnly="0" outline="0" fieldPosition="0"/>
    </format>
    <format dxfId="501">
      <pivotArea outline="0" collapsedLevelsAreSubtotals="1" fieldPosition="0"/>
    </format>
    <format dxfId="500">
      <pivotArea type="origin" dataOnly="0" labelOnly="1" outline="0" fieldPosition="0"/>
    </format>
    <format dxfId="499">
      <pivotArea field="12" type="button" dataOnly="0" labelOnly="1" outline="0" axis="axisCol" fieldPosition="0"/>
    </format>
    <format dxfId="498">
      <pivotArea type="topRight" dataOnly="0" labelOnly="1" outline="0" fieldPosition="0"/>
    </format>
    <format dxfId="497">
      <pivotArea field="2" type="button" dataOnly="0" labelOnly="1" outline="0" axis="axisRow" fieldPosition="0"/>
    </format>
    <format dxfId="496">
      <pivotArea dataOnly="0" labelOnly="1" fieldPosition="0">
        <references count="1">
          <reference field="2" count="6">
            <x v="0"/>
            <x v="1"/>
            <x v="3"/>
            <x v="4"/>
            <x v="5"/>
            <x v="6"/>
          </reference>
        </references>
      </pivotArea>
    </format>
    <format dxfId="495">
      <pivotArea dataOnly="0" labelOnly="1" grandRow="1" outline="0" fieldPosition="0"/>
    </format>
    <format dxfId="494">
      <pivotArea dataOnly="0" labelOnly="1" fieldPosition="0">
        <references count="1">
          <reference field="12" count="3">
            <x v="0"/>
            <x v="1"/>
            <x v="9"/>
          </reference>
        </references>
      </pivotArea>
    </format>
    <format dxfId="493">
      <pivotArea dataOnly="0" labelOnly="1" grandCol="1" outline="0" fieldPosition="0"/>
    </format>
    <format dxfId="492">
      <pivotArea type="all" dataOnly="0" outline="0" fieldPosition="0"/>
    </format>
    <format dxfId="491">
      <pivotArea outline="0" collapsedLevelsAreSubtotals="1" fieldPosition="0"/>
    </format>
    <format dxfId="490">
      <pivotArea type="origin" dataOnly="0" labelOnly="1" outline="0" fieldPosition="0"/>
    </format>
    <format dxfId="489">
      <pivotArea field="12" type="button" dataOnly="0" labelOnly="1" outline="0" axis="axisCol" fieldPosition="0"/>
    </format>
    <format dxfId="488">
      <pivotArea type="topRight" dataOnly="0" labelOnly="1" outline="0" fieldPosition="0"/>
    </format>
    <format dxfId="487">
      <pivotArea field="2" type="button" dataOnly="0" labelOnly="1" outline="0" axis="axisRow" fieldPosition="0"/>
    </format>
    <format dxfId="486">
      <pivotArea dataOnly="0" labelOnly="1" fieldPosition="0">
        <references count="1">
          <reference field="2" count="8">
            <x v="0"/>
            <x v="1"/>
            <x v="2"/>
            <x v="3"/>
            <x v="4"/>
            <x v="5"/>
            <x v="6"/>
            <x v="9"/>
          </reference>
        </references>
      </pivotArea>
    </format>
    <format dxfId="485">
      <pivotArea dataOnly="0" labelOnly="1" grandRow="1" outline="0" fieldPosition="0"/>
    </format>
    <format dxfId="484">
      <pivotArea dataOnly="0" labelOnly="1" fieldPosition="0">
        <references count="1">
          <reference field="12" count="3">
            <x v="0"/>
            <x v="1"/>
            <x v="9"/>
          </reference>
        </references>
      </pivotArea>
    </format>
    <format dxfId="483">
      <pivotArea dataOnly="0" labelOnly="1" grandCol="1" outline="0" fieldPosition="0"/>
    </format>
  </formats>
  <pivotTableStyleInfo name="PivotStyleMedium9" showRowHeaders="1" showColHeaders="1" showRowStripes="0" showColStripes="0" showLastColumn="1"/>
  <filters count="1">
    <filter fld="12"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86A272F-7BF8-45FA-A249-C2C9767FA6FA}" name="PivotTable5" cacheId="11"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26:C28" firstHeaderRow="1" firstDataRow="2" firstDataCol="1"/>
  <pivotFields count="11">
    <pivotField axis="axisRow" showAll="0">
      <items count="5">
        <item m="1" x="3"/>
        <item m="1" x="2"/>
        <item x="0"/>
        <item m="1" x="1"/>
        <item t="default"/>
      </items>
    </pivotField>
    <pivotField showAll="0"/>
    <pivotField showAll="0"/>
    <pivotField showAll="0"/>
    <pivotField showAll="0"/>
    <pivotField axis="axisCol" showAll="0" sortType="ascending">
      <items count="6">
        <item m="1" x="3"/>
        <item m="1" x="2"/>
        <item m="1" x="4"/>
        <item m="1" x="1"/>
        <item x="0"/>
        <item t="default"/>
      </items>
    </pivotField>
    <pivotField showAll="0"/>
    <pivotField showAll="0"/>
    <pivotField showAll="0"/>
    <pivotField showAll="0"/>
    <pivotField dataField="1" showAll="0"/>
  </pivotFields>
  <rowFields count="1">
    <field x="0"/>
  </rowFields>
  <rowItems count="1">
    <i t="grand">
      <x/>
    </i>
  </rowItems>
  <colFields count="1">
    <field x="5"/>
  </colFields>
  <colItems count="1">
    <i t="grand">
      <x/>
    </i>
  </colItems>
  <dataFields count="1">
    <dataField name="TK giải quyết" fld="10" subtotal="count" baseField="0" baseItem="0"/>
  </dataFields>
  <formats count="16">
    <format dxfId="350">
      <pivotArea type="origin" dataOnly="0" labelOnly="1" outline="0" fieldPosition="0"/>
    </format>
    <format dxfId="349">
      <pivotArea type="all" dataOnly="0" outline="0" fieldPosition="0"/>
    </format>
    <format dxfId="348">
      <pivotArea type="all" dataOnly="0" outline="0" fieldPosition="0"/>
    </format>
    <format dxfId="347">
      <pivotArea type="all" dataOnly="0" outline="0" fieldPosition="0"/>
    </format>
    <format dxfId="346">
      <pivotArea type="all" dataOnly="0" outline="0" fieldPosition="0"/>
    </format>
    <format dxfId="345">
      <pivotArea type="all" dataOnly="0" outline="0" fieldPosition="0"/>
    </format>
    <format dxfId="344">
      <pivotArea type="all" dataOnly="0" outline="0" fieldPosition="0"/>
    </format>
    <format dxfId="343">
      <pivotArea outline="0" collapsedLevelsAreSubtotals="1" fieldPosition="0"/>
    </format>
    <format dxfId="342">
      <pivotArea type="origin" dataOnly="0" labelOnly="1" outline="0" fieldPosition="0"/>
    </format>
    <format dxfId="341">
      <pivotArea field="5" type="button" dataOnly="0" labelOnly="1" outline="0" axis="axisCol" fieldPosition="0"/>
    </format>
    <format dxfId="340">
      <pivotArea type="topRight" dataOnly="0" labelOnly="1" outline="0" fieldPosition="0"/>
    </format>
    <format dxfId="339">
      <pivotArea field="0" type="button" dataOnly="0" labelOnly="1" outline="0" axis="axisRow" fieldPosition="0"/>
    </format>
    <format dxfId="338">
      <pivotArea dataOnly="0" labelOnly="1" fieldPosition="0">
        <references count="1">
          <reference field="0" count="2">
            <x v="0"/>
            <x v="1"/>
          </reference>
        </references>
      </pivotArea>
    </format>
    <format dxfId="337">
      <pivotArea dataOnly="0" labelOnly="1" grandRow="1" outline="0" fieldPosition="0"/>
    </format>
    <format dxfId="336">
      <pivotArea dataOnly="0" labelOnly="1" fieldPosition="0">
        <references count="1">
          <reference field="5" count="2">
            <x v="0"/>
            <x v="1"/>
          </reference>
        </references>
      </pivotArea>
    </format>
    <format dxfId="335">
      <pivotArea dataOnly="0" labelOnly="1" grandCol="1" outline="0" fieldPosition="0"/>
    </format>
  </formats>
  <pivotTableStyleInfo name="PivotStyleMedium9" showRowHeaders="1" showColHeaders="1" showRowStripes="0" showColStripes="0" showLastColumn="1"/>
  <filters count="1">
    <filter fld="5"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95EA1EC-840E-4656-B210-DB3F95C40D58}" name="PivotTable20"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Loại">
  <location ref="B53:C54" firstHeaderRow="1" firstDataRow="1" firstDataCol="1"/>
  <pivotFields count="4">
    <pivotField axis="axisRow" showAll="0">
      <items count="3">
        <item m="1" x="1"/>
        <item x="0"/>
        <item t="default"/>
      </items>
    </pivotField>
    <pivotField showAll="0"/>
    <pivotField showAll="0"/>
    <pivotField dataField="1" showAll="0"/>
  </pivotFields>
  <rowFields count="1">
    <field x="0"/>
  </rowFields>
  <rowItems count="1">
    <i t="grand">
      <x/>
    </i>
  </rowItems>
  <colItems count="1">
    <i/>
  </colItems>
  <dataFields count="1">
    <dataField name="Số lượng" fld="3" subtotal="count" baseField="0" baseItem="0"/>
  </dataFields>
  <formats count="36">
    <format dxfId="386">
      <pivotArea type="all" dataOnly="0" outline="0" fieldPosition="0"/>
    </format>
    <format dxfId="385">
      <pivotArea outline="0" collapsedLevelsAreSubtotals="1" fieldPosition="0"/>
    </format>
    <format dxfId="384">
      <pivotArea field="0" type="button" dataOnly="0" labelOnly="1" outline="0" axis="axisRow" fieldPosition="0"/>
    </format>
    <format dxfId="383">
      <pivotArea dataOnly="0" labelOnly="1" fieldPosition="0">
        <references count="1">
          <reference field="0" count="0"/>
        </references>
      </pivotArea>
    </format>
    <format dxfId="382">
      <pivotArea dataOnly="0" labelOnly="1" grandRow="1" outline="0" fieldPosition="0"/>
    </format>
    <format dxfId="381">
      <pivotArea dataOnly="0" labelOnly="1" outline="0" axis="axisValues" fieldPosition="0"/>
    </format>
    <format dxfId="380">
      <pivotArea type="all" dataOnly="0" outline="0" fieldPosition="0"/>
    </format>
    <format dxfId="379">
      <pivotArea outline="0" collapsedLevelsAreSubtotals="1" fieldPosition="0"/>
    </format>
    <format dxfId="378">
      <pivotArea field="0" type="button" dataOnly="0" labelOnly="1" outline="0" axis="axisRow" fieldPosition="0"/>
    </format>
    <format dxfId="377">
      <pivotArea dataOnly="0" labelOnly="1" fieldPosition="0">
        <references count="1">
          <reference field="0" count="0"/>
        </references>
      </pivotArea>
    </format>
    <format dxfId="376">
      <pivotArea dataOnly="0" labelOnly="1" grandRow="1" outline="0" fieldPosition="0"/>
    </format>
    <format dxfId="375">
      <pivotArea dataOnly="0" labelOnly="1" outline="0" axis="axisValues" fieldPosition="0"/>
    </format>
    <format dxfId="374">
      <pivotArea type="all" dataOnly="0" outline="0" fieldPosition="0"/>
    </format>
    <format dxfId="373">
      <pivotArea outline="0" collapsedLevelsAreSubtotals="1" fieldPosition="0"/>
    </format>
    <format dxfId="372">
      <pivotArea field="0" type="button" dataOnly="0" labelOnly="1" outline="0" axis="axisRow" fieldPosition="0"/>
    </format>
    <format dxfId="371">
      <pivotArea dataOnly="0" labelOnly="1" fieldPosition="0">
        <references count="1">
          <reference field="0" count="0"/>
        </references>
      </pivotArea>
    </format>
    <format dxfId="370">
      <pivotArea dataOnly="0" labelOnly="1" grandRow="1" outline="0" fieldPosition="0"/>
    </format>
    <format dxfId="369">
      <pivotArea dataOnly="0" labelOnly="1" outline="0" axis="axisValues" fieldPosition="0"/>
    </format>
    <format dxfId="368">
      <pivotArea type="all" dataOnly="0" outline="0" fieldPosition="0"/>
    </format>
    <format dxfId="367">
      <pivotArea outline="0" collapsedLevelsAreSubtotals="1" fieldPosition="0"/>
    </format>
    <format dxfId="366">
      <pivotArea field="0" type="button" dataOnly="0" labelOnly="1" outline="0" axis="axisRow" fieldPosition="0"/>
    </format>
    <format dxfId="365">
      <pivotArea dataOnly="0" labelOnly="1" fieldPosition="0">
        <references count="1">
          <reference field="0" count="0"/>
        </references>
      </pivotArea>
    </format>
    <format dxfId="364">
      <pivotArea dataOnly="0" labelOnly="1" grandRow="1" outline="0" fieldPosition="0"/>
    </format>
    <format dxfId="363">
      <pivotArea dataOnly="0" labelOnly="1" outline="0" axis="axisValues" fieldPosition="0"/>
    </format>
    <format dxfId="362">
      <pivotArea type="all" dataOnly="0" outline="0" fieldPosition="0"/>
    </format>
    <format dxfId="361">
      <pivotArea outline="0" collapsedLevelsAreSubtotals="1" fieldPosition="0"/>
    </format>
    <format dxfId="360">
      <pivotArea field="0" type="button" dataOnly="0" labelOnly="1" outline="0" axis="axisRow" fieldPosition="0"/>
    </format>
    <format dxfId="359">
      <pivotArea dataOnly="0" labelOnly="1" fieldPosition="0">
        <references count="1">
          <reference field="0" count="0"/>
        </references>
      </pivotArea>
    </format>
    <format dxfId="358">
      <pivotArea dataOnly="0" labelOnly="1" grandRow="1" outline="0" fieldPosition="0"/>
    </format>
    <format dxfId="357">
      <pivotArea dataOnly="0" labelOnly="1" outline="0" axis="axisValues" fieldPosition="0"/>
    </format>
    <format dxfId="356">
      <pivotArea type="all" dataOnly="0" outline="0" fieldPosition="0"/>
    </format>
    <format dxfId="355">
      <pivotArea outline="0" collapsedLevelsAreSubtotals="1" fieldPosition="0"/>
    </format>
    <format dxfId="354">
      <pivotArea field="0" type="button" dataOnly="0" labelOnly="1" outline="0" axis="axisRow" fieldPosition="0"/>
    </format>
    <format dxfId="353">
      <pivotArea dataOnly="0" labelOnly="1" fieldPosition="0">
        <references count="1">
          <reference field="0" count="1">
            <x v="0"/>
          </reference>
        </references>
      </pivotArea>
    </format>
    <format dxfId="352">
      <pivotArea dataOnly="0" labelOnly="1" grandRow="1" outline="0" fieldPosition="0"/>
    </format>
    <format dxfId="351">
      <pivotArea dataOnly="0" labelOnly="1" outline="0" axis="axisValues" fieldPosition="0"/>
    </format>
  </formats>
  <pivotTableStyleInfo name="PivotStyleMedium9" showRowHeaders="1" showColHeaders="1" showRowStripes="0" showColStripes="0" showLastColumn="1"/>
  <filters count="1">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8A49AE6-9C87-4485-8652-949F2B0A7D43}" name="PivotTable19" cacheId="26"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háng">
  <location ref="B42:C44" firstHeaderRow="1" firstDataRow="2" firstDataCol="1"/>
  <pivotFields count="6">
    <pivotField axis="axisCol" showAll="0">
      <items count="5">
        <item m="1" x="2"/>
        <item m="1" x="3"/>
        <item m="1" x="1"/>
        <item x="0"/>
        <item t="default"/>
      </items>
    </pivotField>
    <pivotField axis="axisRow" showAll="0">
      <items count="4">
        <item m="1" x="1"/>
        <item m="1" x="2"/>
        <item x="0"/>
        <item t="default"/>
      </items>
    </pivotField>
    <pivotField showAll="0"/>
    <pivotField showAll="0"/>
    <pivotField showAll="0"/>
    <pivotField dataField="1" showAll="0"/>
  </pivotFields>
  <rowFields count="1">
    <field x="1"/>
  </rowFields>
  <rowItems count="1">
    <i t="grand">
      <x/>
    </i>
  </rowItems>
  <colFields count="1">
    <field x="0"/>
  </colFields>
  <colItems count="1">
    <i t="grand">
      <x/>
    </i>
  </colItems>
  <dataFields count="1">
    <dataField name="PT 08" fld="5" subtotal="count" baseField="1" baseItem="0"/>
  </dataFields>
  <formats count="6">
    <format dxfId="392">
      <pivotArea type="all" dataOnly="0" outline="0" fieldPosition="0"/>
    </format>
    <format dxfId="391">
      <pivotArea type="all" dataOnly="0" outline="0" fieldPosition="0"/>
    </format>
    <format dxfId="390">
      <pivotArea type="all" dataOnly="0" outline="0" fieldPosition="0"/>
    </format>
    <format dxfId="389">
      <pivotArea type="all" dataOnly="0" outline="0" fieldPosition="0"/>
    </format>
    <format dxfId="388">
      <pivotArea type="all" dataOnly="0" outline="0" fieldPosition="0"/>
    </format>
    <format dxfId="387">
      <pivotArea type="all" dataOnly="0" outline="0" fieldPosition="0"/>
    </format>
  </formats>
  <pivotTableStyleInfo name="PivotStyleMedium9" showRowHeaders="1" showColHeaders="1" showRowStripes="0" showColStripes="0" showLastColumn="1"/>
  <filters count="2">
    <filter fld="1"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8D82D28-E7FE-4F33-9256-7B41EC6BD98C}" name="PivotTable4" cacheId="16"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8:C10" firstHeaderRow="1" firstDataRow="2" firstDataCol="1"/>
  <pivotFields count="13">
    <pivotField dataField="1" showAll="0"/>
    <pivotField showAll="0"/>
    <pivotField axis="axisRow" showAll="0">
      <items count="7">
        <item m="1" x="5"/>
        <item m="1" x="1"/>
        <item x="0"/>
        <item m="1" x="2"/>
        <item m="1" x="4"/>
        <item m="1" x="3"/>
        <item t="default"/>
      </items>
    </pivotField>
    <pivotField showAll="0"/>
    <pivotField showAll="0"/>
    <pivotField showAll="0"/>
    <pivotField showAll="0"/>
    <pivotField showAll="0"/>
    <pivotField showAll="0"/>
    <pivotField showAll="0"/>
    <pivotField showAll="0"/>
    <pivotField showAll="0"/>
    <pivotField axis="axisCol" showAll="0" sortType="ascending">
      <items count="9">
        <item m="1" x="4"/>
        <item m="1" x="5"/>
        <item m="1" x="6"/>
        <item m="1" x="1"/>
        <item m="1" x="2"/>
        <item m="1" x="3"/>
        <item m="1" x="7"/>
        <item x="0"/>
        <item t="default"/>
      </items>
    </pivotField>
  </pivotFields>
  <rowFields count="1">
    <field x="2"/>
  </rowFields>
  <rowItems count="1">
    <i t="grand">
      <x/>
    </i>
  </rowItems>
  <colFields count="1">
    <field x="12"/>
  </colFields>
  <colItems count="1">
    <i t="grand">
      <x/>
    </i>
  </colItems>
  <dataFields count="1">
    <dataField name="TK thụ lý" fld="0" subtotal="count" baseField="2" baseItem="0"/>
  </dataFields>
  <formats count="16">
    <format dxfId="408">
      <pivotArea type="all" dataOnly="0" outline="0" fieldPosition="0"/>
    </format>
    <format dxfId="407">
      <pivotArea type="all" dataOnly="0" outline="0" fieldPosition="0"/>
    </format>
    <format dxfId="406">
      <pivotArea type="all" dataOnly="0" outline="0" fieldPosition="0"/>
    </format>
    <format dxfId="405">
      <pivotArea type="all" dataOnly="0" outline="0" fieldPosition="0"/>
    </format>
    <format dxfId="404">
      <pivotArea type="all" dataOnly="0" outline="0" fieldPosition="0"/>
    </format>
    <format dxfId="403">
      <pivotArea type="all" dataOnly="0" outline="0" fieldPosition="0"/>
    </format>
    <format dxfId="402">
      <pivotArea type="all" dataOnly="0" outline="0" fieldPosition="0"/>
    </format>
    <format dxfId="401">
      <pivotArea outline="0" collapsedLevelsAreSubtotals="1" fieldPosition="0"/>
    </format>
    <format dxfId="400">
      <pivotArea type="origin" dataOnly="0" labelOnly="1" outline="0" fieldPosition="0"/>
    </format>
    <format dxfId="399">
      <pivotArea field="12" type="button" dataOnly="0" labelOnly="1" outline="0" axis="axisCol" fieldPosition="0"/>
    </format>
    <format dxfId="398">
      <pivotArea type="topRight" dataOnly="0" labelOnly="1" outline="0" fieldPosition="0"/>
    </format>
    <format dxfId="397">
      <pivotArea field="2" type="button" dataOnly="0" labelOnly="1" outline="0" axis="axisRow" fieldPosition="0"/>
    </format>
    <format dxfId="396">
      <pivotArea dataOnly="0" labelOnly="1" fieldPosition="0">
        <references count="1">
          <reference field="2" count="2">
            <x v="0"/>
            <x v="1"/>
          </reference>
        </references>
      </pivotArea>
    </format>
    <format dxfId="395">
      <pivotArea dataOnly="0" labelOnly="1" grandRow="1" outline="0" fieldPosition="0"/>
    </format>
    <format dxfId="394">
      <pivotArea dataOnly="0" labelOnly="1" fieldPosition="0">
        <references count="1">
          <reference field="12" count="2">
            <x v="0"/>
            <x v="6"/>
          </reference>
        </references>
      </pivotArea>
    </format>
    <format dxfId="393">
      <pivotArea dataOnly="0" labelOnly="1" grandCol="1" outline="0" fieldPosition="0"/>
    </format>
  </formats>
  <pivotTableStyleInfo name="PivotStyleMedium9" showRowHeaders="1" showColHeaders="1" showRowStripes="0" showColStripes="0" showLastColumn="1"/>
  <filters count="2">
    <filter fld="2" type="captionNotContains" evalOrder="-1" id="4" stringValue1="blank">
      <autoFilter ref="A1">
        <filterColumn colId="0">
          <customFilters>
            <customFilter operator="notEqual" val="*blank*"/>
          </customFilters>
        </filterColumn>
      </autoFilter>
    </filter>
    <filter fld="12"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FFAC346-5B5C-414E-9CD8-C2BF4623A445}" name="PivotTable26"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Loại">
  <location ref="B50:C51" firstHeaderRow="1" firstDataRow="1" firstDataCol="1"/>
  <pivotFields count="4">
    <pivotField axis="axisRow" showAll="0">
      <items count="4">
        <item m="1" x="2"/>
        <item x="0"/>
        <item m="1" x="1"/>
        <item t="default"/>
      </items>
    </pivotField>
    <pivotField showAll="0"/>
    <pivotField showAll="0"/>
    <pivotField dataField="1" showAll="0"/>
  </pivotFields>
  <rowFields count="1">
    <field x="0"/>
  </rowFields>
  <rowItems count="1">
    <i t="grand">
      <x/>
    </i>
  </rowItems>
  <colItems count="1">
    <i/>
  </colItems>
  <dataFields count="1">
    <dataField name="Số lượng" fld="3" subtotal="count" baseField="0" baseItem="0"/>
  </dataFields>
  <formats count="30">
    <format dxfId="302">
      <pivotArea type="all" dataOnly="0" outline="0" fieldPosition="0"/>
    </format>
    <format dxfId="301">
      <pivotArea outline="0" collapsedLevelsAreSubtotals="1" fieldPosition="0"/>
    </format>
    <format dxfId="300">
      <pivotArea field="0" type="button" dataOnly="0" labelOnly="1" outline="0" axis="axisRow" fieldPosition="0"/>
    </format>
    <format dxfId="299">
      <pivotArea dataOnly="0" labelOnly="1" fieldPosition="0">
        <references count="1">
          <reference field="0" count="0"/>
        </references>
      </pivotArea>
    </format>
    <format dxfId="298">
      <pivotArea dataOnly="0" labelOnly="1" grandRow="1" outline="0" fieldPosition="0"/>
    </format>
    <format dxfId="297">
      <pivotArea dataOnly="0" labelOnly="1" outline="0" axis="axisValues" fieldPosition="0"/>
    </format>
    <format dxfId="296">
      <pivotArea type="all" dataOnly="0" outline="0" fieldPosition="0"/>
    </format>
    <format dxfId="295">
      <pivotArea outline="0" collapsedLevelsAreSubtotals="1" fieldPosition="0"/>
    </format>
    <format dxfId="294">
      <pivotArea field="0" type="button" dataOnly="0" labelOnly="1" outline="0" axis="axisRow" fieldPosition="0"/>
    </format>
    <format dxfId="293">
      <pivotArea dataOnly="0" labelOnly="1" fieldPosition="0">
        <references count="1">
          <reference field="0" count="0"/>
        </references>
      </pivotArea>
    </format>
    <format dxfId="292">
      <pivotArea dataOnly="0" labelOnly="1" grandRow="1" outline="0" fieldPosition="0"/>
    </format>
    <format dxfId="291">
      <pivotArea dataOnly="0" labelOnly="1" outline="0" axis="axisValues" fieldPosition="0"/>
    </format>
    <format dxfId="290">
      <pivotArea type="all" dataOnly="0" outline="0" fieldPosition="0"/>
    </format>
    <format dxfId="289">
      <pivotArea outline="0" collapsedLevelsAreSubtotals="1" fieldPosition="0"/>
    </format>
    <format dxfId="288">
      <pivotArea field="0" type="button" dataOnly="0" labelOnly="1" outline="0" axis="axisRow" fieldPosition="0"/>
    </format>
    <format dxfId="287">
      <pivotArea dataOnly="0" labelOnly="1" fieldPosition="0">
        <references count="1">
          <reference field="0" count="0"/>
        </references>
      </pivotArea>
    </format>
    <format dxfId="286">
      <pivotArea dataOnly="0" labelOnly="1" grandRow="1" outline="0" fieldPosition="0"/>
    </format>
    <format dxfId="285">
      <pivotArea dataOnly="0" labelOnly="1" outline="0" axis="axisValues" fieldPosition="0"/>
    </format>
    <format dxfId="284">
      <pivotArea type="all" dataOnly="0" outline="0" fieldPosition="0"/>
    </format>
    <format dxfId="283">
      <pivotArea outline="0" collapsedLevelsAreSubtotals="1" fieldPosition="0"/>
    </format>
    <format dxfId="282">
      <pivotArea field="0" type="button" dataOnly="0" labelOnly="1" outline="0" axis="axisRow" fieldPosition="0"/>
    </format>
    <format dxfId="281">
      <pivotArea dataOnly="0" labelOnly="1" fieldPosition="0">
        <references count="1">
          <reference field="0" count="0"/>
        </references>
      </pivotArea>
    </format>
    <format dxfId="280">
      <pivotArea dataOnly="0" labelOnly="1" grandRow="1" outline="0" fieldPosition="0"/>
    </format>
    <format dxfId="279">
      <pivotArea dataOnly="0" labelOnly="1" outline="0" axis="axisValues" fieldPosition="0"/>
    </format>
    <format dxfId="278">
      <pivotArea type="all" dataOnly="0" outline="0" fieldPosition="0"/>
    </format>
    <format dxfId="277">
      <pivotArea outline="0" collapsedLevelsAreSubtotals="1" fieldPosition="0"/>
    </format>
    <format dxfId="276">
      <pivotArea field="0" type="button" dataOnly="0" labelOnly="1" outline="0" axis="axisRow" fieldPosition="0"/>
    </format>
    <format dxfId="275">
      <pivotArea dataOnly="0" labelOnly="1" fieldPosition="0">
        <references count="1">
          <reference field="0" count="0"/>
        </references>
      </pivotArea>
    </format>
    <format dxfId="274">
      <pivotArea dataOnly="0" labelOnly="1" grandRow="1" outline="0" fieldPosition="0"/>
    </format>
    <format dxfId="273">
      <pivotArea dataOnly="0" labelOnly="1" outline="0" axis="axisValues" fieldPosition="0"/>
    </format>
  </formats>
  <pivotTableStyleInfo name="PivotStyleMedium9" showRowHeaders="1" showColHeaders="1" showRowStripes="0" showColStripes="0" showLastColumn="1"/>
  <filters count="1">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13C6A86-A161-4957-A23D-3673D9AD65F3}" name="PivotTable22" cacheId="29"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háng">
  <location ref="B42:C44" firstHeaderRow="1" firstDataRow="2" firstDataCol="1"/>
  <pivotFields count="6">
    <pivotField axis="axisCol" showAll="0">
      <items count="5">
        <item m="1" x="3"/>
        <item m="1" x="1"/>
        <item x="0"/>
        <item m="1" x="2"/>
        <item t="default"/>
      </items>
    </pivotField>
    <pivotField axis="axisRow" showAll="0">
      <items count="3">
        <item m="1" x="1"/>
        <item x="0"/>
        <item t="default"/>
      </items>
    </pivotField>
    <pivotField showAll="0"/>
    <pivotField showAll="0"/>
    <pivotField showAll="0"/>
    <pivotField dataField="1" showAll="0"/>
  </pivotFields>
  <rowFields count="1">
    <field x="1"/>
  </rowFields>
  <rowItems count="1">
    <i t="grand">
      <x/>
    </i>
  </rowItems>
  <colFields count="1">
    <field x="0"/>
  </colFields>
  <colItems count="1">
    <i t="grand">
      <x/>
    </i>
  </colItems>
  <dataFields count="1">
    <dataField name="PT 08" fld="5" subtotal="count" baseField="1" baseItem="0"/>
  </dataFields>
  <formats count="6">
    <format dxfId="308">
      <pivotArea type="all" dataOnly="0" outline="0" fieldPosition="0"/>
    </format>
    <format dxfId="307">
      <pivotArea type="all" dataOnly="0" outline="0" fieldPosition="0"/>
    </format>
    <format dxfId="306">
      <pivotArea type="all" dataOnly="0" outline="0" fieldPosition="0"/>
    </format>
    <format dxfId="305">
      <pivotArea type="all" dataOnly="0" outline="0" fieldPosition="0"/>
    </format>
    <format dxfId="304">
      <pivotArea type="all" dataOnly="0" outline="0" fieldPosition="0"/>
    </format>
    <format dxfId="303">
      <pivotArea type="all" dataOnly="0" outline="0" fieldPosition="0"/>
    </format>
  </formats>
  <pivotTableStyleInfo name="PivotStyleMedium9" showRowHeaders="1" showColHeaders="1" showRowStripes="0" showColStripes="0" showLastColumn="1"/>
  <filters count="2">
    <filter fld="1"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443E827-3499-4F19-96FD-C592DAAE8571}" name="PivotTable9" cacheId="13"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26:C28" firstHeaderRow="1" firstDataRow="2" firstDataCol="1"/>
  <pivotFields count="11">
    <pivotField axis="axisRow" showAll="0">
      <items count="5">
        <item x="0"/>
        <item m="1" x="3"/>
        <item m="1" x="2"/>
        <item m="1" x="1"/>
        <item t="default"/>
      </items>
    </pivotField>
    <pivotField showAll="0"/>
    <pivotField showAll="0"/>
    <pivotField showAll="0"/>
    <pivotField showAll="0"/>
    <pivotField axis="axisCol" showAll="0">
      <items count="6">
        <item x="0"/>
        <item m="1" x="4"/>
        <item m="1" x="3"/>
        <item m="1" x="1"/>
        <item m="1" x="2"/>
        <item t="default"/>
      </items>
    </pivotField>
    <pivotField showAll="0"/>
    <pivotField showAll="0"/>
    <pivotField showAll="0"/>
    <pivotField showAll="0"/>
    <pivotField dataField="1" showAll="0"/>
  </pivotFields>
  <rowFields count="1">
    <field x="0"/>
  </rowFields>
  <rowItems count="1">
    <i t="grand">
      <x/>
    </i>
  </rowItems>
  <colFields count="1">
    <field x="5"/>
  </colFields>
  <colItems count="1">
    <i t="grand">
      <x/>
    </i>
  </colItems>
  <dataFields count="1">
    <dataField name="TK giải quyết" fld="10" subtotal="count" baseField="0" baseItem="0"/>
  </dataFields>
  <formats count="13">
    <format dxfId="321">
      <pivotArea type="origin" dataOnly="0" labelOnly="1" outline="0" fieldPosition="0"/>
    </format>
    <format dxfId="320">
      <pivotArea type="all" dataOnly="0" outline="0" fieldPosition="0"/>
    </format>
    <format dxfId="319">
      <pivotArea type="all" dataOnly="0" outline="0" fieldPosition="0"/>
    </format>
    <format dxfId="318">
      <pivotArea type="all" dataOnly="0" outline="0" fieldPosition="0"/>
    </format>
    <format dxfId="317">
      <pivotArea type="all" dataOnly="0" outline="0" fieldPosition="0"/>
    </format>
    <format dxfId="316">
      <pivotArea outline="0" collapsedLevelsAreSubtotals="1" fieldPosition="0"/>
    </format>
    <format dxfId="315">
      <pivotArea type="origin" dataOnly="0" labelOnly="1" outline="0" fieldPosition="0"/>
    </format>
    <format dxfId="314">
      <pivotArea field="5" type="button" dataOnly="0" labelOnly="1" outline="0" axis="axisCol" fieldPosition="0"/>
    </format>
    <format dxfId="313">
      <pivotArea field="0" type="button" dataOnly="0" labelOnly="1" outline="0" axis="axisRow" fieldPosition="0"/>
    </format>
    <format dxfId="312">
      <pivotArea dataOnly="0" labelOnly="1" grandRow="1" outline="0" fieldPosition="0"/>
    </format>
    <format dxfId="311">
      <pivotArea dataOnly="0" labelOnly="1" grandCol="1" outline="0" fieldPosition="0"/>
    </format>
    <format dxfId="310">
      <pivotArea type="all" dataOnly="0" outline="0" fieldPosition="0"/>
    </format>
    <format dxfId="309">
      <pivotArea type="all" dataOnly="0" outline="0" fieldPosition="0"/>
    </format>
  </formats>
  <pivotTableStyleInfo name="PivotStyleMedium9" showRowHeaders="1" showColHeaders="1" showRowStripes="0" showColStripes="0" showLastColumn="1"/>
  <filters count="1">
    <filter fld="5"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8294D8AB-4842-49AA-B7EF-16760C92D550}" name="PivotTable8" cacheId="12"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8:C10" firstHeaderRow="1" firstDataRow="2" firstDataCol="1"/>
  <pivotFields count="13">
    <pivotField dataField="1" showAll="0"/>
    <pivotField showAll="0"/>
    <pivotField axis="axisRow" showAll="0">
      <items count="5">
        <item x="0"/>
        <item m="1" x="1"/>
        <item m="1" x="3"/>
        <item m="1" x="2"/>
        <item t="default"/>
      </items>
    </pivotField>
    <pivotField showAll="0"/>
    <pivotField showAll="0"/>
    <pivotField showAll="0"/>
    <pivotField showAll="0"/>
    <pivotField showAll="0"/>
    <pivotField showAll="0"/>
    <pivotField showAll="0"/>
    <pivotField showAll="0"/>
    <pivotField showAll="0"/>
    <pivotField axis="axisCol" showAll="0" sortType="ascending">
      <items count="6">
        <item m="1" x="1"/>
        <item m="1" x="3"/>
        <item m="1" x="4"/>
        <item m="1" x="2"/>
        <item x="0"/>
        <item t="default"/>
      </items>
    </pivotField>
  </pivotFields>
  <rowFields count="1">
    <field x="2"/>
  </rowFields>
  <rowItems count="1">
    <i t="grand">
      <x/>
    </i>
  </rowItems>
  <colFields count="1">
    <field x="12"/>
  </colFields>
  <colItems count="1">
    <i t="grand">
      <x/>
    </i>
  </colItems>
  <dataFields count="1">
    <dataField name="TK thụ lý" fld="0" subtotal="count" baseField="2" baseItem="0"/>
  </dataFields>
  <formats count="13">
    <format dxfId="334">
      <pivotArea type="all" dataOnly="0" outline="0" fieldPosition="0"/>
    </format>
    <format dxfId="333">
      <pivotArea type="all" dataOnly="0" outline="0" fieldPosition="0"/>
    </format>
    <format dxfId="332">
      <pivotArea type="all" dataOnly="0" outline="0" fieldPosition="0"/>
    </format>
    <format dxfId="331">
      <pivotArea type="all" dataOnly="0" outline="0" fieldPosition="0"/>
    </format>
    <format dxfId="330">
      <pivotArea type="all" dataOnly="0" outline="0" fieldPosition="0"/>
    </format>
    <format dxfId="329">
      <pivotArea type="all" dataOnly="0" outline="0" fieldPosition="0"/>
    </format>
    <format dxfId="328">
      <pivotArea type="all" dataOnly="0" outline="0" fieldPosition="0"/>
    </format>
    <format dxfId="327">
      <pivotArea outline="0" collapsedLevelsAreSubtotals="1" fieldPosition="0"/>
    </format>
    <format dxfId="326">
      <pivotArea type="origin" dataOnly="0" labelOnly="1" outline="0" fieldPosition="0"/>
    </format>
    <format dxfId="325">
      <pivotArea field="12" type="button" dataOnly="0" labelOnly="1" outline="0" axis="axisCol" fieldPosition="0"/>
    </format>
    <format dxfId="324">
      <pivotArea field="2" type="button" dataOnly="0" labelOnly="1" outline="0" axis="axisRow" fieldPosition="0"/>
    </format>
    <format dxfId="323">
      <pivotArea dataOnly="0" labelOnly="1" grandRow="1" outline="0" fieldPosition="0"/>
    </format>
    <format dxfId="322">
      <pivotArea dataOnly="0" labelOnly="1" grandCol="1" outline="0" fieldPosition="0"/>
    </format>
  </formats>
  <pivotTableStyleInfo name="PivotStyleMedium9" showRowHeaders="1" showColHeaders="1" showRowStripes="0" showColStripes="0" showLastColumn="1"/>
  <filters count="1">
    <filter fld="12"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6575BB6-71E8-40BF-9370-1D798BEA76B4}" name="PivotTable2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Loại">
  <location ref="B52:C53" firstHeaderRow="1" firstDataRow="1" firstDataCol="1"/>
  <pivotFields count="4">
    <pivotField axis="axisRow" showAll="0">
      <items count="3">
        <item x="0"/>
        <item m="1" x="1"/>
        <item t="default"/>
      </items>
    </pivotField>
    <pivotField showAll="0"/>
    <pivotField showAll="0"/>
    <pivotField dataField="1" showAll="0"/>
  </pivotFields>
  <rowFields count="1">
    <field x="0"/>
  </rowFields>
  <rowItems count="1">
    <i t="grand">
      <x/>
    </i>
  </rowItems>
  <colItems count="1">
    <i/>
  </colItems>
  <dataFields count="1">
    <dataField name="Số lượng" fld="3" subtotal="count" baseField="0" baseItem="0"/>
  </dataFields>
  <formats count="30">
    <format dxfId="241">
      <pivotArea type="all" dataOnly="0" outline="0" fieldPosition="0"/>
    </format>
    <format dxfId="240">
      <pivotArea outline="0" collapsedLevelsAreSubtotals="1" fieldPosition="0"/>
    </format>
    <format dxfId="239">
      <pivotArea field="0" type="button" dataOnly="0" labelOnly="1" outline="0" axis="axisRow" fieldPosition="0"/>
    </format>
    <format dxfId="238">
      <pivotArea dataOnly="0" labelOnly="1" fieldPosition="0">
        <references count="1">
          <reference field="0" count="0"/>
        </references>
      </pivotArea>
    </format>
    <format dxfId="237">
      <pivotArea dataOnly="0" labelOnly="1" grandRow="1" outline="0" fieldPosition="0"/>
    </format>
    <format dxfId="236">
      <pivotArea dataOnly="0" labelOnly="1" outline="0" axis="axisValues" fieldPosition="0"/>
    </format>
    <format dxfId="235">
      <pivotArea type="all" dataOnly="0" outline="0" fieldPosition="0"/>
    </format>
    <format dxfId="234">
      <pivotArea outline="0" collapsedLevelsAreSubtotals="1" fieldPosition="0"/>
    </format>
    <format dxfId="233">
      <pivotArea field="0" type="button" dataOnly="0" labelOnly="1" outline="0" axis="axisRow" fieldPosition="0"/>
    </format>
    <format dxfId="232">
      <pivotArea dataOnly="0" labelOnly="1" fieldPosition="0">
        <references count="1">
          <reference field="0" count="0"/>
        </references>
      </pivotArea>
    </format>
    <format dxfId="231">
      <pivotArea dataOnly="0" labelOnly="1" grandRow="1" outline="0" fieldPosition="0"/>
    </format>
    <format dxfId="230">
      <pivotArea dataOnly="0" labelOnly="1" outline="0" axis="axisValues" fieldPosition="0"/>
    </format>
    <format dxfId="229">
      <pivotArea type="all" dataOnly="0" outline="0" fieldPosition="0"/>
    </format>
    <format dxfId="228">
      <pivotArea outline="0" collapsedLevelsAreSubtotals="1" fieldPosition="0"/>
    </format>
    <format dxfId="227">
      <pivotArea field="0" type="button" dataOnly="0" labelOnly="1" outline="0" axis="axisRow" fieldPosition="0"/>
    </format>
    <format dxfId="226">
      <pivotArea dataOnly="0" labelOnly="1" fieldPosition="0">
        <references count="1">
          <reference field="0" count="0"/>
        </references>
      </pivotArea>
    </format>
    <format dxfId="225">
      <pivotArea dataOnly="0" labelOnly="1" grandRow="1" outline="0" fieldPosition="0"/>
    </format>
    <format dxfId="224">
      <pivotArea dataOnly="0" labelOnly="1" outline="0" axis="axisValues" fieldPosition="0"/>
    </format>
    <format dxfId="223">
      <pivotArea type="all" dataOnly="0" outline="0" fieldPosition="0"/>
    </format>
    <format dxfId="222">
      <pivotArea outline="0" collapsedLevelsAreSubtotals="1" fieldPosition="0"/>
    </format>
    <format dxfId="221">
      <pivotArea field="0" type="button" dataOnly="0" labelOnly="1" outline="0" axis="axisRow" fieldPosition="0"/>
    </format>
    <format dxfId="220">
      <pivotArea dataOnly="0" labelOnly="1" fieldPosition="0">
        <references count="1">
          <reference field="0" count="0"/>
        </references>
      </pivotArea>
    </format>
    <format dxfId="219">
      <pivotArea dataOnly="0" labelOnly="1" grandRow="1" outline="0"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field="0" type="button" dataOnly="0" labelOnly="1" outline="0" axis="axisRow" fieldPosition="0"/>
    </format>
    <format dxfId="214">
      <pivotArea dataOnly="0" labelOnly="1" fieldPosition="0">
        <references count="1">
          <reference field="0" count="0"/>
        </references>
      </pivotArea>
    </format>
    <format dxfId="213">
      <pivotArea dataOnly="0" labelOnly="1" grandRow="1" outline="0" fieldPosition="0"/>
    </format>
    <format dxfId="212">
      <pivotArea dataOnly="0" labelOnly="1" outline="0" axis="axisValues" fieldPosition="0"/>
    </format>
  </formats>
  <pivotTableStyleInfo name="PivotStyleMedium9" showRowHeaders="1" showColHeaders="1" showRowStripes="0" showColStripes="0" showLastColumn="1"/>
  <filters count="1">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B9915504-4451-4F11-A691-A1A17A2E410A}" name="PivotTable25" cacheId="2"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háng">
  <location ref="B42:C44" firstHeaderRow="1" firstDataRow="2" firstDataCol="1"/>
  <pivotFields count="6">
    <pivotField axis="axisCol" showAll="0">
      <items count="6">
        <item m="1" x="2"/>
        <item m="1" x="4"/>
        <item x="0"/>
        <item m="1" x="1"/>
        <item m="1" x="3"/>
        <item t="default"/>
      </items>
    </pivotField>
    <pivotField axis="axisRow" showAll="0">
      <items count="3">
        <item x="0"/>
        <item m="1" x="1"/>
        <item t="default"/>
      </items>
    </pivotField>
    <pivotField showAll="0"/>
    <pivotField showAll="0"/>
    <pivotField showAll="0"/>
    <pivotField dataField="1" showAll="0"/>
  </pivotFields>
  <rowFields count="1">
    <field x="1"/>
  </rowFields>
  <rowItems count="1">
    <i t="grand">
      <x/>
    </i>
  </rowItems>
  <colFields count="1">
    <field x="0"/>
  </colFields>
  <colItems count="1">
    <i t="grand">
      <x/>
    </i>
  </colItems>
  <dataFields count="1">
    <dataField name="PT 08" fld="5" subtotal="count" baseField="1" baseItem="0"/>
  </dataFields>
  <formats count="5">
    <format dxfId="246">
      <pivotArea type="all" dataOnly="0" outline="0" fieldPosition="0"/>
    </format>
    <format dxfId="245">
      <pivotArea type="all" dataOnly="0" outline="0" fieldPosition="0"/>
    </format>
    <format dxfId="244">
      <pivotArea type="all" dataOnly="0" outline="0" fieldPosition="0"/>
    </format>
    <format dxfId="243">
      <pivotArea type="all" dataOnly="0" outline="0" fieldPosition="0"/>
    </format>
    <format dxfId="242">
      <pivotArea type="all" dataOnly="0" outline="0" fieldPosition="0"/>
    </format>
  </formats>
  <pivotTableStyleInfo name="PivotStyleMedium9" showRowHeaders="1" showColHeaders="1" showRowStripes="0" showColStripes="0" showLastColumn="1"/>
  <filters count="2">
    <filter fld="1"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809573E-9214-4539-BDA4-40473B9B0926}" name="PivotTable2" cacheId="10"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26:C28" firstHeaderRow="1" firstDataRow="2" firstDataCol="1"/>
  <pivotFields count="11">
    <pivotField axis="axisRow" showAll="0">
      <items count="8">
        <item m="1" x="1"/>
        <item x="0"/>
        <item m="1" x="3"/>
        <item m="1" x="6"/>
        <item m="1" x="5"/>
        <item m="1" x="2"/>
        <item m="1" x="4"/>
        <item t="default"/>
      </items>
    </pivotField>
    <pivotField showAll="0"/>
    <pivotField showAll="0"/>
    <pivotField showAll="0"/>
    <pivotField showAll="0"/>
    <pivotField axis="axisCol" showAll="0">
      <items count="7">
        <item m="1" x="4"/>
        <item x="0"/>
        <item m="1" x="2"/>
        <item m="1" x="5"/>
        <item m="1" x="1"/>
        <item m="1" x="3"/>
        <item t="default"/>
      </items>
    </pivotField>
    <pivotField showAll="0"/>
    <pivotField showAll="0"/>
    <pivotField showAll="0"/>
    <pivotField showAll="0"/>
    <pivotField dataField="1" showAll="0"/>
  </pivotFields>
  <rowFields count="1">
    <field x="0"/>
  </rowFields>
  <rowItems count="1">
    <i t="grand">
      <x/>
    </i>
  </rowItems>
  <colFields count="1">
    <field x="5"/>
  </colFields>
  <colItems count="1">
    <i t="grand">
      <x/>
    </i>
  </colItems>
  <dataFields count="1">
    <dataField name="TK giải quyết" fld="10" subtotal="count" baseField="0" baseItem="0"/>
  </dataFields>
  <formats count="13">
    <format dxfId="259">
      <pivotArea type="origin" dataOnly="0" labelOnly="1" outline="0" fieldPosition="0"/>
    </format>
    <format dxfId="258">
      <pivotArea type="all" dataOnly="0" outline="0" fieldPosition="0"/>
    </format>
    <format dxfId="257">
      <pivotArea type="all" dataOnly="0" outline="0" fieldPosition="0"/>
    </format>
    <format dxfId="256">
      <pivotArea type="all" dataOnly="0" outline="0" fieldPosition="0"/>
    </format>
    <format dxfId="255">
      <pivotArea outline="0" collapsedLevelsAreSubtotals="1" fieldPosition="0"/>
    </format>
    <format dxfId="254">
      <pivotArea type="origin" dataOnly="0" labelOnly="1" outline="0" fieldPosition="0"/>
    </format>
    <format dxfId="253">
      <pivotArea field="5" type="button" dataOnly="0" labelOnly="1" outline="0" axis="axisCol" fieldPosition="0"/>
    </format>
    <format dxfId="252">
      <pivotArea field="0" type="button" dataOnly="0" labelOnly="1" outline="0" axis="axisRow" fieldPosition="0"/>
    </format>
    <format dxfId="251">
      <pivotArea dataOnly="0" labelOnly="1" grandRow="1" outline="0" fieldPosition="0"/>
    </format>
    <format dxfId="250">
      <pivotArea dataOnly="0" labelOnly="1" grandCol="1" outline="0" fieldPosition="0"/>
    </format>
    <format dxfId="249">
      <pivotArea type="all" dataOnly="0" outline="0" fieldPosition="0"/>
    </format>
    <format dxfId="248">
      <pivotArea type="all" dataOnly="0" outline="0" fieldPosition="0"/>
    </format>
    <format dxfId="247">
      <pivotArea type="all" dataOnly="0" outline="0" fieldPosition="0"/>
    </format>
  </formats>
  <pivotTableStyleInfo name="PivotStyleMedium9" showRowHeaders="1" showColHeaders="1" showRowStripes="0" showColStripes="0" showLastColumn="1"/>
  <filters count="1">
    <filter fld="5"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CC1EFDF1-3354-4E04-B95B-5F0927C854D4}" name="PivotTable1" cacheId="14" applyNumberFormats="0" applyBorderFormats="0" applyFontFormats="0" applyPatternFormats="0" applyAlignmentFormats="0" applyWidthHeightFormats="1" dataCaption="Values" grandTotalCaption="Tổng" updatedVersion="8" minRefreshableVersion="3" itemPrintTitles="1" createdVersion="7" indent="0" outline="1" outlineData="1" multipleFieldFilters="0" rowHeaderCaption="Loại" colHeaderCaption="Tháng">
  <location ref="B8:C10" firstHeaderRow="1" firstDataRow="2" firstDataCol="1"/>
  <pivotFields count="13">
    <pivotField dataField="1" showAll="0"/>
    <pivotField showAll="0"/>
    <pivotField axis="axisRow" showAll="0">
      <items count="9">
        <item m="1" x="1"/>
        <item x="0"/>
        <item m="1" x="5"/>
        <item m="1" x="4"/>
        <item m="1" x="2"/>
        <item m="1" x="3"/>
        <item m="1" x="7"/>
        <item m="1" x="6"/>
        <item t="default"/>
      </items>
    </pivotField>
    <pivotField showAll="0"/>
    <pivotField showAll="0"/>
    <pivotField showAll="0"/>
    <pivotField showAll="0"/>
    <pivotField showAll="0"/>
    <pivotField showAll="0"/>
    <pivotField showAll="0"/>
    <pivotField showAll="0"/>
    <pivotField showAll="0"/>
    <pivotField axis="axisCol" showAll="0">
      <items count="5">
        <item m="1" x="2"/>
        <item x="0"/>
        <item m="1" x="1"/>
        <item m="1" x="3"/>
        <item t="default"/>
      </items>
    </pivotField>
  </pivotFields>
  <rowFields count="1">
    <field x="2"/>
  </rowFields>
  <rowItems count="1">
    <i t="grand">
      <x/>
    </i>
  </rowItems>
  <colFields count="1">
    <field x="12"/>
  </colFields>
  <colItems count="1">
    <i t="grand">
      <x/>
    </i>
  </colItems>
  <dataFields count="1">
    <dataField name="TK thụ lý" fld="0" subtotal="count" baseField="2" baseItem="0"/>
  </dataFields>
  <formats count="13">
    <format dxfId="272">
      <pivotArea type="all" dataOnly="0" outline="0" fieldPosition="0"/>
    </format>
    <format dxfId="271">
      <pivotArea type="all" dataOnly="0" outline="0" fieldPosition="0"/>
    </format>
    <format dxfId="270">
      <pivotArea type="all" dataOnly="0" outline="0" fieldPosition="0"/>
    </format>
    <format dxfId="269">
      <pivotArea type="all" dataOnly="0" outline="0" fieldPosition="0"/>
    </format>
    <format dxfId="268">
      <pivotArea type="all" dataOnly="0" outline="0" fieldPosition="0"/>
    </format>
    <format dxfId="267">
      <pivotArea type="all" dataOnly="0" outline="0" fieldPosition="0"/>
    </format>
    <format dxfId="266">
      <pivotArea type="all" dataOnly="0" outline="0" fieldPosition="0"/>
    </format>
    <format dxfId="265">
      <pivotArea outline="0" collapsedLevelsAreSubtotals="1" fieldPosition="0"/>
    </format>
    <format dxfId="264">
      <pivotArea type="origin" dataOnly="0" labelOnly="1" outline="0" fieldPosition="0"/>
    </format>
    <format dxfId="263">
      <pivotArea field="12" type="button" dataOnly="0" labelOnly="1" outline="0" axis="axisCol" fieldPosition="0"/>
    </format>
    <format dxfId="262">
      <pivotArea field="2" type="button" dataOnly="0" labelOnly="1" outline="0" axis="axisRow" fieldPosition="0"/>
    </format>
    <format dxfId="261">
      <pivotArea dataOnly="0" labelOnly="1" grandRow="1" outline="0" fieldPosition="0"/>
    </format>
    <format dxfId="260">
      <pivotArea dataOnly="0" labelOnly="1" grandCol="1" outline="0" fieldPosition="0"/>
    </format>
  </formats>
  <pivotTableStyleInfo name="PivotStyleMedium9" showRowHeaders="1" showColHeaders="1" showRowStripes="0" showColStripes="0" showLastColumn="1"/>
  <filters count="1">
    <filter fld="12" type="captionNotContains" evalOrder="-1" id="3"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15D2490-6930-4D34-B875-B3F32D4161E5}" name="PivotTable7" cacheId="21"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PT RKN" colHeaderCaption="Tuần">
  <location ref="B39:C41" firstHeaderRow="1" firstDataRow="2"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35">
        <item m="1" x="10"/>
        <item m="1" x="15"/>
        <item m="1" x="14"/>
        <item x="0"/>
        <item m="1" x="1"/>
        <item m="1" x="2"/>
        <item m="1" x="33"/>
        <item m="1" x="9"/>
        <item m="1" x="7"/>
        <item m="1" x="5"/>
        <item m="1" x="4"/>
        <item m="1" x="8"/>
        <item m="1" x="3"/>
        <item m="1" x="6"/>
        <item m="1" x="12"/>
        <item m="1" x="13"/>
        <item m="1" x="11"/>
        <item m="1" x="17"/>
        <item m="1" x="23"/>
        <item m="1" x="16"/>
        <item m="1" x="18"/>
        <item m="1" x="19"/>
        <item m="1" x="20"/>
        <item m="1" x="25"/>
        <item m="1" x="26"/>
        <item m="1" x="22"/>
        <item m="1" x="24"/>
        <item m="1" x="21"/>
        <item m="1" x="27"/>
        <item m="1" x="28"/>
        <item m="1" x="30"/>
        <item m="1" x="29"/>
        <item m="1" x="31"/>
        <item m="1" x="32"/>
        <item t="default"/>
      </items>
    </pivotField>
    <pivotField showAll="0"/>
    <pivotField axis="axisRow" showAll="0">
      <items count="4">
        <item x="0"/>
        <item m="1" x="2"/>
        <item m="1" x="1"/>
        <item t="default"/>
      </items>
    </pivotField>
  </pivotFields>
  <rowFields count="1">
    <field x="21"/>
  </rowFields>
  <rowItems count="1">
    <i t="grand">
      <x/>
    </i>
  </rowItems>
  <colFields count="1">
    <field x="19"/>
  </colFields>
  <colItems count="1">
    <i t="grand">
      <x/>
    </i>
  </colItems>
  <dataFields count="1">
    <dataField name="Số lượng" fld="0" subtotal="count" baseField="21" baseItem="0"/>
  </dataFields>
  <formats count="36">
    <format dxfId="144">
      <pivotArea type="all" dataOnly="0" outline="0" fieldPosition="0"/>
    </format>
    <format dxfId="143">
      <pivotArea outline="0" collapsedLevelsAreSubtotals="1" fieldPosition="0"/>
    </format>
    <format dxfId="142">
      <pivotArea field="21" type="button" dataOnly="0" labelOnly="1" outline="0" axis="axisRow" fieldPosition="0"/>
    </format>
    <format dxfId="141">
      <pivotArea dataOnly="0" labelOnly="1" fieldPosition="0">
        <references count="1">
          <reference field="21" count="0"/>
        </references>
      </pivotArea>
    </format>
    <format dxfId="140">
      <pivotArea dataOnly="0" labelOnly="1" grandRow="1" outline="0" fieldPosition="0"/>
    </format>
    <format dxfId="139">
      <pivotArea dataOnly="0" labelOnly="1" outline="0" axis="axisValues" fieldPosition="0"/>
    </format>
    <format dxfId="138">
      <pivotArea type="all" dataOnly="0" outline="0" fieldPosition="0"/>
    </format>
    <format dxfId="137">
      <pivotArea outline="0" collapsedLevelsAreSubtotals="1" fieldPosition="0"/>
    </format>
    <format dxfId="136">
      <pivotArea field="21" type="button" dataOnly="0" labelOnly="1" outline="0" axis="axisRow" fieldPosition="0"/>
    </format>
    <format dxfId="135">
      <pivotArea dataOnly="0" labelOnly="1" fieldPosition="0">
        <references count="1">
          <reference field="21" count="0"/>
        </references>
      </pivotArea>
    </format>
    <format dxfId="134">
      <pivotArea dataOnly="0" labelOnly="1" grandRow="1" outline="0" fieldPosition="0"/>
    </format>
    <format dxfId="133">
      <pivotArea dataOnly="0" labelOnly="1" outline="0" axis="axisValues" fieldPosition="0"/>
    </format>
    <format dxfId="132">
      <pivotArea type="all" dataOnly="0" outline="0" fieldPosition="0"/>
    </format>
    <format dxfId="131">
      <pivotArea outline="0" collapsedLevelsAreSubtotals="1" fieldPosition="0"/>
    </format>
    <format dxfId="130">
      <pivotArea field="21" type="button" dataOnly="0" labelOnly="1" outline="0" axis="axisRow" fieldPosition="0"/>
    </format>
    <format dxfId="129">
      <pivotArea dataOnly="0" labelOnly="1" fieldPosition="0">
        <references count="1">
          <reference field="21" count="0"/>
        </references>
      </pivotArea>
    </format>
    <format dxfId="128">
      <pivotArea dataOnly="0" labelOnly="1" grandRow="1" outline="0" fieldPosition="0"/>
    </format>
    <format dxfId="127">
      <pivotArea dataOnly="0" labelOnly="1" outline="0" axis="axisValues" fieldPosition="0"/>
    </format>
    <format dxfId="126">
      <pivotArea type="all" dataOnly="0" outline="0" fieldPosition="0"/>
    </format>
    <format dxfId="125">
      <pivotArea outline="0" collapsedLevelsAreSubtotals="1" fieldPosition="0"/>
    </format>
    <format dxfId="124">
      <pivotArea field="21" type="button" dataOnly="0" labelOnly="1" outline="0" axis="axisRow" fieldPosition="0"/>
    </format>
    <format dxfId="123">
      <pivotArea dataOnly="0" labelOnly="1" fieldPosition="0">
        <references count="1">
          <reference field="21" count="0"/>
        </references>
      </pivotArea>
    </format>
    <format dxfId="122">
      <pivotArea dataOnly="0" labelOnly="1" grandRow="1" outline="0" fieldPosition="0"/>
    </format>
    <format dxfId="121">
      <pivotArea dataOnly="0" labelOnly="1" outline="0" axis="axisValues" fieldPosition="0"/>
    </format>
    <format dxfId="120">
      <pivotArea type="all" dataOnly="0" outline="0" fieldPosition="0"/>
    </format>
    <format dxfId="119">
      <pivotArea outline="0" collapsedLevelsAreSubtotals="1" fieldPosition="0"/>
    </format>
    <format dxfId="118">
      <pivotArea field="21" type="button" dataOnly="0" labelOnly="1" outline="0" axis="axisRow" fieldPosition="0"/>
    </format>
    <format dxfId="117">
      <pivotArea dataOnly="0" labelOnly="1" fieldPosition="0">
        <references count="1">
          <reference field="21" count="0"/>
        </references>
      </pivotArea>
    </format>
    <format dxfId="116">
      <pivotArea dataOnly="0" labelOnly="1" grandRow="1" outline="0" fieldPosition="0"/>
    </format>
    <format dxfId="115">
      <pivotArea dataOnly="0" labelOnly="1" outline="0" axis="axisValues" fieldPosition="0"/>
    </format>
    <format dxfId="114">
      <pivotArea type="all" dataOnly="0" outline="0" fieldPosition="0"/>
    </format>
    <format dxfId="113">
      <pivotArea outline="0" collapsedLevelsAreSubtotals="1" fieldPosition="0"/>
    </format>
    <format dxfId="112">
      <pivotArea field="21" type="button" dataOnly="0" labelOnly="1" outline="0" axis="axisRow" fieldPosition="0"/>
    </format>
    <format dxfId="111">
      <pivotArea dataOnly="0" labelOnly="1" fieldPosition="0">
        <references count="1">
          <reference field="21" count="0"/>
        </references>
      </pivotArea>
    </format>
    <format dxfId="110">
      <pivotArea dataOnly="0" labelOnly="1" grandRow="1" outline="0" fieldPosition="0"/>
    </format>
    <format dxfId="109">
      <pivotArea dataOnly="0" labelOnly="1" outline="0" axis="axisValues" fieldPosition="0"/>
    </format>
  </formats>
  <pivotTableStyleInfo name="PivotStyleMedium9" showRowHeaders="1" showColHeaders="1" showRowStripes="0" showColStripes="0" showLastColumn="1"/>
  <filters count="2">
    <filter fld="21" type="captionNotContains" evalOrder="-1" id="2" stringValue1="blank">
      <autoFilter ref="A1">
        <filterColumn colId="0">
          <customFilters>
            <customFilter operator="notEqual" val="*blank*"/>
          </customFilters>
        </filterColumn>
      </autoFilter>
    </filter>
    <filter fld="19"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7340748-1480-4340-AAC9-AB39DBDFD98B}" name="PivotTable6" cacheId="20"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VB giải quyết" colHeaderCaption="Tuần">
  <location ref="B26:C28" firstHeaderRow="1" firstDataRow="2" firstDataCol="1"/>
  <pivotFields count="2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m="1" x="3"/>
        <item m="1" x="1"/>
        <item m="1" x="4"/>
        <item x="0"/>
        <item m="1" x="5"/>
        <item m="1" x="6"/>
        <item m="1" x="2"/>
        <item t="default"/>
      </items>
    </pivotField>
    <pivotField showAll="0"/>
    <pivotField showAll="0"/>
    <pivotField showAll="0"/>
    <pivotField axis="axisCol" showAll="0" sortType="ascending">
      <items count="35">
        <item m="1" x="1"/>
        <item m="1" x="2"/>
        <item m="1" x="33"/>
        <item m="1" x="9"/>
        <item m="1" x="7"/>
        <item m="1" x="5"/>
        <item m="1" x="4"/>
        <item m="1" x="8"/>
        <item m="1" x="10"/>
        <item m="1" x="15"/>
        <item m="1" x="3"/>
        <item m="1" x="14"/>
        <item m="1" x="6"/>
        <item m="1" x="12"/>
        <item m="1" x="13"/>
        <item m="1" x="11"/>
        <item m="1" x="17"/>
        <item m="1" x="23"/>
        <item m="1" x="16"/>
        <item m="1" x="18"/>
        <item m="1" x="19"/>
        <item m="1" x="20"/>
        <item m="1" x="25"/>
        <item m="1" x="26"/>
        <item m="1" x="22"/>
        <item m="1" x="24"/>
        <item m="1" x="21"/>
        <item m="1" x="27"/>
        <item m="1" x="28"/>
        <item m="1" x="30"/>
        <item m="1" x="29"/>
        <item m="1" x="31"/>
        <item m="1" x="32"/>
        <item x="0"/>
        <item t="default"/>
      </items>
    </pivotField>
  </pivotFields>
  <rowFields count="1">
    <field x="15"/>
  </rowFields>
  <rowItems count="1">
    <i t="grand">
      <x/>
    </i>
  </rowItems>
  <colFields count="1">
    <field x="19"/>
  </colFields>
  <colItems count="1">
    <i t="grand">
      <x/>
    </i>
  </colItems>
  <dataFields count="1">
    <dataField name="TK giải quyết" fld="0" subtotal="count" baseField="15" baseItem="0"/>
  </dataFields>
  <formats count="60">
    <format dxfId="204">
      <pivotArea type="all" dataOnly="0" outline="0" fieldPosition="0"/>
    </format>
    <format dxfId="203">
      <pivotArea outline="0" collapsedLevelsAreSubtotals="1" fieldPosition="0"/>
    </format>
    <format dxfId="202">
      <pivotArea type="origin" dataOnly="0" labelOnly="1" outline="0" fieldPosition="0"/>
    </format>
    <format dxfId="201">
      <pivotArea field="19" type="button" dataOnly="0" labelOnly="1" outline="0" axis="axisCol" fieldPosition="0"/>
    </format>
    <format dxfId="200">
      <pivotArea type="topRight" dataOnly="0" labelOnly="1" outline="0" fieldPosition="0"/>
    </format>
    <format dxfId="199">
      <pivotArea field="15" type="button" dataOnly="0" labelOnly="1" outline="0" axis="axisRow" fieldPosition="0"/>
    </format>
    <format dxfId="198">
      <pivotArea dataOnly="0" labelOnly="1" fieldPosition="0">
        <references count="1">
          <reference field="15" count="0"/>
        </references>
      </pivotArea>
    </format>
    <format dxfId="197">
      <pivotArea dataOnly="0" labelOnly="1" grandRow="1" outline="0" fieldPosition="0"/>
    </format>
    <format dxfId="196">
      <pivotArea dataOnly="0" labelOnly="1" fieldPosition="0">
        <references count="1">
          <reference field="19" count="0"/>
        </references>
      </pivotArea>
    </format>
    <format dxfId="195">
      <pivotArea dataOnly="0" labelOnly="1" grandCol="1" outline="0" fieldPosition="0"/>
    </format>
    <format dxfId="194">
      <pivotArea type="all" dataOnly="0" outline="0" fieldPosition="0"/>
    </format>
    <format dxfId="193">
      <pivotArea outline="0" collapsedLevelsAreSubtotals="1" fieldPosition="0"/>
    </format>
    <format dxfId="192">
      <pivotArea type="origin" dataOnly="0" labelOnly="1" outline="0" fieldPosition="0"/>
    </format>
    <format dxfId="191">
      <pivotArea field="19" type="button" dataOnly="0" labelOnly="1" outline="0" axis="axisCol" fieldPosition="0"/>
    </format>
    <format dxfId="190">
      <pivotArea type="topRight" dataOnly="0" labelOnly="1" outline="0" fieldPosition="0"/>
    </format>
    <format dxfId="189">
      <pivotArea field="15" type="button" dataOnly="0" labelOnly="1" outline="0" axis="axisRow" fieldPosition="0"/>
    </format>
    <format dxfId="188">
      <pivotArea dataOnly="0" labelOnly="1" fieldPosition="0">
        <references count="1">
          <reference field="15" count="0"/>
        </references>
      </pivotArea>
    </format>
    <format dxfId="187">
      <pivotArea dataOnly="0" labelOnly="1" grandRow="1" outline="0" fieldPosition="0"/>
    </format>
    <format dxfId="186">
      <pivotArea dataOnly="0" labelOnly="1" fieldPosition="0">
        <references count="1">
          <reference field="19" count="0"/>
        </references>
      </pivotArea>
    </format>
    <format dxfId="185">
      <pivotArea dataOnly="0" labelOnly="1" grandCol="1" outline="0" fieldPosition="0"/>
    </format>
    <format dxfId="184">
      <pivotArea type="all" dataOnly="0" outline="0" fieldPosition="0"/>
    </format>
    <format dxfId="183">
      <pivotArea outline="0" collapsedLevelsAreSubtotals="1" fieldPosition="0"/>
    </format>
    <format dxfId="182">
      <pivotArea type="origin" dataOnly="0" labelOnly="1" outline="0" fieldPosition="0"/>
    </format>
    <format dxfId="181">
      <pivotArea field="19" type="button" dataOnly="0" labelOnly="1" outline="0" axis="axisCol" fieldPosition="0"/>
    </format>
    <format dxfId="180">
      <pivotArea type="topRight" dataOnly="0" labelOnly="1" outline="0" fieldPosition="0"/>
    </format>
    <format dxfId="179">
      <pivotArea field="15" type="button" dataOnly="0" labelOnly="1" outline="0" axis="axisRow" fieldPosition="0"/>
    </format>
    <format dxfId="178">
      <pivotArea dataOnly="0" labelOnly="1" fieldPosition="0">
        <references count="1">
          <reference field="15" count="0"/>
        </references>
      </pivotArea>
    </format>
    <format dxfId="177">
      <pivotArea dataOnly="0" labelOnly="1" grandRow="1" outline="0" fieldPosition="0"/>
    </format>
    <format dxfId="176">
      <pivotArea dataOnly="0" labelOnly="1" fieldPosition="0">
        <references count="1">
          <reference field="19" count="0"/>
        </references>
      </pivotArea>
    </format>
    <format dxfId="175">
      <pivotArea dataOnly="0" labelOnly="1" grandCol="1" outline="0" fieldPosition="0"/>
    </format>
    <format dxfId="174">
      <pivotArea type="all" dataOnly="0" outline="0" fieldPosition="0"/>
    </format>
    <format dxfId="173">
      <pivotArea outline="0" collapsedLevelsAreSubtotals="1" fieldPosition="0"/>
    </format>
    <format dxfId="172">
      <pivotArea type="origin" dataOnly="0" labelOnly="1" outline="0" fieldPosition="0"/>
    </format>
    <format dxfId="171">
      <pivotArea field="19" type="button" dataOnly="0" labelOnly="1" outline="0" axis="axisCol" fieldPosition="0"/>
    </format>
    <format dxfId="170">
      <pivotArea type="topRight" dataOnly="0" labelOnly="1" outline="0" fieldPosition="0"/>
    </format>
    <format dxfId="169">
      <pivotArea field="15" type="button" dataOnly="0" labelOnly="1" outline="0" axis="axisRow" fieldPosition="0"/>
    </format>
    <format dxfId="168">
      <pivotArea dataOnly="0" labelOnly="1" fieldPosition="0">
        <references count="1">
          <reference field="15" count="0"/>
        </references>
      </pivotArea>
    </format>
    <format dxfId="167">
      <pivotArea dataOnly="0" labelOnly="1" grandRow="1" outline="0" fieldPosition="0"/>
    </format>
    <format dxfId="166">
      <pivotArea dataOnly="0" labelOnly="1" fieldPosition="0">
        <references count="1">
          <reference field="19" count="0"/>
        </references>
      </pivotArea>
    </format>
    <format dxfId="165">
      <pivotArea dataOnly="0" labelOnly="1" grandCol="1" outline="0" fieldPosition="0"/>
    </format>
    <format dxfId="164">
      <pivotArea type="all" dataOnly="0" outline="0" fieldPosition="0"/>
    </format>
    <format dxfId="163">
      <pivotArea outline="0" collapsedLevelsAreSubtotals="1" fieldPosition="0"/>
    </format>
    <format dxfId="162">
      <pivotArea type="origin" dataOnly="0" labelOnly="1" outline="0" fieldPosition="0"/>
    </format>
    <format dxfId="161">
      <pivotArea field="19" type="button" dataOnly="0" labelOnly="1" outline="0" axis="axisCol" fieldPosition="0"/>
    </format>
    <format dxfId="160">
      <pivotArea type="topRight" dataOnly="0" labelOnly="1" outline="0" fieldPosition="0"/>
    </format>
    <format dxfId="159">
      <pivotArea field="15" type="button" dataOnly="0" labelOnly="1" outline="0" axis="axisRow" fieldPosition="0"/>
    </format>
    <format dxfId="158">
      <pivotArea dataOnly="0" labelOnly="1" fieldPosition="0">
        <references count="1">
          <reference field="15" count="0"/>
        </references>
      </pivotArea>
    </format>
    <format dxfId="157">
      <pivotArea dataOnly="0" labelOnly="1" grandRow="1" outline="0" fieldPosition="0"/>
    </format>
    <format dxfId="156">
      <pivotArea dataOnly="0" labelOnly="1" fieldPosition="0">
        <references count="1">
          <reference field="19" count="0"/>
        </references>
      </pivotArea>
    </format>
    <format dxfId="155">
      <pivotArea dataOnly="0" labelOnly="1" grandCol="1" outline="0" fieldPosition="0"/>
    </format>
    <format dxfId="154">
      <pivotArea type="all" dataOnly="0" outline="0" fieldPosition="0"/>
    </format>
    <format dxfId="153">
      <pivotArea outline="0" collapsedLevelsAreSubtotals="1" fieldPosition="0"/>
    </format>
    <format dxfId="152">
      <pivotArea type="origin" dataOnly="0" labelOnly="1" outline="0" fieldPosition="0"/>
    </format>
    <format dxfId="151">
      <pivotArea field="19" type="button" dataOnly="0" labelOnly="1" outline="0" axis="axisCol" fieldPosition="0"/>
    </format>
    <format dxfId="150">
      <pivotArea type="topRight" dataOnly="0" labelOnly="1" outline="0" fieldPosition="0"/>
    </format>
    <format dxfId="149">
      <pivotArea field="15" type="button" dataOnly="0" labelOnly="1" outline="0" axis="axisRow" fieldPosition="0"/>
    </format>
    <format dxfId="148">
      <pivotArea dataOnly="0" labelOnly="1" fieldPosition="0">
        <references count="1">
          <reference field="15" count="0"/>
        </references>
      </pivotArea>
    </format>
    <format dxfId="147">
      <pivotArea dataOnly="0" labelOnly="1" grandRow="1" outline="0" fieldPosition="0"/>
    </format>
    <format dxfId="146">
      <pivotArea dataOnly="0" labelOnly="1" fieldPosition="0">
        <references count="1">
          <reference field="19" count="0"/>
        </references>
      </pivotArea>
    </format>
    <format dxfId="145">
      <pivotArea dataOnly="0" labelOnly="1" grandCol="1" outline="0" fieldPosition="0"/>
    </format>
  </formats>
  <pivotTableStyleInfo name="PivotStyleMedium9" showRowHeaders="1" showColHeaders="1" showRowStripes="0" showColStripes="0" showLastColumn="1"/>
  <filters count="1">
    <filter fld="19"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515462D-4E62-45BF-9DB4-C9781F3ACAC6}" name="PivotTable1" cacheId="15"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 colHeaderCaption="Tuần">
  <location ref="B8:C10" firstHeaderRow="1" firstDataRow="2" firstDataCol="1"/>
  <pivotFields count="12">
    <pivotField dataField="1" showAll="0"/>
    <pivotField showAll="0"/>
    <pivotField axis="axisRow" showAll="0">
      <items count="11">
        <item m="1" x="6"/>
        <item m="1" x="9"/>
        <item m="1" x="7"/>
        <item m="1" x="3"/>
        <item m="1" x="1"/>
        <item x="0"/>
        <item m="1" x="4"/>
        <item m="1" x="8"/>
        <item m="1" x="5"/>
        <item m="1" x="2"/>
        <item t="default"/>
      </items>
    </pivotField>
    <pivotField showAll="0"/>
    <pivotField showAll="0"/>
    <pivotField showAll="0"/>
    <pivotField showAll="0"/>
    <pivotField showAll="0"/>
    <pivotField showAll="0"/>
    <pivotField showAll="0"/>
    <pivotField showAll="0"/>
    <pivotField axis="axisCol" showAll="0" sortType="ascending">
      <items count="51">
        <item m="1" x="1"/>
        <item m="1" x="2"/>
        <item m="1" x="3"/>
        <item m="1" x="4"/>
        <item m="1" x="5"/>
        <item m="1" x="6"/>
        <item m="1" x="7"/>
        <item m="1" x="49"/>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48"/>
        <item m="1" x="32"/>
        <item m="1" x="33"/>
        <item m="1" x="34"/>
        <item m="1" x="35"/>
        <item m="1" x="36"/>
        <item m="1" x="37"/>
        <item m="1" x="38"/>
        <item m="1" x="39"/>
        <item m="1" x="40"/>
        <item m="1" x="41"/>
        <item m="1" x="42"/>
        <item m="1" x="43"/>
        <item m="1" x="44"/>
        <item m="1" x="45"/>
        <item m="1" x="47"/>
        <item m="1" x="46"/>
        <item x="0"/>
        <item t="default"/>
      </items>
    </pivotField>
  </pivotFields>
  <rowFields count="1">
    <field x="2"/>
  </rowFields>
  <rowItems count="1">
    <i t="grand">
      <x/>
    </i>
  </rowItems>
  <colFields count="1">
    <field x="11"/>
  </colFields>
  <colItems count="1">
    <i t="grand">
      <x/>
    </i>
  </colItems>
  <dataFields count="1">
    <dataField name="TK thụ lý" fld="0" subtotal="count" baseField="2" baseItem="0"/>
  </dataFields>
  <formats count="7">
    <format dxfId="211">
      <pivotArea type="all" dataOnly="0" outline="0" fieldPosition="0"/>
    </format>
    <format dxfId="210">
      <pivotArea type="all" dataOnly="0" outline="0" fieldPosition="0"/>
    </format>
    <format dxfId="209">
      <pivotArea type="all" dataOnly="0" outline="0" fieldPosition="0"/>
    </format>
    <format dxfId="208">
      <pivotArea type="all" dataOnly="0" outline="0" fieldPosition="0"/>
    </format>
    <format dxfId="207">
      <pivotArea type="all" dataOnly="0" outline="0" fieldPosition="0"/>
    </format>
    <format dxfId="206">
      <pivotArea type="all" dataOnly="0" outline="0" fieldPosition="0"/>
    </format>
    <format dxfId="205">
      <pivotArea type="all" dataOnly="0" outline="0" fieldPosition="0"/>
    </format>
  </formats>
  <pivotTableStyleInfo name="PivotStyleMedium9" showRowHeaders="1" showColHeaders="1" showRowStripes="0" showColStripes="0" showLastColumn="1"/>
  <filters count="2">
    <filter fld="11" type="captionNotContains" evalOrder="-1" id="2" stringValue1="blank">
      <autoFilter ref="A1">
        <filterColumn colId="0">
          <customFilters>
            <customFilter operator="notEqual" val="*blank*"/>
          </customFilters>
        </filterColumn>
      </autoFilter>
    </filter>
    <filter fld="2"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B30AEC2-7A49-4F9C-B431-28BF4B0045F1}" name="PivotTable1" cacheId="7"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8:J14" firstHeaderRow="1" firstDataRow="2" firstDataCol="1"/>
  <pivotFields count="12">
    <pivotField dataField="1" showAll="0"/>
    <pivotField showAll="0"/>
    <pivotField axis="axisRow" showAll="0">
      <items count="12">
        <item m="1" x="10"/>
        <item m="1" x="6"/>
        <item m="1" x="9"/>
        <item m="1" x="8"/>
        <item m="1" x="7"/>
        <item x="3"/>
        <item x="2"/>
        <item x="0"/>
        <item x="4"/>
        <item m="1" x="5"/>
        <item x="1"/>
        <item t="default"/>
      </items>
    </pivotField>
    <pivotField showAll="0"/>
    <pivotField showAll="0"/>
    <pivotField showAll="0"/>
    <pivotField showAll="0"/>
    <pivotField showAll="0"/>
    <pivotField showAll="0"/>
    <pivotField showAll="0"/>
    <pivotField showAll="0"/>
    <pivotField axis="axisCol" showAll="0" sortType="ascending">
      <items count="40">
        <item m="1" x="8"/>
        <item m="1" x="10"/>
        <item x="0"/>
        <item m="1" x="11"/>
        <item m="1" x="12"/>
        <item m="1" x="13"/>
        <item x="1"/>
        <item x="2"/>
        <item m="1" x="9"/>
        <item m="1" x="14"/>
        <item m="1" x="36"/>
        <item m="1" x="15"/>
        <item x="3"/>
        <item m="1" x="37"/>
        <item m="1" x="16"/>
        <item m="1" x="38"/>
        <item m="1" x="17"/>
        <item m="1" x="18"/>
        <item m="1" x="19"/>
        <item m="1" x="20"/>
        <item x="4"/>
        <item m="1" x="21"/>
        <item m="1" x="22"/>
        <item m="1" x="23"/>
        <item x="5"/>
        <item x="6"/>
        <item m="1" x="24"/>
        <item m="1" x="25"/>
        <item m="1" x="26"/>
        <item m="1" x="27"/>
        <item m="1" x="28"/>
        <item m="1" x="29"/>
        <item m="1" x="30"/>
        <item m="1" x="31"/>
        <item m="1" x="32"/>
        <item m="1" x="33"/>
        <item m="1" x="34"/>
        <item m="1" x="35"/>
        <item x="7"/>
        <item t="default"/>
      </items>
    </pivotField>
  </pivotFields>
  <rowFields count="1">
    <field x="2"/>
  </rowFields>
  <rowItems count="5">
    <i>
      <x v="5"/>
    </i>
    <i>
      <x v="6"/>
    </i>
    <i>
      <x v="7"/>
    </i>
    <i>
      <x v="10"/>
    </i>
    <i t="grand">
      <x/>
    </i>
  </rowItems>
  <colFields count="1">
    <field x="11"/>
  </colFields>
  <colItems count="8">
    <i>
      <x v="2"/>
    </i>
    <i>
      <x v="6"/>
    </i>
    <i>
      <x v="7"/>
    </i>
    <i>
      <x v="12"/>
    </i>
    <i>
      <x v="20"/>
    </i>
    <i>
      <x v="24"/>
    </i>
    <i>
      <x v="25"/>
    </i>
    <i t="grand">
      <x/>
    </i>
  </colItems>
  <dataFields count="1">
    <dataField name="TK thụ lý" fld="0" subtotal="count" baseField="2" baseItem="0"/>
  </dataFields>
  <formats count="6">
    <format dxfId="68">
      <pivotArea type="all" dataOnly="0" outline="0" fieldPosition="0"/>
    </format>
    <format dxfId="67">
      <pivotArea type="all" dataOnly="0" outline="0" fieldPosition="0"/>
    </format>
    <format dxfId="66">
      <pivotArea type="all" dataOnly="0" outline="0" fieldPosition="0"/>
    </format>
    <format dxfId="65">
      <pivotArea type="all" dataOnly="0" outline="0" fieldPosition="0"/>
    </format>
    <format dxfId="64">
      <pivotArea type="all" dataOnly="0" outline="0" fieldPosition="0"/>
    </format>
    <format dxfId="63">
      <pivotArea type="all" dataOnly="0" outline="0" fieldPosition="0"/>
    </format>
  </formats>
  <pivotTableStyleInfo name="PivotStyleMedium9" showRowHeaders="1" showColHeaders="1" showRowStripes="0" showColStripes="0" showLastColumn="1"/>
  <filters count="2">
    <filter fld="2" type="captionNotContains" evalOrder="-1" id="2" stringValue1="blank">
      <autoFilter ref="A1">
        <filterColumn colId="0">
          <customFilters>
            <customFilter operator="notEqual" val="*blank*"/>
          </customFilters>
        </filterColumn>
      </autoFilter>
    </filter>
    <filter fld="11"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43E4E64-D3F6-458D-84A4-35D054A5D148}" name="PivotTable18" cacheId="25"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36:D39" firstHeaderRow="1" firstDataRow="2" firstDataCol="1"/>
  <pivotFields count="7">
    <pivotField axis="axisCol" showAll="0">
      <items count="36">
        <item m="1" x="32"/>
        <item m="1" x="34"/>
        <item m="1" x="31"/>
        <item m="1" x="33"/>
        <item x="2"/>
        <item m="1" x="5"/>
        <item m="1" x="9"/>
        <item m="1" x="7"/>
        <item m="1" x="13"/>
        <item m="1" x="6"/>
        <item m="1" x="8"/>
        <item m="1" x="11"/>
        <item x="4"/>
        <item m="1" x="30"/>
        <item m="1" x="12"/>
        <item m="1" x="15"/>
        <item m="1" x="14"/>
        <item m="1" x="19"/>
        <item m="1" x="18"/>
        <item m="1" x="22"/>
        <item m="1" x="10"/>
        <item m="1" x="23"/>
        <item m="1" x="17"/>
        <item m="1" x="25"/>
        <item m="1" x="20"/>
        <item x="3"/>
        <item m="1" x="21"/>
        <item m="1" x="24"/>
        <item m="1" x="29"/>
        <item m="1" x="16"/>
        <item m="1" x="26"/>
        <item m="1" x="27"/>
        <item m="1" x="28"/>
        <item x="0"/>
        <item x="1"/>
        <item t="default"/>
      </items>
    </pivotField>
    <pivotField showAll="0"/>
    <pivotField axis="axisRow" showAll="0">
      <items count="4">
        <item x="0"/>
        <item x="1"/>
        <item m="1" x="2"/>
        <item t="default"/>
      </items>
    </pivotField>
    <pivotField showAll="0"/>
    <pivotField showAll="0"/>
    <pivotField showAll="0"/>
    <pivotField dataField="1" showAll="0"/>
  </pivotFields>
  <rowFields count="1">
    <field x="2"/>
  </rowFields>
  <rowItems count="2">
    <i>
      <x/>
    </i>
    <i t="grand">
      <x/>
    </i>
  </rowItems>
  <colFields count="1">
    <field x="0"/>
  </colFields>
  <colItems count="2">
    <i>
      <x v="33"/>
    </i>
    <i t="grand">
      <x/>
    </i>
  </colItems>
  <dataFields count="1">
    <dataField name="PT 08" fld="6" subtotal="count" baseField="2" baseItem="0"/>
  </dataFields>
  <formats count="5">
    <format dxfId="73">
      <pivotArea type="all" dataOnly="0" outline="0" fieldPosition="0"/>
    </format>
    <format dxfId="72">
      <pivotArea type="all" dataOnly="0" outline="0" fieldPosition="0"/>
    </format>
    <format dxfId="71">
      <pivotArea type="all" dataOnly="0" outline="0" fieldPosition="0"/>
    </format>
    <format dxfId="70">
      <pivotArea type="all" dataOnly="0" outline="0" fieldPosition="0"/>
    </format>
    <format dxfId="69">
      <pivotArea type="all" dataOnly="0" outline="0" fieldPosition="0"/>
    </format>
  </formats>
  <pivotTableStyleInfo name="PivotStyleMedium9" showRowHeaders="1" showColHeaders="1" showRowStripes="0" showColStripes="0" showLastColumn="1"/>
  <filters count="2">
    <filter fld="2"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30B8B62E-E8B6-43C8-9916-956C450D292D}" name="PivotTable2" cacheId="6"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QĐ giải quyết" colHeaderCaption="Tuần">
  <location ref="B26:G33" firstHeaderRow="1" firstDataRow="2" firstDataCol="1"/>
  <pivotFields count="2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0">
        <item x="0"/>
        <item x="1"/>
        <item x="5"/>
        <item x="3"/>
        <item m="1" x="8"/>
        <item x="4"/>
        <item m="1" x="7"/>
        <item x="2"/>
        <item m="1" x="6"/>
        <item t="default"/>
      </items>
    </pivotField>
    <pivotField showAll="0"/>
    <pivotField showAll="0"/>
    <pivotField showAll="0"/>
    <pivotField axis="axisCol" showAll="0" sortType="ascending">
      <items count="39">
        <item m="1" x="5"/>
        <item m="1" x="9"/>
        <item m="1" x="30"/>
        <item m="1" x="35"/>
        <item m="1" x="7"/>
        <item m="1" x="37"/>
        <item m="1" x="31"/>
        <item m="1" x="32"/>
        <item m="1" x="33"/>
        <item m="1" x="13"/>
        <item m="1" x="34"/>
        <item m="1" x="6"/>
        <item m="1" x="36"/>
        <item x="0"/>
        <item m="1" x="8"/>
        <item m="1" x="11"/>
        <item x="4"/>
        <item m="1" x="12"/>
        <item m="1" x="15"/>
        <item x="1"/>
        <item m="1" x="14"/>
        <item m="1" x="19"/>
        <item m="1" x="18"/>
        <item m="1" x="22"/>
        <item m="1" x="10"/>
        <item m="1" x="23"/>
        <item m="1" x="17"/>
        <item m="1" x="25"/>
        <item m="1" x="20"/>
        <item x="3"/>
        <item m="1" x="21"/>
        <item m="1" x="24"/>
        <item m="1" x="16"/>
        <item m="1" x="26"/>
        <item m="1" x="27"/>
        <item m="1" x="28"/>
        <item m="1" x="29"/>
        <item x="2"/>
        <item t="default"/>
      </items>
    </pivotField>
  </pivotFields>
  <rowFields count="1">
    <field x="15"/>
  </rowFields>
  <rowItems count="6">
    <i>
      <x/>
    </i>
    <i>
      <x v="1"/>
    </i>
    <i>
      <x v="2"/>
    </i>
    <i>
      <x v="5"/>
    </i>
    <i>
      <x v="7"/>
    </i>
    <i t="grand">
      <x/>
    </i>
  </rowItems>
  <colFields count="1">
    <field x="19"/>
  </colFields>
  <colItems count="5">
    <i>
      <x v="13"/>
    </i>
    <i>
      <x v="16"/>
    </i>
    <i>
      <x v="19"/>
    </i>
    <i>
      <x v="29"/>
    </i>
    <i t="grand">
      <x/>
    </i>
  </colItems>
  <dataFields count="1">
    <dataField name="TK giải quyết" fld="0" subtotal="count" baseField="15" baseItem="0"/>
  </dataFields>
  <formats count="35">
    <format dxfId="108">
      <pivotArea type="origin" dataOnly="0" labelOnly="1" outline="0" fieldPosition="0"/>
    </format>
    <format dxfId="107">
      <pivotArea type="all" dataOnly="0" outline="0" fieldPosition="0"/>
    </format>
    <format dxfId="106">
      <pivotArea outline="0" collapsedLevelsAreSubtotals="1" fieldPosition="0"/>
    </format>
    <format dxfId="105">
      <pivotArea type="origin" dataOnly="0" labelOnly="1" outline="0" fieldPosition="0"/>
    </format>
    <format dxfId="104">
      <pivotArea field="19" type="button" dataOnly="0" labelOnly="1" outline="0" axis="axisCol" fieldPosition="0"/>
    </format>
    <format dxfId="103">
      <pivotArea type="topRight" dataOnly="0" labelOnly="1" outline="0" fieldPosition="0"/>
    </format>
    <format dxfId="102">
      <pivotArea field="15" type="button" dataOnly="0" labelOnly="1" outline="0" axis="axisRow" fieldPosition="0"/>
    </format>
    <format dxfId="101">
      <pivotArea dataOnly="0" labelOnly="1" fieldPosition="0">
        <references count="1">
          <reference field="15" count="3">
            <x v="0"/>
            <x v="1"/>
            <x v="2"/>
          </reference>
        </references>
      </pivotArea>
    </format>
    <format dxfId="100">
      <pivotArea dataOnly="0" labelOnly="1" grandRow="1" outline="0" fieldPosition="0"/>
    </format>
    <format dxfId="99">
      <pivotArea dataOnly="0" labelOnly="1" fieldPosition="0">
        <references count="1">
          <reference field="19" count="3">
            <x v="3"/>
            <x v="5"/>
            <x v="6"/>
          </reference>
        </references>
      </pivotArea>
    </format>
    <format dxfId="98">
      <pivotArea dataOnly="0" labelOnly="1" grandCol="1" outline="0" fieldPosition="0"/>
    </format>
    <format dxfId="97">
      <pivotArea type="all" dataOnly="0" outline="0" fieldPosition="0"/>
    </format>
    <format dxfId="96">
      <pivotArea outline="0" collapsedLevelsAreSubtotals="1" fieldPosition="0"/>
    </format>
    <format dxfId="95">
      <pivotArea type="origin" dataOnly="0" labelOnly="1" outline="0" fieldPosition="0"/>
    </format>
    <format dxfId="94">
      <pivotArea field="19" type="button" dataOnly="0" labelOnly="1" outline="0" axis="axisCol" fieldPosition="0"/>
    </format>
    <format dxfId="93">
      <pivotArea type="topRight" dataOnly="0" labelOnly="1" outline="0" fieldPosition="0"/>
    </format>
    <format dxfId="92">
      <pivotArea field="15" type="button" dataOnly="0" labelOnly="1" outline="0" axis="axisRow" fieldPosition="0"/>
    </format>
    <format dxfId="91">
      <pivotArea dataOnly="0" labelOnly="1" fieldPosition="0">
        <references count="1">
          <reference field="15" count="3">
            <x v="0"/>
            <x v="1"/>
            <x v="2"/>
          </reference>
        </references>
      </pivotArea>
    </format>
    <format dxfId="90">
      <pivotArea dataOnly="0" labelOnly="1" grandRow="1" outline="0" fieldPosition="0"/>
    </format>
    <format dxfId="89">
      <pivotArea dataOnly="0" labelOnly="1" fieldPosition="0">
        <references count="1">
          <reference field="19" count="3">
            <x v="3"/>
            <x v="5"/>
            <x v="6"/>
          </reference>
        </references>
      </pivotArea>
    </format>
    <format dxfId="88">
      <pivotArea dataOnly="0" labelOnly="1" grandCol="1" outline="0" fieldPosition="0"/>
    </format>
    <format dxfId="87">
      <pivotArea type="all" dataOnly="0" outline="0" fieldPosition="0"/>
    </format>
    <format dxfId="86">
      <pivotArea outline="0" collapsedLevelsAreSubtotals="1" fieldPosition="0"/>
    </format>
    <format dxfId="85">
      <pivotArea type="origin" dataOnly="0" labelOnly="1" outline="0" fieldPosition="0"/>
    </format>
    <format dxfId="84">
      <pivotArea field="19" type="button" dataOnly="0" labelOnly="1" outline="0" axis="axisCol" fieldPosition="0"/>
    </format>
    <format dxfId="83">
      <pivotArea type="topRight" dataOnly="0" labelOnly="1" outline="0" fieldPosition="0"/>
    </format>
    <format dxfId="82">
      <pivotArea field="15" type="button" dataOnly="0" labelOnly="1" outline="0" axis="axisRow" fieldPosition="0"/>
    </format>
    <format dxfId="81">
      <pivotArea dataOnly="0" labelOnly="1" fieldPosition="0">
        <references count="1">
          <reference field="15" count="3">
            <x v="0"/>
            <x v="1"/>
            <x v="2"/>
          </reference>
        </references>
      </pivotArea>
    </format>
    <format dxfId="80">
      <pivotArea dataOnly="0" labelOnly="1" grandRow="1" outline="0" fieldPosition="0"/>
    </format>
    <format dxfId="79">
      <pivotArea dataOnly="0" labelOnly="1" fieldPosition="0">
        <references count="1">
          <reference field="19" count="3">
            <x v="3"/>
            <x v="5"/>
            <x v="6"/>
          </reference>
        </references>
      </pivotArea>
    </format>
    <format dxfId="78">
      <pivotArea dataOnly="0" labelOnly="1" grandCol="1" outline="0" fieldPosition="0"/>
    </format>
    <format dxfId="77">
      <pivotArea type="all" dataOnly="0" outline="0" fieldPosition="0"/>
    </format>
    <format dxfId="76">
      <pivotArea type="all" dataOnly="0" outline="0" fieldPosition="0"/>
    </format>
    <format dxfId="75">
      <pivotArea type="all" dataOnly="0" outline="0" fieldPosition="0"/>
    </format>
    <format dxfId="74">
      <pivotArea type="all" dataOnly="0" outline="0" fieldPosition="0"/>
    </format>
  </formats>
  <pivotTableStyleInfo name="PivotStyleMedium9" showRowHeaders="1" showColHeaders="1" showRowStripes="0" showColStripes="0" showLastColumn="1"/>
  <filters count="2">
    <filter fld="15" type="captionNotContains" evalOrder="-1" id="2" stringValue1="blank">
      <autoFilter ref="A1">
        <filterColumn colId="0">
          <customFilters>
            <customFilter operator="notEqual" val="*blank*"/>
          </customFilters>
        </filterColumn>
      </autoFilter>
    </filter>
    <filter fld="19"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37D221FA-E810-4D85-AF4F-24AE81A82FBF}" name="PivotTable3" cacheId="17"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8:C10" firstHeaderRow="1" firstDataRow="2" firstDataCol="1"/>
  <pivotFields count="12">
    <pivotField dataField="1" showAll="0"/>
    <pivotField showAll="0"/>
    <pivotField axis="axisRow" showAll="0">
      <items count="7">
        <item m="1" x="5"/>
        <item m="1" x="1"/>
        <item x="0"/>
        <item m="1" x="2"/>
        <item m="1" x="4"/>
        <item m="1" x="3"/>
        <item t="default"/>
      </items>
    </pivotField>
    <pivotField showAll="0"/>
    <pivotField showAll="0"/>
    <pivotField showAll="0"/>
    <pivotField showAll="0"/>
    <pivotField showAll="0"/>
    <pivotField showAll="0"/>
    <pivotField showAll="0"/>
    <pivotField showAll="0"/>
    <pivotField axis="axisCol" showAll="0">
      <items count="8">
        <item m="1" x="1"/>
        <item m="1" x="5"/>
        <item x="0"/>
        <item m="1" x="6"/>
        <item m="1" x="4"/>
        <item m="1" x="2"/>
        <item m="1" x="3"/>
        <item t="default"/>
      </items>
    </pivotField>
  </pivotFields>
  <rowFields count="1">
    <field x="2"/>
  </rowFields>
  <rowItems count="1">
    <i t="grand">
      <x/>
    </i>
  </rowItems>
  <colFields count="1">
    <field x="11"/>
  </colFields>
  <colItems count="1">
    <i t="grand">
      <x/>
    </i>
  </colItems>
  <dataFields count="1">
    <dataField name="TK thụ lý" fld="0" subtotal="count" baseField="2" baseItem="0"/>
  </dataFields>
  <formats count="6">
    <format dxfId="50">
      <pivotArea type="all" dataOnly="0" outline="0" fieldPosition="0"/>
    </format>
    <format dxfId="49">
      <pivotArea type="all" dataOnly="0" outline="0" fieldPosition="0"/>
    </format>
    <format dxfId="48">
      <pivotArea type="all" dataOnly="0" outline="0" fieldPosition="0"/>
    </format>
    <format dxfId="47">
      <pivotArea type="all" dataOnly="0" outline="0" fieldPosition="0"/>
    </format>
    <format dxfId="46">
      <pivotArea type="all" dataOnly="0" outline="0" fieldPosition="0"/>
    </format>
    <format dxfId="45">
      <pivotArea type="all" dataOnly="0" outline="0" fieldPosition="0"/>
    </format>
  </formats>
  <pivotTableStyleInfo name="PivotStyleMedium9" showRowHeaders="1" showColHeaders="1" showRowStripes="0" showColStripes="0" showLastColumn="1"/>
  <filters count="1">
    <filter fld="11"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3E037E38-12E2-44D6-B580-BE488C9A4E60}" name="PivotTable21" cacheId="28"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Loại" colHeaderCaption="Tuần">
  <location ref="B37:C39" firstHeaderRow="1" firstDataRow="2" firstDataCol="1"/>
  <pivotFields count="7">
    <pivotField axis="axisCol" showAll="0">
      <items count="8">
        <item m="1" x="5"/>
        <item x="0"/>
        <item m="1" x="4"/>
        <item m="1" x="2"/>
        <item m="1" x="3"/>
        <item m="1" x="6"/>
        <item m="1" x="1"/>
        <item t="default"/>
      </items>
    </pivotField>
    <pivotField showAll="0"/>
    <pivotField axis="axisRow" showAll="0">
      <items count="4">
        <item m="1" x="1"/>
        <item m="1" x="2"/>
        <item x="0"/>
        <item t="default"/>
      </items>
    </pivotField>
    <pivotField showAll="0"/>
    <pivotField showAll="0"/>
    <pivotField showAll="0"/>
    <pivotField dataField="1" showAll="0"/>
  </pivotFields>
  <rowFields count="1">
    <field x="2"/>
  </rowFields>
  <rowItems count="1">
    <i t="grand">
      <x/>
    </i>
  </rowItems>
  <colFields count="1">
    <field x="0"/>
  </colFields>
  <colItems count="1">
    <i t="grand">
      <x/>
    </i>
  </colItems>
  <dataFields count="1">
    <dataField name="PT 08" fld="6" baseField="0" baseItem="0"/>
  </dataFields>
  <formats count="6">
    <format dxfId="56">
      <pivotArea type="all" dataOnly="0" outline="0" fieldPosition="0"/>
    </format>
    <format dxfId="55">
      <pivotArea type="all" dataOnly="0" outline="0" fieldPosition="0"/>
    </format>
    <format dxfId="54">
      <pivotArea type="all" dataOnly="0" outline="0" fieldPosition="0"/>
    </format>
    <format dxfId="53">
      <pivotArea type="all" dataOnly="0" outline="0" fieldPosition="0"/>
    </format>
    <format dxfId="52">
      <pivotArea type="all" dataOnly="0" outline="0" fieldPosition="0"/>
    </format>
    <format dxfId="51">
      <pivotArea type="all" dataOnly="0" outline="0" fieldPosition="0"/>
    </format>
  </formats>
  <pivotTableStyleInfo name="PivotStyleMedium9" showRowHeaders="1" showColHeaders="1" showRowStripes="0" showColStripes="0" showLastColumn="1"/>
  <filters count="2">
    <filter fld="2"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3ED5A6F-18D6-4683-83CC-A5C83F456901}" name="PivotTable4" cacheId="18"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VB giải quyết" colHeaderCaption="Tuần">
  <location ref="B26:C28" firstHeaderRow="1" firstDataRow="2" firstDataCol="1"/>
  <pivotFields count="2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m="1" x="3"/>
        <item m="1" x="2"/>
        <item x="0"/>
        <item m="1" x="1"/>
        <item t="default"/>
      </items>
    </pivotField>
    <pivotField showAll="0"/>
    <pivotField showAll="0"/>
    <pivotField showAll="0"/>
    <pivotField axis="axisCol" showAll="0">
      <items count="9">
        <item m="1" x="6"/>
        <item x="0"/>
        <item m="1" x="1"/>
        <item m="1" x="5"/>
        <item m="1" x="3"/>
        <item m="1" x="4"/>
        <item m="1" x="7"/>
        <item m="1" x="2"/>
        <item t="default"/>
      </items>
    </pivotField>
  </pivotFields>
  <rowFields count="1">
    <field x="15"/>
  </rowFields>
  <rowItems count="1">
    <i t="grand">
      <x/>
    </i>
  </rowItems>
  <colFields count="1">
    <field x="19"/>
  </colFields>
  <colItems count="1">
    <i t="grand">
      <x/>
    </i>
  </colItems>
  <dataFields count="1">
    <dataField name="TK giải quyết" fld="0" subtotal="count" baseField="15" baseItem="0"/>
  </dataFields>
  <formats count="6">
    <format dxfId="62">
      <pivotArea type="all" dataOnly="0" outline="0" fieldPosition="0"/>
    </format>
    <format dxfId="61">
      <pivotArea type="all" dataOnly="0" outline="0" fieldPosition="0"/>
    </format>
    <format dxfId="60">
      <pivotArea type="all" dataOnly="0" outline="0" fieldPosition="0"/>
    </format>
    <format dxfId="59">
      <pivotArea type="all" dataOnly="0" outline="0" fieldPosition="0"/>
    </format>
    <format dxfId="58">
      <pivotArea type="all" dataOnly="0" outline="0" fieldPosition="0"/>
    </format>
    <format dxfId="57">
      <pivotArea type="all" dataOnly="0" outline="0" fieldPosition="0"/>
    </format>
  </formats>
  <pivotTableStyleInfo name="PivotStyleMedium9" showRowHeaders="1" showColHeaders="1" showRowStripes="0" showColStripes="0" showLastColumn="1"/>
  <filters count="1">
    <filter fld="19"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13A155C8-2F5C-4F0A-A452-455C2818D486}" name="PivotTable5" cacheId="19"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8:C10" firstHeaderRow="1" firstDataRow="2" firstDataCol="1"/>
  <pivotFields count="12">
    <pivotField dataField="1" showAll="0"/>
    <pivotField showAll="0"/>
    <pivotField axis="axisRow" showAll="0">
      <items count="5">
        <item x="0"/>
        <item m="1" x="1"/>
        <item m="1" x="3"/>
        <item m="1" x="2"/>
        <item t="default"/>
      </items>
    </pivotField>
    <pivotField showAll="0"/>
    <pivotField showAll="0"/>
    <pivotField showAll="0"/>
    <pivotField showAll="0"/>
    <pivotField showAll="0"/>
    <pivotField showAll="0"/>
    <pivotField showAll="0"/>
    <pivotField showAll="0"/>
    <pivotField axis="axisCol" showAll="0">
      <items count="6">
        <item x="0"/>
        <item m="1" x="3"/>
        <item m="1" x="4"/>
        <item m="1" x="1"/>
        <item m="1" x="2"/>
        <item t="default"/>
      </items>
    </pivotField>
  </pivotFields>
  <rowFields count="1">
    <field x="2"/>
  </rowFields>
  <rowItems count="1">
    <i t="grand">
      <x/>
    </i>
  </rowItems>
  <colFields count="1">
    <field x="11"/>
  </colFields>
  <colItems count="1">
    <i t="grand">
      <x/>
    </i>
  </colItems>
  <dataFields count="1">
    <dataField name="TK thụ lý" fld="0" subtotal="count" baseField="2" baseItem="0"/>
  </dataFields>
  <formats count="6">
    <format dxfId="32">
      <pivotArea type="all" dataOnly="0" outline="0" fieldPosition="0"/>
    </format>
    <format dxfId="31">
      <pivotArea type="all" dataOnly="0" outline="0" fieldPosition="0"/>
    </format>
    <format dxfId="30">
      <pivotArea type="all" dataOnly="0" outline="0" fieldPosition="0"/>
    </format>
    <format dxfId="29">
      <pivotArea type="all" dataOnly="0" outline="0" fieldPosition="0"/>
    </format>
    <format dxfId="28">
      <pivotArea type="all" dataOnly="0" outline="0" fieldPosition="0"/>
    </format>
    <format dxfId="27">
      <pivotArea type="all" dataOnly="0" outline="0" fieldPosition="0"/>
    </format>
  </formats>
  <pivotTableStyleInfo name="PivotStyleMedium9" showRowHeaders="1" showColHeaders="1" showRowStripes="0" showColStripes="0" showLastColumn="1"/>
  <filters count="1">
    <filter fld="11"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A8296FAF-A23D-4A2E-BD09-FCF3E6B0BB90}" name="PivotTable24" cacheId="31"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38:C40" firstHeaderRow="1" firstDataRow="2" firstDataCol="1"/>
  <pivotFields count="7">
    <pivotField axis="axisCol" showAll="0">
      <items count="6">
        <item m="1" x="3"/>
        <item m="1" x="4"/>
        <item x="0"/>
        <item m="1" x="1"/>
        <item m="1" x="2"/>
        <item t="default"/>
      </items>
    </pivotField>
    <pivotField showAll="0"/>
    <pivotField axis="axisRow" showAll="0">
      <items count="3">
        <item m="1" x="1"/>
        <item x="0"/>
        <item t="default"/>
      </items>
    </pivotField>
    <pivotField showAll="0"/>
    <pivotField showAll="0"/>
    <pivotField showAll="0"/>
    <pivotField dataField="1" showAll="0"/>
  </pivotFields>
  <rowFields count="1">
    <field x="2"/>
  </rowFields>
  <rowItems count="1">
    <i t="grand">
      <x/>
    </i>
  </rowItems>
  <colFields count="1">
    <field x="0"/>
  </colFields>
  <colItems count="1">
    <i t="grand">
      <x/>
    </i>
  </colItems>
  <dataFields count="1">
    <dataField name="PT 08" fld="6" subtotal="count" baseField="2" baseItem="0"/>
  </dataFields>
  <formats count="6">
    <format dxfId="38">
      <pivotArea type="all" dataOnly="0" outline="0" fieldPosition="0"/>
    </format>
    <format dxfId="37">
      <pivotArea type="all" dataOnly="0" outline="0" fieldPosition="0"/>
    </format>
    <format dxfId="36">
      <pivotArea type="all" dataOnly="0" outline="0" fieldPosition="0"/>
    </format>
    <format dxfId="35">
      <pivotArea type="all" dataOnly="0" outline="0" fieldPosition="0"/>
    </format>
    <format dxfId="34">
      <pivotArea type="all" dataOnly="0" outline="0" fieldPosition="0"/>
    </format>
    <format dxfId="33">
      <pivotArea type="all" dataOnly="0" outline="0" fieldPosition="0"/>
    </format>
  </formats>
  <pivotTableStyleInfo name="PivotStyleMedium9" showRowHeaders="1" showColHeaders="1" showRowStripes="0" showColStripes="0" showLastColumn="1"/>
  <filters count="2">
    <filter fld="2"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2859060A-F7FB-4155-88B0-9120ECC3C3BF}" name="PivotTable23" cacheId="30"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VB giải quyết" colHeaderCaption="Tuần">
  <location ref="B26:C28" firstHeaderRow="1" firstDataRow="2" firstDataCol="1"/>
  <pivotFields count="11">
    <pivotField axis="axisRow" showAll="0">
      <items count="5">
        <item m="1" x="2"/>
        <item m="1" x="3"/>
        <item x="0"/>
        <item m="1" x="1"/>
        <item t="default"/>
      </items>
    </pivotField>
    <pivotField showAll="0"/>
    <pivotField showAll="0"/>
    <pivotField showAll="0"/>
    <pivotField axis="axisCol" showAll="0">
      <items count="6">
        <item m="1" x="3"/>
        <item m="1" x="4"/>
        <item x="0"/>
        <item m="1" x="1"/>
        <item m="1" x="2"/>
        <item t="default"/>
      </items>
    </pivotField>
    <pivotField showAll="0"/>
    <pivotField showAll="0"/>
    <pivotField showAll="0"/>
    <pivotField showAll="0"/>
    <pivotField showAll="0"/>
    <pivotField dataField="1" showAll="0"/>
  </pivotFields>
  <rowFields count="1">
    <field x="0"/>
  </rowFields>
  <rowItems count="1">
    <i t="grand">
      <x/>
    </i>
  </rowItems>
  <colFields count="1">
    <field x="4"/>
  </colFields>
  <colItems count="1">
    <i t="grand">
      <x/>
    </i>
  </colItems>
  <dataFields count="1">
    <dataField name="TK giải quyết" fld="10" subtotal="count" baseField="0" baseItem="0"/>
  </dataFields>
  <formats count="6">
    <format dxfId="44">
      <pivotArea type="all" dataOnly="0" outline="0" fieldPosition="0"/>
    </format>
    <format dxfId="43">
      <pivotArea type="all" dataOnly="0" outline="0" fieldPosition="0"/>
    </format>
    <format dxfId="42">
      <pivotArea type="all" dataOnly="0" outline="0" fieldPosition="0"/>
    </format>
    <format dxfId="41">
      <pivotArea type="all" dataOnly="0" outline="0" fieldPosition="0"/>
    </format>
    <format dxfId="40">
      <pivotArea type="all" dataOnly="0" outline="0" fieldPosition="0"/>
    </format>
    <format dxfId="39">
      <pivotArea type="all" dataOnly="0" outline="0" fieldPosition="0"/>
    </format>
  </formats>
  <pivotTableStyleInfo name="PivotStyleMedium9" showRowHeaders="1" showColHeaders="1" showRowStripes="0" showColStripes="0" showLastColumn="1"/>
  <filters count="1">
    <filter fld="4"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B80C3D5B-99BA-4106-B5B4-FF1550AAE612}" name="PivotTable28" cacheId="32"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8:C10" firstHeaderRow="1" firstDataRow="2" firstDataCol="1"/>
  <pivotFields count="12">
    <pivotField dataField="1" showAll="0"/>
    <pivotField showAll="0"/>
    <pivotField axis="axisRow" showAll="0">
      <items count="4">
        <item m="1" x="1"/>
        <item m="1" x="2"/>
        <item x="0"/>
        <item t="default"/>
      </items>
    </pivotField>
    <pivotField showAll="0"/>
    <pivotField showAll="0"/>
    <pivotField showAll="0"/>
    <pivotField showAll="0"/>
    <pivotField showAll="0"/>
    <pivotField showAll="0"/>
    <pivotField showAll="0"/>
    <pivotField showAll="0"/>
    <pivotField axis="axisCol" showAll="0">
      <items count="4">
        <item m="1" x="1"/>
        <item m="1" x="2"/>
        <item x="0"/>
        <item t="default"/>
      </items>
    </pivotField>
  </pivotFields>
  <rowFields count="1">
    <field x="2"/>
  </rowFields>
  <rowItems count="1">
    <i t="grand">
      <x/>
    </i>
  </rowItems>
  <colFields count="1">
    <field x="11"/>
  </colFields>
  <colItems count="1">
    <i t="grand">
      <x/>
    </i>
  </colItems>
  <dataFields count="1">
    <dataField name="TK thụ lý" fld="0" baseField="0" baseItem="0"/>
  </dataFields>
  <formats count="5">
    <format dxfId="4">
      <pivotArea type="all" dataOnly="0" outline="0" fieldPosition="0"/>
    </format>
    <format dxfId="3">
      <pivotArea type="all" dataOnly="0" outline="0" fieldPosition="0"/>
    </format>
    <format dxfId="2">
      <pivotArea type="all" dataOnly="0" outline="0" fieldPosition="0"/>
    </format>
    <format dxfId="1">
      <pivotArea type="all" dataOnly="0" outline="0" fieldPosition="0"/>
    </format>
    <format dxfId="0">
      <pivotArea type="all" dataOnly="0" outline="0" fieldPosition="0"/>
    </format>
  </formats>
  <pivotTableStyleInfo name="PivotStyleMedium9" showRowHeaders="1" showColHeaders="1" showRowStripes="0" showColStripes="0" showLastColumn="1"/>
  <filters count="1">
    <filter fld="11"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F1278B93-D00F-4625-B432-3AC7F1EEADEF}" name="PivotTable30" cacheId="34"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Loại" colHeaderCaption="Tuần">
  <location ref="B40:C42" firstHeaderRow="1" firstDataRow="2" firstDataCol="1"/>
  <pivotFields count="7">
    <pivotField axis="axisCol" showAll="0">
      <items count="6">
        <item m="1" x="2"/>
        <item m="1" x="3"/>
        <item x="0"/>
        <item m="1" x="1"/>
        <item m="1" x="4"/>
        <item t="default"/>
      </items>
    </pivotField>
    <pivotField showAll="0"/>
    <pivotField axis="axisRow" showAll="0">
      <items count="3">
        <item m="1" x="1"/>
        <item x="0"/>
        <item t="default"/>
      </items>
    </pivotField>
    <pivotField showAll="0"/>
    <pivotField showAll="0"/>
    <pivotField showAll="0"/>
    <pivotField dataField="1" showAll="0"/>
  </pivotFields>
  <rowFields count="1">
    <field x="2"/>
  </rowFields>
  <rowItems count="1">
    <i t="grand">
      <x/>
    </i>
  </rowItems>
  <colFields count="1">
    <field x="0"/>
  </colFields>
  <colItems count="1">
    <i t="grand">
      <x/>
    </i>
  </colItems>
  <dataFields count="1">
    <dataField name="PT 08" fld="6" subtotal="count" baseField="2" baseItem="0"/>
  </dataFields>
  <formats count="11">
    <format dxfId="15">
      <pivotArea type="all" dataOnly="0" outline="0" fieldPosition="0"/>
    </format>
    <format dxfId="14">
      <pivotArea outline="0" collapsedLevelsAreSubtotals="1" fieldPosition="0"/>
    </format>
    <format dxfId="13">
      <pivotArea type="origin" dataOnly="0" labelOnly="1" outline="0" fieldPosition="0"/>
    </format>
    <format dxfId="12">
      <pivotArea field="0" type="button" dataOnly="0" labelOnly="1" outline="0" axis="axisCol" fieldPosition="0"/>
    </format>
    <format dxfId="11">
      <pivotArea type="topRight" dataOnly="0" labelOnly="1" outline="0" fieldPosition="0"/>
    </format>
    <format dxfId="10">
      <pivotArea field="2" type="button" dataOnly="0" labelOnly="1" outline="0" axis="axisRow" fieldPosition="0"/>
    </format>
    <format dxfId="9">
      <pivotArea dataOnly="0" labelOnly="1" fieldPosition="0">
        <references count="1">
          <reference field="2" count="0"/>
        </references>
      </pivotArea>
    </format>
    <format dxfId="8">
      <pivotArea dataOnly="0" labelOnly="1" grandRow="1" outline="0" fieldPosition="0"/>
    </format>
    <format dxfId="7">
      <pivotArea dataOnly="0" labelOnly="1" fieldPosition="0">
        <references count="1">
          <reference field="0" count="0"/>
        </references>
      </pivotArea>
    </format>
    <format dxfId="6">
      <pivotArea dataOnly="0" labelOnly="1" grandCol="1" outline="0" fieldPosition="0"/>
    </format>
    <format dxfId="5">
      <pivotArea type="all" dataOnly="0" outline="0" fieldPosition="0"/>
    </format>
  </formats>
  <pivotTableStyleInfo name="PivotStyleMedium9" showRowHeaders="1" showColHeaders="1" showRowStripes="0" showColStripes="0" showLastColumn="1"/>
  <filters count="2">
    <filter fld="2" type="captionNotContains" evalOrder="-1" id="2" stringValue1="blank">
      <autoFilter ref="A1">
        <filterColumn colId="0">
          <customFilters>
            <customFilter operator="notEqual" val="*blank*"/>
          </customFilters>
        </filterColumn>
      </autoFilter>
    </filter>
    <filter fld="0"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856A5E37-3E90-432C-8E5C-0B669E970DEC}" name="PivotTable29" cacheId="33" applyNumberFormats="0" applyBorderFormats="0" applyFontFormats="0" applyPatternFormats="0" applyAlignmentFormats="0" applyWidthHeightFormats="1" dataCaption="Values" grandTotalCaption="Tổng" updatedVersion="8" minRefreshableVersion="3" itemPrintTitles="1" createdVersion="8" indent="0" outline="1" outlineData="1" multipleFieldFilters="0" rowHeaderCaption="VB giải quyết" colHeaderCaption="Tuần">
  <location ref="B26:C28" firstHeaderRow="1" firstDataRow="2" firstDataCol="1"/>
  <pivotFields count="11">
    <pivotField axis="axisRow" showAll="0">
      <items count="4">
        <item m="1" x="1"/>
        <item m="1" x="2"/>
        <item x="0"/>
        <item t="default"/>
      </items>
    </pivotField>
    <pivotField showAll="0"/>
    <pivotField showAll="0"/>
    <pivotField showAll="0"/>
    <pivotField axis="axisCol" showAll="0">
      <items count="6">
        <item m="1" x="2"/>
        <item m="1" x="3"/>
        <item x="0"/>
        <item m="1" x="1"/>
        <item m="1" x="4"/>
        <item t="default"/>
      </items>
    </pivotField>
    <pivotField showAll="0"/>
    <pivotField showAll="0"/>
    <pivotField showAll="0"/>
    <pivotField showAll="0"/>
    <pivotField showAll="0"/>
    <pivotField dataField="1" showAll="0"/>
  </pivotFields>
  <rowFields count="1">
    <field x="0"/>
  </rowFields>
  <rowItems count="1">
    <i t="grand">
      <x/>
    </i>
  </rowItems>
  <colFields count="1">
    <field x="4"/>
  </colFields>
  <colItems count="1">
    <i t="grand">
      <x/>
    </i>
  </colItems>
  <dataFields count="1">
    <dataField name="TK giải quyết" fld="10" subtotal="count" baseField="0" baseItem="0"/>
  </dataFields>
  <formats count="11">
    <format dxfId="26">
      <pivotArea type="all" dataOnly="0" outline="0" fieldPosition="0"/>
    </format>
    <format dxfId="25">
      <pivotArea outline="0" collapsedLevelsAreSubtotals="1" fieldPosition="0"/>
    </format>
    <format dxfId="24">
      <pivotArea type="origin" dataOnly="0" labelOnly="1" outline="0" fieldPosition="0"/>
    </format>
    <format dxfId="23">
      <pivotArea field="4" type="button" dataOnly="0" labelOnly="1" outline="0" axis="axisCol" fieldPosition="0"/>
    </format>
    <format dxfId="22">
      <pivotArea type="topRight" dataOnly="0" labelOnly="1" outline="0" fieldPosition="0"/>
    </format>
    <format dxfId="21">
      <pivotArea field="0" type="button" dataOnly="0" labelOnly="1" outline="0" axis="axisRow" fieldPosition="0"/>
    </format>
    <format dxfId="20">
      <pivotArea dataOnly="0" labelOnly="1" fieldPosition="0">
        <references count="1">
          <reference field="0" count="0"/>
        </references>
      </pivotArea>
    </format>
    <format dxfId="19">
      <pivotArea dataOnly="0" labelOnly="1" grandRow="1" outline="0" fieldPosition="0"/>
    </format>
    <format dxfId="18">
      <pivotArea dataOnly="0" labelOnly="1" fieldPosition="0">
        <references count="1">
          <reference field="4" count="0"/>
        </references>
      </pivotArea>
    </format>
    <format dxfId="17">
      <pivotArea dataOnly="0" labelOnly="1" grandCol="1" outline="0" fieldPosition="0"/>
    </format>
    <format dxfId="16">
      <pivotArea type="all" dataOnly="0" outline="0" fieldPosition="0"/>
    </format>
  </formats>
  <pivotTableStyleInfo name="PivotStyleMedium9" showRowHeaders="1" showColHeaders="1" showRowStripes="0" showColStripes="0" showLastColumn="1"/>
  <filters count="1">
    <filter fld="4" type="captionNotContains" evalOrder="-1" id="1" stringValue1="blank">
      <autoFilter ref="A1">
        <filterColumn colId="0">
          <customFilters>
            <customFilter operator="notEqual" val="*blank*"/>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7.xml"/><Relationship Id="rId5" Type="http://schemas.openxmlformats.org/officeDocument/2006/relationships/printerSettings" Target="../printerSettings/printerSettings7.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8.xml"/><Relationship Id="rId5" Type="http://schemas.openxmlformats.org/officeDocument/2006/relationships/printerSettings" Target="../printerSettings/printerSettings8.bin"/><Relationship Id="rId4"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drawing" Target="../drawings/drawing9.xml"/><Relationship Id="rId4"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drawing" Target="../drawings/drawing10.xml"/><Relationship Id="rId4"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drawing" Target="../drawings/drawing11.xml"/><Relationship Id="rId5" Type="http://schemas.openxmlformats.org/officeDocument/2006/relationships/printerSettings" Target="../printerSettings/printerSettings9.bin"/><Relationship Id="rId4" Type="http://schemas.openxmlformats.org/officeDocument/2006/relationships/pivotTable" Target="../pivotTables/pivotTable20.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drawing" Target="../drawings/drawing12.xml"/><Relationship Id="rId4"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214D1-E72B-4C3C-9AFC-DAE71EC481A6}">
  <sheetPr codeName="Sheet1"/>
  <dimension ref="A1:K15"/>
  <sheetViews>
    <sheetView showGridLines="0" showRowColHeaders="0" showRuler="0" view="pageLayout" zoomScaleNormal="100" workbookViewId="0"/>
  </sheetViews>
  <sheetFormatPr defaultColWidth="9.21875" defaultRowHeight="14.4" x14ac:dyDescent="0.3"/>
  <cols>
    <col min="1" max="1" width="12.5546875" style="40" customWidth="1"/>
    <col min="2" max="9" width="8.77734375" style="40" customWidth="1"/>
    <col min="10" max="16384" width="9.21875" style="40"/>
  </cols>
  <sheetData>
    <row r="1" spans="1:11" ht="30" x14ac:dyDescent="0.5">
      <c r="D1" s="150" t="s">
        <v>101</v>
      </c>
      <c r="E1" s="150"/>
      <c r="F1" s="150"/>
      <c r="G1" s="150"/>
      <c r="H1" s="150"/>
      <c r="I1" s="150"/>
      <c r="J1" s="150"/>
      <c r="K1" s="150"/>
    </row>
    <row r="3" spans="1:11" x14ac:dyDescent="0.3">
      <c r="A3" s="124" t="s">
        <v>102</v>
      </c>
      <c r="B3" s="124" t="s">
        <v>99</v>
      </c>
    </row>
    <row r="4" spans="1:11" x14ac:dyDescent="0.3">
      <c r="A4" s="124" t="s">
        <v>100</v>
      </c>
      <c r="B4" s="124" t="s">
        <v>147</v>
      </c>
    </row>
    <row r="15" spans="1:11" x14ac:dyDescent="0.3">
      <c r="H15" s="125"/>
    </row>
  </sheetData>
  <sheetProtection algorithmName="SHA-512" hashValue="j2/7Hk8t6aa4rxujj3goIu2MNTirYnxuRc5GKs0m6tQm3WyJMIeQDH3I/02jr0GBhxSFHfl80vliN59y9guPfQ==" saltValue="Zx5QxemfEN3cEZNU9ccW1w==" spinCount="100000" sheet="1" objects="1" scenarios="1"/>
  <mergeCells count="1">
    <mergeCell ref="D1:K1"/>
  </mergeCells>
  <dataValidations count="1">
    <dataValidation type="list" allowBlank="1" showInputMessage="1" showErrorMessage="1" sqref="B4" xr:uid="{4C2BAFB2-8D0D-44FF-B251-FF08C18BC3A3}">
      <formula1>"KV1,KV2,KV3,KV4,KV5,KV6,KV7,KV8,KV9,KV10,KV11,KV12,KV13"</formula1>
    </dataValidation>
  </dataValidations>
  <pageMargins left="0.7" right="0.7" top="0.75" bottom="0.75" header="0.3" footer="0.3"/>
  <pageSetup paperSize="9" fitToWidth="0" fitToHeight="0" orientation="landscape" r:id="rId1"/>
  <headerFooter>
    <oddHeader>&amp;C&amp;G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678DD-8953-44EA-B19F-A8823B80182B}">
  <sheetPr codeName="Sheet2">
    <pageSetUpPr fitToPage="1"/>
  </sheetPr>
  <dimension ref="A1:AA300"/>
  <sheetViews>
    <sheetView showGridLines="0" showRowColHeaders="0" topLeftCell="B1" zoomScale="55" zoomScaleNormal="55" workbookViewId="0">
      <pane xSplit="2" ySplit="9" topLeftCell="D10" activePane="bottomRight" state="frozen"/>
      <selection activeCell="B1" sqref="B1"/>
      <selection pane="topRight" activeCell="D1" sqref="D1"/>
      <selection pane="bottomLeft" activeCell="B10" sqref="B10"/>
      <selection pane="bottomRight" activeCell="V21" sqref="V21"/>
    </sheetView>
  </sheetViews>
  <sheetFormatPr defaultColWidth="9.21875" defaultRowHeight="14.4" x14ac:dyDescent="0.3"/>
  <cols>
    <col min="1" max="1" width="3.21875" style="23" hidden="1" customWidth="1"/>
    <col min="2" max="2" width="11.5546875" style="23" customWidth="1"/>
    <col min="3" max="3" width="15.44140625" style="23" customWidth="1"/>
    <col min="4" max="4" width="19.77734375" style="23" customWidth="1"/>
    <col min="5" max="5" width="9.77734375" style="23" bestFit="1" customWidth="1"/>
    <col min="6" max="6" width="16.5546875" style="23" customWidth="1"/>
    <col min="7" max="7" width="12.77734375" style="23" customWidth="1"/>
    <col min="8" max="8" width="13.77734375" style="23" customWidth="1"/>
    <col min="9" max="9" width="10.77734375" style="23" customWidth="1"/>
    <col min="10" max="10" width="11.21875" style="23" customWidth="1"/>
    <col min="11" max="11" width="13.5546875" style="23" customWidth="1"/>
    <col min="12" max="13" width="8" style="23" customWidth="1"/>
    <col min="14" max="16" width="11.21875" style="23" customWidth="1"/>
    <col min="17" max="17" width="7.77734375" style="23" customWidth="1"/>
    <col min="18" max="18" width="12.77734375" style="23" customWidth="1"/>
    <col min="19" max="19" width="11.21875" style="23" customWidth="1"/>
    <col min="20" max="20" width="12" style="23" customWidth="1"/>
    <col min="21" max="21" width="11.77734375" style="23" customWidth="1"/>
    <col min="22" max="22" width="11.77734375" style="23" bestFit="1" customWidth="1"/>
    <col min="23" max="23" width="11.21875" style="23" bestFit="1" customWidth="1"/>
    <col min="24" max="24" width="11.21875" style="23" customWidth="1"/>
    <col min="25" max="25" width="20.21875" style="23" customWidth="1"/>
    <col min="26" max="26" width="17.77734375" style="23" customWidth="1"/>
    <col min="27" max="27" width="3.21875" style="23" hidden="1" customWidth="1"/>
    <col min="28" max="16384" width="9.21875" style="23"/>
  </cols>
  <sheetData>
    <row r="1" spans="1:27" s="40" customFormat="1" ht="48" customHeight="1" x14ac:dyDescent="0.3"/>
    <row r="2" spans="1:27" s="40" customFormat="1" ht="48" customHeight="1" x14ac:dyDescent="0.3">
      <c r="B2" s="151" t="s">
        <v>106</v>
      </c>
      <c r="C2" s="152"/>
      <c r="D2" s="152"/>
      <c r="E2" s="152"/>
      <c r="F2" s="152"/>
      <c r="G2" s="152"/>
      <c r="H2" s="152"/>
      <c r="I2" s="152"/>
      <c r="J2" s="152"/>
      <c r="K2" s="152"/>
    </row>
    <row r="3" spans="1:27" s="41" customFormat="1" ht="48" customHeight="1" thickBot="1" x14ac:dyDescent="0.35">
      <c r="C3" s="42"/>
      <c r="D3" s="42"/>
      <c r="E3" s="42"/>
      <c r="F3" s="42"/>
      <c r="G3" s="42"/>
      <c r="H3" s="42"/>
      <c r="I3" s="42"/>
      <c r="J3" s="42"/>
      <c r="K3" s="42"/>
      <c r="L3" s="42"/>
      <c r="M3" s="42"/>
      <c r="N3" s="42"/>
      <c r="O3" s="42"/>
      <c r="P3" s="42"/>
      <c r="Q3" s="42"/>
      <c r="R3" s="42"/>
      <c r="S3" s="42"/>
      <c r="T3" s="42"/>
      <c r="U3" s="42"/>
      <c r="V3" s="42"/>
      <c r="W3" s="42"/>
      <c r="X3" s="42"/>
    </row>
    <row r="4" spans="1:27" s="24" customFormat="1" ht="36" customHeight="1" x14ac:dyDescent="0.3">
      <c r="B4" s="43" t="s">
        <v>85</v>
      </c>
      <c r="C4" s="44">
        <f>COUNTIF(C10:C178,"Trả lại đơn vụ")</f>
        <v>0</v>
      </c>
      <c r="D4" s="45" t="s">
        <v>25</v>
      </c>
      <c r="E4" s="44">
        <f>COUNTIF(C10:C236,"Vụ cũ")</f>
        <v>0</v>
      </c>
      <c r="F4" s="45" t="s">
        <v>47</v>
      </c>
      <c r="G4" s="44">
        <f>SUM(E4:E5)</f>
        <v>0</v>
      </c>
      <c r="H4" s="45" t="s">
        <v>82</v>
      </c>
      <c r="I4" s="46">
        <f>COUNTIF(P10:P237,"Chuyển")</f>
        <v>0</v>
      </c>
      <c r="J4" s="45" t="s">
        <v>24</v>
      </c>
      <c r="K4" s="46">
        <f>SUM(G4:G6)-I4-I5+SUM(I6:I7)</f>
        <v>0</v>
      </c>
      <c r="L4" s="153" t="s">
        <v>23</v>
      </c>
      <c r="M4" s="153"/>
      <c r="N4" s="46">
        <f>SUM(P6:V6)</f>
        <v>0</v>
      </c>
      <c r="O4" s="155" t="s">
        <v>20</v>
      </c>
      <c r="P4" s="157" t="s">
        <v>37</v>
      </c>
      <c r="Q4" s="157"/>
      <c r="R4" s="157"/>
      <c r="S4" s="158" t="s">
        <v>36</v>
      </c>
      <c r="T4" s="158"/>
      <c r="U4" s="158"/>
      <c r="V4" s="158"/>
      <c r="W4" s="47"/>
      <c r="X4" s="47"/>
      <c r="Y4" s="153" t="s">
        <v>87</v>
      </c>
      <c r="Z4" s="154"/>
    </row>
    <row r="5" spans="1:27" s="24" customFormat="1" ht="48.75" customHeight="1" x14ac:dyDescent="0.3">
      <c r="B5" s="48" t="s">
        <v>86</v>
      </c>
      <c r="C5" s="41">
        <f>COUNTIF(C10:C178,"Trả lại đơn việc")</f>
        <v>0</v>
      </c>
      <c r="D5" s="49" t="s">
        <v>26</v>
      </c>
      <c r="E5" s="41">
        <f>COUNTIF(C10:C236,"Việc cũ")</f>
        <v>0</v>
      </c>
      <c r="F5" s="49" t="s">
        <v>48</v>
      </c>
      <c r="G5" s="41">
        <f>SUM(E6:E7)</f>
        <v>0</v>
      </c>
      <c r="H5" s="49" t="s">
        <v>83</v>
      </c>
      <c r="I5" s="50">
        <f>COUNTIF(P10:P237,"Nhập vào vụ khác")</f>
        <v>0</v>
      </c>
      <c r="J5" s="50"/>
      <c r="K5" s="51"/>
      <c r="L5" s="51"/>
      <c r="M5" s="51" t="s">
        <v>22</v>
      </c>
      <c r="N5" s="52" t="e">
        <f>N4/K4</f>
        <v>#DIV/0!</v>
      </c>
      <c r="O5" s="156"/>
      <c r="P5" s="53" t="s">
        <v>8</v>
      </c>
      <c r="Q5" s="54" t="s">
        <v>11</v>
      </c>
      <c r="R5" s="54" t="s">
        <v>10</v>
      </c>
      <c r="S5" s="53" t="s">
        <v>2</v>
      </c>
      <c r="T5" s="55" t="s">
        <v>34</v>
      </c>
      <c r="U5" s="53" t="s">
        <v>33</v>
      </c>
      <c r="V5" s="53" t="s">
        <v>68</v>
      </c>
      <c r="W5" s="56"/>
      <c r="X5" s="56"/>
      <c r="Y5" s="49" t="s">
        <v>1</v>
      </c>
      <c r="Z5" s="57" t="s">
        <v>44</v>
      </c>
    </row>
    <row r="6" spans="1:27" s="24" customFormat="1" ht="57" customHeight="1" x14ac:dyDescent="0.3">
      <c r="B6" s="48" t="s">
        <v>4</v>
      </c>
      <c r="C6" s="41">
        <f>COUNTIF(C10:C178,"Hòa giải thành")</f>
        <v>0</v>
      </c>
      <c r="D6" s="49" t="s">
        <v>27</v>
      </c>
      <c r="E6" s="41">
        <f>COUNTIF(C10:C197,"Vụ")</f>
        <v>0</v>
      </c>
      <c r="F6" s="49" t="s">
        <v>41</v>
      </c>
      <c r="G6" s="41">
        <f>COUNTIF(C10:C227,"Phục hồi vụ TĐC kỳ trước")</f>
        <v>0</v>
      </c>
      <c r="H6" s="49" t="s">
        <v>111</v>
      </c>
      <c r="I6" s="50">
        <f>COUNTIF(P10:P237,"Chuyển đến vụ")</f>
        <v>0</v>
      </c>
      <c r="J6" s="50"/>
      <c r="K6" s="41"/>
      <c r="L6" s="159" t="s">
        <v>21</v>
      </c>
      <c r="M6" s="159"/>
      <c r="N6" s="50">
        <f>K4-N4</f>
        <v>0</v>
      </c>
      <c r="O6" s="156"/>
      <c r="P6" s="58">
        <f>COUNTIF(P10:P237,"CNTT")</f>
        <v>0</v>
      </c>
      <c r="Q6" s="59">
        <f>COUNTIF(P10:P237,"ĐC")</f>
        <v>0</v>
      </c>
      <c r="R6" s="59">
        <f>COUNTIF(P10:P237,"TĐC")-COUNTIF(C10:C220,"Phục hồi")</f>
        <v>0</v>
      </c>
      <c r="S6" s="58">
        <f>COUNTIF(P10:P237,"BA")</f>
        <v>0</v>
      </c>
      <c r="T6" s="60">
        <f>COUNTIF(P10:P237,"CN tại tòa")</f>
        <v>0</v>
      </c>
      <c r="U6" s="58">
        <f>COUNTIF(P10:P237,"ĐC tại tòa")</f>
        <v>0</v>
      </c>
      <c r="V6" s="58">
        <f>COUNTIF(P10:P237,"QĐ giải quyết việc")</f>
        <v>0</v>
      </c>
      <c r="W6" s="56"/>
      <c r="X6" s="56"/>
      <c r="Y6" s="41">
        <f>N6-Z6</f>
        <v>0</v>
      </c>
      <c r="Z6" s="61">
        <f>COUNTIFS(C10:C228,"Việc",P10:P228,"")+COUNTIFS(C10:C228,"Việc cũ",P10:P228,"")+COUNTIFS(C10:C228,"Chuyển đến việc",P10:P228,"")</f>
        <v>0</v>
      </c>
    </row>
    <row r="7" spans="1:27" s="24" customFormat="1" ht="36.75" customHeight="1" thickBot="1" x14ac:dyDescent="0.35">
      <c r="B7" s="62"/>
      <c r="C7" s="63"/>
      <c r="D7" s="64" t="s">
        <v>28</v>
      </c>
      <c r="E7" s="63">
        <f>COUNTIF(C11:C197,"Việc")</f>
        <v>0</v>
      </c>
      <c r="F7" s="64"/>
      <c r="G7" s="63"/>
      <c r="H7" s="64" t="s">
        <v>112</v>
      </c>
      <c r="I7" s="65">
        <f>COUNTIF(P10:P237,"Chuyển đến việc")</f>
        <v>0</v>
      </c>
      <c r="J7" s="65"/>
      <c r="K7" s="66"/>
      <c r="L7" s="66"/>
      <c r="M7" s="66" t="s">
        <v>22</v>
      </c>
      <c r="N7" s="67" t="e">
        <f>100%-N5</f>
        <v>#DIV/0!</v>
      </c>
      <c r="O7" s="68"/>
      <c r="P7" s="68"/>
      <c r="Q7" s="63"/>
      <c r="R7" s="63"/>
      <c r="S7" s="162" t="s">
        <v>69</v>
      </c>
      <c r="T7" s="162"/>
      <c r="U7" s="65">
        <f>SUM(S6:V6)</f>
        <v>0</v>
      </c>
      <c r="V7" s="162"/>
      <c r="W7" s="162"/>
      <c r="X7" s="65"/>
      <c r="Y7" s="63"/>
      <c r="Z7" s="69"/>
    </row>
    <row r="8" spans="1:27" s="24" customFormat="1" ht="30" customHeight="1" x14ac:dyDescent="0.3">
      <c r="B8" s="163" t="s">
        <v>13</v>
      </c>
      <c r="C8" s="164"/>
      <c r="D8" s="164"/>
      <c r="E8" s="164"/>
      <c r="F8" s="164"/>
      <c r="G8" s="164"/>
      <c r="H8" s="164"/>
      <c r="I8" s="164"/>
      <c r="J8" s="164"/>
      <c r="K8" s="164"/>
      <c r="L8" s="164"/>
      <c r="M8" s="165"/>
      <c r="N8" s="166" t="s">
        <v>7</v>
      </c>
      <c r="O8" s="167"/>
      <c r="P8" s="167"/>
      <c r="Q8" s="167"/>
      <c r="R8" s="167"/>
      <c r="S8" s="167"/>
      <c r="T8" s="167"/>
      <c r="U8" s="167"/>
      <c r="V8" s="167"/>
      <c r="W8" s="167"/>
      <c r="X8" s="168"/>
      <c r="Y8" s="160" t="s">
        <v>74</v>
      </c>
      <c r="Z8" s="161"/>
    </row>
    <row r="9" spans="1:27" s="24" customFormat="1" ht="66.75" customHeight="1" x14ac:dyDescent="0.3">
      <c r="A9" s="24" t="s">
        <v>88</v>
      </c>
      <c r="B9" s="26" t="s">
        <v>67</v>
      </c>
      <c r="C9" s="27" t="s">
        <v>0</v>
      </c>
      <c r="D9" s="27" t="s">
        <v>6</v>
      </c>
      <c r="E9" s="27" t="s">
        <v>3</v>
      </c>
      <c r="F9" s="28" t="s">
        <v>29</v>
      </c>
      <c r="G9" s="28" t="s">
        <v>30</v>
      </c>
      <c r="H9" s="27" t="s">
        <v>39</v>
      </c>
      <c r="I9" s="28" t="s">
        <v>15</v>
      </c>
      <c r="J9" s="27" t="s">
        <v>14</v>
      </c>
      <c r="K9" s="27" t="s">
        <v>12</v>
      </c>
      <c r="L9" s="27" t="s">
        <v>31</v>
      </c>
      <c r="M9" s="29" t="s">
        <v>32</v>
      </c>
      <c r="N9" s="30" t="s">
        <v>46</v>
      </c>
      <c r="O9" s="28" t="s">
        <v>19</v>
      </c>
      <c r="P9" s="27" t="s">
        <v>16</v>
      </c>
      <c r="Q9" s="27" t="s">
        <v>3</v>
      </c>
      <c r="R9" s="28" t="s">
        <v>29</v>
      </c>
      <c r="S9" s="28" t="s">
        <v>30</v>
      </c>
      <c r="T9" s="27" t="s">
        <v>31</v>
      </c>
      <c r="U9" s="27" t="s">
        <v>32</v>
      </c>
      <c r="V9" s="27" t="s">
        <v>43</v>
      </c>
      <c r="W9" s="27" t="s">
        <v>124</v>
      </c>
      <c r="X9" s="126" t="s">
        <v>123</v>
      </c>
      <c r="Y9" s="31" t="s">
        <v>75</v>
      </c>
      <c r="Z9" s="32" t="s">
        <v>76</v>
      </c>
      <c r="AA9" s="24" t="s">
        <v>88</v>
      </c>
    </row>
    <row r="10" spans="1:27" s="24" customFormat="1" ht="15.6" x14ac:dyDescent="0.3">
      <c r="A10" s="24">
        <v>1</v>
      </c>
      <c r="B10" s="147"/>
      <c r="C10" s="33"/>
      <c r="D10" s="33"/>
      <c r="E10" s="25"/>
      <c r="F10" s="34"/>
      <c r="G10" s="34"/>
      <c r="H10" s="25"/>
      <c r="I10" s="70" t="str">
        <f>IF(C10="Trả lại đơn vụ","",IF(C10="Trả lại đơn việc","",IF(C10="Hòa giải thành","",IF(F10=0,"",EDATE(F10,VLOOKUP(C10,'Thời hạn'!$A$1:$B$10,2,0))+H10))))</f>
        <v/>
      </c>
      <c r="J10" s="59" t="str">
        <f ca="1">IF(C10="Trả lại đơn vụ","",IF(C10="Trả lại đơn việc","",IF(C10="Hòa giải thành","",IF(N10=0,IF(P10=0,IF(F10=0,"",I10-TODAY()+1),""),""))))</f>
        <v/>
      </c>
      <c r="K10" s="25"/>
      <c r="L10" s="129"/>
      <c r="M10" s="130"/>
      <c r="N10" s="35"/>
      <c r="O10" s="34"/>
      <c r="P10" s="25"/>
      <c r="Q10" s="25"/>
      <c r="R10" s="34"/>
      <c r="S10" s="34"/>
      <c r="T10" s="25"/>
      <c r="U10" s="25"/>
      <c r="V10" s="36"/>
      <c r="W10" s="86"/>
      <c r="X10" s="127"/>
      <c r="Y10" s="71" t="str">
        <f>IF(C10="Trả lại đơn vụ","",IF(C10="Trả lại đơn việc","",IF((NETWORKDAYS(F10,G10,'Danh sách ngày nghỉ lễ'!$B$5:$B$25)-1-3)&gt;0,"Quá hạn"&amp;" "&amp;(NETWORKDAYS(F10,G10,'Danh sách ngày nghỉ lễ'!$B$5:$B$25)-1-3)&amp;" "&amp;"ngày","")))</f>
        <v/>
      </c>
      <c r="Z10" s="72" t="str">
        <f>IF(S10=0,"",IF(P10="Chuyển","",IF(P10="Nhập vào vụ khác","",IF(P10="BA",IF((S10-R10)&gt;10,"Quá hạn"&amp;" "&amp;(S10-R10-10)&amp;" "&amp;"ngày",""),IF((NETWORKDAYS(R10,S10,'Danh sách ngày nghỉ lễ'!$B$5:$B$25)-VLOOKUP(P10,'Thời hạn'!$A$17:$B$23,2,0))&gt;1,"Quá hạn"&amp;" "&amp;(NETWORKDAYS(R10,S10,'Danh sách ngày nghỉ lễ'!$B$5:$B$25)-1-VLOOKUP(P10,'Thời hạn'!$A$17:$B$23,2,0))&amp;" "&amp;"ngày","")))))</f>
        <v/>
      </c>
      <c r="AA10" s="23">
        <v>1</v>
      </c>
    </row>
    <row r="11" spans="1:27" s="24" customFormat="1" ht="15.6" x14ac:dyDescent="0.3">
      <c r="A11" s="24">
        <v>1</v>
      </c>
      <c r="B11" s="147"/>
      <c r="C11" s="33"/>
      <c r="D11" s="25"/>
      <c r="E11" s="25"/>
      <c r="F11" s="34"/>
      <c r="G11" s="34"/>
      <c r="H11" s="25"/>
      <c r="I11" s="70" t="str">
        <f>IF(C11="Trả lại đơn vụ","",IF(C11="Trả lại đơn việc","",IF(C11="Hòa giải thành","",IF(F11=0,"",EDATE(F11,VLOOKUP(C11,'Thời hạn'!$A$1:$B$10,2,0))+H11))))</f>
        <v/>
      </c>
      <c r="J11" s="59" t="str">
        <f t="shared" ref="J11:J74" ca="1" si="0">IF(C11="Trả lại đơn vụ","",IF(C11="Trả lại đơn việc","",IF(C11="Hòa giải thành","",IF(N11=0,IF(P11=0,IF(F11=0,"",I11-TODAY()+1),""),""))))</f>
        <v/>
      </c>
      <c r="K11" s="25"/>
      <c r="L11" s="129"/>
      <c r="M11" s="130"/>
      <c r="N11" s="35"/>
      <c r="O11" s="34"/>
      <c r="P11" s="25"/>
      <c r="Q11" s="25"/>
      <c r="R11" s="34"/>
      <c r="S11" s="34"/>
      <c r="T11" s="25"/>
      <c r="U11" s="25"/>
      <c r="V11" s="36"/>
      <c r="W11" s="86"/>
      <c r="X11" s="127"/>
      <c r="Y11" s="71" t="str">
        <f>IF(C11="Trả lại đơn vụ","",IF(C11="Trả lại đơn việc","",IF((NETWORKDAYS(F11,G11,'Danh sách ngày nghỉ lễ'!$B$5:$B$25)-1-3)&gt;0,"Quá hạn"&amp;" "&amp;(NETWORKDAYS(F11,G11,'Danh sách ngày nghỉ lễ'!$B$5:$B$25)-1-3)&amp;" "&amp;"ngày","")))</f>
        <v/>
      </c>
      <c r="Z11" s="72" t="str">
        <f>IF(S11=0,"",IF(P11="Chuyển","",IF(P11="Nhập vào vụ khác","",IF(P11="BA",IF((S11-R11)&gt;10,"Quá hạn"&amp;" "&amp;(S11-R11-10)&amp;" "&amp;"ngày",""),IF((NETWORKDAYS(R11,S11,'Danh sách ngày nghỉ lễ'!$B$5:$B$25)-VLOOKUP(P11,'Thời hạn'!$A$17:$B$23,2,0))&gt;1,"Quá hạn"&amp;" "&amp;(NETWORKDAYS(R11,S11,'Danh sách ngày nghỉ lễ'!$B$5:$B$25)-1-VLOOKUP(P11,'Thời hạn'!$A$17:$B$23,2,0))&amp;" "&amp;"ngày","")))))</f>
        <v/>
      </c>
      <c r="AA11" s="23">
        <v>1</v>
      </c>
    </row>
    <row r="12" spans="1:27" s="24" customFormat="1" ht="15.6" x14ac:dyDescent="0.3">
      <c r="A12" s="24">
        <v>1</v>
      </c>
      <c r="B12" s="147"/>
      <c r="C12" s="33"/>
      <c r="D12" s="25"/>
      <c r="E12" s="25"/>
      <c r="F12" s="34"/>
      <c r="G12" s="34"/>
      <c r="H12" s="25"/>
      <c r="I12" s="70" t="str">
        <f>IF(C12="Trả lại đơn vụ","",IF(C12="Trả lại đơn việc","",IF(C12="Hòa giải thành","",IF(F12=0,"",EDATE(F12,VLOOKUP(C12,'Thời hạn'!$A$1:$B$10,2,0))+H12))))</f>
        <v/>
      </c>
      <c r="J12" s="59" t="str">
        <f t="shared" ca="1" si="0"/>
        <v/>
      </c>
      <c r="K12" s="25"/>
      <c r="L12" s="129"/>
      <c r="M12" s="130"/>
      <c r="N12" s="35"/>
      <c r="O12" s="34"/>
      <c r="P12" s="25"/>
      <c r="Q12" s="25"/>
      <c r="R12" s="34"/>
      <c r="S12" s="34"/>
      <c r="T12" s="25"/>
      <c r="U12" s="25"/>
      <c r="V12" s="36"/>
      <c r="W12" s="86"/>
      <c r="X12" s="127"/>
      <c r="Y12" s="71" t="str">
        <f>IF(C12="Trả lại đơn vụ","",IF(C12="Trả lại đơn việc","",IF((NETWORKDAYS(F12,G12,'Danh sách ngày nghỉ lễ'!$B$5:$B$25)-1-3)&gt;0,"Quá hạn"&amp;" "&amp;(NETWORKDAYS(F12,G12,'Danh sách ngày nghỉ lễ'!$B$5:$B$25)-1-3)&amp;" "&amp;"ngày","")))</f>
        <v/>
      </c>
      <c r="Z12" s="72" t="str">
        <f>IF(S12=0,"",IF(P12="Chuyển","",IF(P12="Nhập vào vụ khác","",IF(P12="BA",IF((S12-R12)&gt;10,"Quá hạn"&amp;" "&amp;(S12-R12-10)&amp;" "&amp;"ngày",""),IF((NETWORKDAYS(R12,S12,'Danh sách ngày nghỉ lễ'!$B$5:$B$25)-VLOOKUP(P12,'Thời hạn'!$A$17:$B$23,2,0))&gt;1,"Quá hạn"&amp;" "&amp;(NETWORKDAYS(R12,S12,'Danh sách ngày nghỉ lễ'!$B$5:$B$25)-1-VLOOKUP(P12,'Thời hạn'!$A$17:$B$23,2,0))&amp;" "&amp;"ngày","")))))</f>
        <v/>
      </c>
      <c r="AA12" s="23">
        <v>1</v>
      </c>
    </row>
    <row r="13" spans="1:27" s="24" customFormat="1" ht="15.6" x14ac:dyDescent="0.3">
      <c r="A13" s="24">
        <v>1</v>
      </c>
      <c r="B13" s="147"/>
      <c r="C13" s="33"/>
      <c r="D13" s="25"/>
      <c r="E13" s="25"/>
      <c r="F13" s="34"/>
      <c r="G13" s="34"/>
      <c r="H13" s="25"/>
      <c r="I13" s="70" t="str">
        <f>IF(C13="Trả lại đơn vụ","",IF(C13="Trả lại đơn việc","",IF(C13="Hòa giải thành","",IF(F13=0,"",EDATE(F13,VLOOKUP(C13,'Thời hạn'!$A$1:$B$10,2,0))+H13))))</f>
        <v/>
      </c>
      <c r="J13" s="59" t="str">
        <f t="shared" ca="1" si="0"/>
        <v/>
      </c>
      <c r="K13" s="25"/>
      <c r="L13" s="129"/>
      <c r="M13" s="130"/>
      <c r="N13" s="35"/>
      <c r="O13" s="34"/>
      <c r="P13" s="25"/>
      <c r="Q13" s="25"/>
      <c r="R13" s="34"/>
      <c r="S13" s="34"/>
      <c r="T13" s="25"/>
      <c r="U13" s="25"/>
      <c r="V13" s="36"/>
      <c r="W13" s="86"/>
      <c r="X13" s="127"/>
      <c r="Y13" s="71" t="str">
        <f>IF(C13="Trả lại đơn vụ","",IF(C13="Trả lại đơn việc","",IF((NETWORKDAYS(F13,G13,'Danh sách ngày nghỉ lễ'!$B$5:$B$25)-1-3)&gt;0,"Quá hạn"&amp;" "&amp;(NETWORKDAYS(F13,G13,'Danh sách ngày nghỉ lễ'!$B$5:$B$25)-1-3)&amp;" "&amp;"ngày","")))</f>
        <v/>
      </c>
      <c r="Z13" s="72" t="str">
        <f>IF(S13=0,"",IF(P13="Chuyển","",IF(P13="Nhập vào vụ khác","",IF(P13="BA",IF((S13-R13)&gt;10,"Quá hạn"&amp;" "&amp;(S13-R13-10)&amp;" "&amp;"ngày",""),IF((NETWORKDAYS(R13,S13,'Danh sách ngày nghỉ lễ'!$B$5:$B$25)-VLOOKUP(P13,'Thời hạn'!$A$17:$B$23,2,0))&gt;1,"Quá hạn"&amp;" "&amp;(NETWORKDAYS(R13,S13,'Danh sách ngày nghỉ lễ'!$B$5:$B$25)-1-VLOOKUP(P13,'Thời hạn'!$A$17:$B$23,2,0))&amp;" "&amp;"ngày","")))))</f>
        <v/>
      </c>
      <c r="AA13" s="23">
        <v>1</v>
      </c>
    </row>
    <row r="14" spans="1:27" s="24" customFormat="1" ht="15.6" x14ac:dyDescent="0.3">
      <c r="A14" s="24">
        <v>1</v>
      </c>
      <c r="B14" s="147"/>
      <c r="C14" s="33"/>
      <c r="D14" s="25"/>
      <c r="E14" s="25"/>
      <c r="F14" s="34"/>
      <c r="G14" s="34"/>
      <c r="H14" s="25"/>
      <c r="I14" s="70" t="str">
        <f>IF(C14="Trả lại đơn vụ","",IF(C14="Trả lại đơn việc","",IF(C14="Hòa giải thành","",IF(F14=0,"",EDATE(F14,VLOOKUP(C14,'Thời hạn'!$A$1:$B$10,2,0))+H14))))</f>
        <v/>
      </c>
      <c r="J14" s="59" t="str">
        <f t="shared" ca="1" si="0"/>
        <v/>
      </c>
      <c r="K14" s="25"/>
      <c r="L14" s="129"/>
      <c r="M14" s="130"/>
      <c r="N14" s="35"/>
      <c r="O14" s="34"/>
      <c r="P14" s="25"/>
      <c r="Q14" s="25"/>
      <c r="R14" s="34"/>
      <c r="S14" s="34"/>
      <c r="T14" s="25"/>
      <c r="U14" s="25"/>
      <c r="V14" s="36"/>
      <c r="W14" s="86"/>
      <c r="X14" s="127"/>
      <c r="Y14" s="71" t="str">
        <f>IF(C14="Trả lại đơn vụ","",IF(C14="Trả lại đơn việc","",IF((NETWORKDAYS(F14,G14,'Danh sách ngày nghỉ lễ'!$B$5:$B$25)-1-3)&gt;0,"Quá hạn"&amp;" "&amp;(NETWORKDAYS(F14,G14,'Danh sách ngày nghỉ lễ'!$B$5:$B$25)-1-3)&amp;" "&amp;"ngày","")))</f>
        <v/>
      </c>
      <c r="Z14" s="72" t="str">
        <f>IF(S14=0,"",IF(P14="Chuyển","",IF(P14="Nhập vào vụ khác","",IF(P14="BA",IF((S14-R14)&gt;10,"Quá hạn"&amp;" "&amp;(S14-R14-10)&amp;" "&amp;"ngày",""),IF((NETWORKDAYS(R14,S14,'Danh sách ngày nghỉ lễ'!$B$5:$B$25)-VLOOKUP(P14,'Thời hạn'!$A$17:$B$23,2,0))&gt;1,"Quá hạn"&amp;" "&amp;(NETWORKDAYS(R14,S14,'Danh sách ngày nghỉ lễ'!$B$5:$B$25)-1-VLOOKUP(P14,'Thời hạn'!$A$17:$B$23,2,0))&amp;" "&amp;"ngày","")))))</f>
        <v/>
      </c>
      <c r="AA14" s="23">
        <v>1</v>
      </c>
    </row>
    <row r="15" spans="1:27" s="24" customFormat="1" ht="15.6" x14ac:dyDescent="0.3">
      <c r="A15" s="24">
        <v>1</v>
      </c>
      <c r="B15" s="147"/>
      <c r="C15" s="33"/>
      <c r="D15" s="25"/>
      <c r="E15" s="25"/>
      <c r="F15" s="34"/>
      <c r="G15" s="34"/>
      <c r="H15" s="25"/>
      <c r="I15" s="70" t="str">
        <f>IF(C15="Trả lại đơn vụ","",IF(C15="Trả lại đơn việc","",IF(C15="Hòa giải thành","",IF(F15=0,"",EDATE(F15,VLOOKUP(C15,'Thời hạn'!$A$1:$B$10,2,0))+H15))))</f>
        <v/>
      </c>
      <c r="J15" s="59" t="str">
        <f t="shared" ca="1" si="0"/>
        <v/>
      </c>
      <c r="K15" s="25"/>
      <c r="L15" s="129"/>
      <c r="M15" s="130"/>
      <c r="N15" s="35"/>
      <c r="O15" s="34"/>
      <c r="P15" s="25"/>
      <c r="Q15" s="25"/>
      <c r="R15" s="34"/>
      <c r="S15" s="34"/>
      <c r="T15" s="25"/>
      <c r="U15" s="25"/>
      <c r="V15" s="36"/>
      <c r="W15" s="86"/>
      <c r="X15" s="127"/>
      <c r="Y15" s="71" t="str">
        <f>IF(C15="Trả lại đơn vụ","",IF(C15="Trả lại đơn việc","",IF((NETWORKDAYS(F15,G15,'Danh sách ngày nghỉ lễ'!$B$5:$B$25)-1-3)&gt;0,"Quá hạn"&amp;" "&amp;(NETWORKDAYS(F15,G15,'Danh sách ngày nghỉ lễ'!$B$5:$B$25)-1-3)&amp;" "&amp;"ngày","")))</f>
        <v/>
      </c>
      <c r="Z15" s="72" t="str">
        <f>IF(S15=0,"",IF(P15="Chuyển","",IF(P15="Nhập vào vụ khác","",IF(P15="BA",IF((S15-R15)&gt;10,"Quá hạn"&amp;" "&amp;(S15-R15-10)&amp;" "&amp;"ngày",""),IF((NETWORKDAYS(R15,S15,'Danh sách ngày nghỉ lễ'!$B$5:$B$25)-VLOOKUP(P15,'Thời hạn'!$A$17:$B$23,2,0))&gt;1,"Quá hạn"&amp;" "&amp;(NETWORKDAYS(R15,S15,'Danh sách ngày nghỉ lễ'!$B$5:$B$25)-1-VLOOKUP(P15,'Thời hạn'!$A$17:$B$23,2,0))&amp;" "&amp;"ngày","")))))</f>
        <v/>
      </c>
      <c r="AA15" s="23">
        <v>1</v>
      </c>
    </row>
    <row r="16" spans="1:27" s="24" customFormat="1" ht="15.6" x14ac:dyDescent="0.3">
      <c r="A16" s="24">
        <v>1</v>
      </c>
      <c r="B16" s="147"/>
      <c r="C16" s="33"/>
      <c r="D16" s="25"/>
      <c r="E16" s="25"/>
      <c r="F16" s="34"/>
      <c r="G16" s="34"/>
      <c r="H16" s="25"/>
      <c r="I16" s="70" t="str">
        <f>IF(C16="Trả lại đơn vụ","",IF(C16="Trả lại đơn việc","",IF(C16="Hòa giải thành","",IF(F16=0,"",EDATE(F16,VLOOKUP(C16,'Thời hạn'!$A$1:$B$10,2,0))+H16))))</f>
        <v/>
      </c>
      <c r="J16" s="59" t="str">
        <f t="shared" ca="1" si="0"/>
        <v/>
      </c>
      <c r="K16" s="25"/>
      <c r="L16" s="129"/>
      <c r="M16" s="130"/>
      <c r="N16" s="35"/>
      <c r="O16" s="34"/>
      <c r="P16" s="25"/>
      <c r="Q16" s="25"/>
      <c r="R16" s="34"/>
      <c r="S16" s="34"/>
      <c r="T16" s="25"/>
      <c r="U16" s="25"/>
      <c r="V16" s="36"/>
      <c r="W16" s="86"/>
      <c r="X16" s="127"/>
      <c r="Y16" s="71" t="str">
        <f>IF(C16="Trả lại đơn vụ","",IF(C16="Trả lại đơn việc","",IF((NETWORKDAYS(F16,G16,'Danh sách ngày nghỉ lễ'!$B$5:$B$25)-1-3)&gt;0,"Quá hạn"&amp;" "&amp;(NETWORKDAYS(F16,G16,'Danh sách ngày nghỉ lễ'!$B$5:$B$25)-1-3)&amp;" "&amp;"ngày","")))</f>
        <v/>
      </c>
      <c r="Z16" s="72" t="str">
        <f>IF(S16=0,"",IF(P16="Chuyển","",IF(P16="Nhập vào vụ khác","",IF(P16="BA",IF((S16-R16)&gt;10,"Quá hạn"&amp;" "&amp;(S16-R16-10)&amp;" "&amp;"ngày",""),IF((NETWORKDAYS(R16,S16,'Danh sách ngày nghỉ lễ'!$B$5:$B$25)-VLOOKUP(P16,'Thời hạn'!$A$17:$B$23,2,0))&gt;1,"Quá hạn"&amp;" "&amp;(NETWORKDAYS(R16,S16,'Danh sách ngày nghỉ lễ'!$B$5:$B$25)-1-VLOOKUP(P16,'Thời hạn'!$A$17:$B$23,2,0))&amp;" "&amp;"ngày","")))))</f>
        <v/>
      </c>
      <c r="AA16" s="23">
        <v>1</v>
      </c>
    </row>
    <row r="17" spans="1:27" s="24" customFormat="1" ht="15.6" x14ac:dyDescent="0.3">
      <c r="A17" s="24">
        <v>1</v>
      </c>
      <c r="B17" s="147"/>
      <c r="C17" s="33"/>
      <c r="D17" s="25"/>
      <c r="E17" s="25"/>
      <c r="F17" s="34"/>
      <c r="G17" s="34"/>
      <c r="H17" s="25"/>
      <c r="I17" s="70" t="str">
        <f>IF(C17="Trả lại đơn vụ","",IF(C17="Trả lại đơn việc","",IF(C17="Hòa giải thành","",IF(F17=0,"",EDATE(F17,VLOOKUP(C17,'Thời hạn'!$A$1:$B$10,2,0))+H17))))</f>
        <v/>
      </c>
      <c r="J17" s="59" t="str">
        <f t="shared" ca="1" si="0"/>
        <v/>
      </c>
      <c r="K17" s="25"/>
      <c r="L17" s="129"/>
      <c r="M17" s="130"/>
      <c r="N17" s="35"/>
      <c r="O17" s="34"/>
      <c r="P17" s="25"/>
      <c r="Q17" s="25"/>
      <c r="R17" s="34"/>
      <c r="S17" s="34"/>
      <c r="T17" s="25"/>
      <c r="U17" s="25"/>
      <c r="V17" s="36"/>
      <c r="W17" s="86"/>
      <c r="X17" s="127"/>
      <c r="Y17" s="71" t="str">
        <f>IF(C17="Trả lại đơn vụ","",IF(C17="Trả lại đơn việc","",IF((NETWORKDAYS(F17,G17,'Danh sách ngày nghỉ lễ'!$B$5:$B$25)-1-3)&gt;0,"Quá hạn"&amp;" "&amp;(NETWORKDAYS(F17,G17,'Danh sách ngày nghỉ lễ'!$B$5:$B$25)-1-3)&amp;" "&amp;"ngày","")))</f>
        <v/>
      </c>
      <c r="Z17" s="72" t="str">
        <f>IF(S17=0,"",IF(P17="Chuyển","",IF(P17="Nhập vào vụ khác","",IF(P17="BA",IF((S17-R17)&gt;10,"Quá hạn"&amp;" "&amp;(S17-R17-10)&amp;" "&amp;"ngày",""),IF((NETWORKDAYS(R17,S17,'Danh sách ngày nghỉ lễ'!$B$5:$B$25)-VLOOKUP(P17,'Thời hạn'!$A$17:$B$23,2,0))&gt;1,"Quá hạn"&amp;" "&amp;(NETWORKDAYS(R17,S17,'Danh sách ngày nghỉ lễ'!$B$5:$B$25)-1-VLOOKUP(P17,'Thời hạn'!$A$17:$B$23,2,0))&amp;" "&amp;"ngày","")))))</f>
        <v/>
      </c>
      <c r="AA17" s="23">
        <v>1</v>
      </c>
    </row>
    <row r="18" spans="1:27" s="24" customFormat="1" ht="15.6" x14ac:dyDescent="0.3">
      <c r="A18" s="24">
        <v>1</v>
      </c>
      <c r="B18" s="147"/>
      <c r="C18" s="33"/>
      <c r="D18" s="25"/>
      <c r="E18" s="25"/>
      <c r="F18" s="34"/>
      <c r="G18" s="34"/>
      <c r="H18" s="25"/>
      <c r="I18" s="70" t="str">
        <f>IF(C18="Trả lại đơn vụ","",IF(C18="Trả lại đơn việc","",IF(C18="Hòa giải thành","",IF(F18=0,"",EDATE(F18,VLOOKUP(C18,'Thời hạn'!$A$1:$B$10,2,0))+H18))))</f>
        <v/>
      </c>
      <c r="J18" s="59" t="str">
        <f t="shared" ca="1" si="0"/>
        <v/>
      </c>
      <c r="K18" s="25"/>
      <c r="L18" s="129"/>
      <c r="M18" s="130"/>
      <c r="N18" s="35"/>
      <c r="O18" s="34"/>
      <c r="P18" s="25"/>
      <c r="Q18" s="25"/>
      <c r="R18" s="34"/>
      <c r="S18" s="34"/>
      <c r="T18" s="25"/>
      <c r="U18" s="25"/>
      <c r="V18" s="36"/>
      <c r="W18" s="86"/>
      <c r="X18" s="127"/>
      <c r="Y18" s="71" t="str">
        <f>IF(C18="Trả lại đơn vụ","",IF(C18="Trả lại đơn việc","",IF((NETWORKDAYS(F18,G18,'Danh sách ngày nghỉ lễ'!$B$5:$B$25)-1-3)&gt;0,"Quá hạn"&amp;" "&amp;(NETWORKDAYS(F18,G18,'Danh sách ngày nghỉ lễ'!$B$5:$B$25)-1-3)&amp;" "&amp;"ngày","")))</f>
        <v/>
      </c>
      <c r="Z18" s="72" t="str">
        <f>IF(S18=0,"",IF(P18="Chuyển","",IF(P18="Nhập vào vụ khác","",IF(P18="BA",IF((S18-R18)&gt;10,"Quá hạn"&amp;" "&amp;(S18-R18-10)&amp;" "&amp;"ngày",""),IF((NETWORKDAYS(R18,S18,'Danh sách ngày nghỉ lễ'!$B$5:$B$25)-VLOOKUP(P18,'Thời hạn'!$A$17:$B$23,2,0))&gt;1,"Quá hạn"&amp;" "&amp;(NETWORKDAYS(R18,S18,'Danh sách ngày nghỉ lễ'!$B$5:$B$25)-1-VLOOKUP(P18,'Thời hạn'!$A$17:$B$23,2,0))&amp;" "&amp;"ngày","")))))</f>
        <v/>
      </c>
      <c r="AA18" s="23">
        <v>1</v>
      </c>
    </row>
    <row r="19" spans="1:27" s="24" customFormat="1" ht="15.6" x14ac:dyDescent="0.3">
      <c r="A19" s="24">
        <v>1</v>
      </c>
      <c r="B19" s="147"/>
      <c r="C19" s="33"/>
      <c r="E19" s="25"/>
      <c r="F19" s="34"/>
      <c r="G19" s="34"/>
      <c r="H19" s="25"/>
      <c r="I19" s="70" t="str">
        <f>IF(C19="Trả lại đơn vụ","",IF(C19="Trả lại đơn việc","",IF(C19="Hòa giải thành","",IF(F19=0,"",EDATE(F19,VLOOKUP(C19,'Thời hạn'!$A$1:$B$10,2,0))+H19))))</f>
        <v/>
      </c>
      <c r="J19" s="59" t="str">
        <f t="shared" ca="1" si="0"/>
        <v/>
      </c>
      <c r="K19" s="25"/>
      <c r="L19" s="129"/>
      <c r="M19" s="130"/>
      <c r="N19" s="35"/>
      <c r="O19" s="34"/>
      <c r="P19" s="25"/>
      <c r="Q19" s="25"/>
      <c r="R19" s="34"/>
      <c r="S19" s="34"/>
      <c r="T19" s="25"/>
      <c r="U19" s="25"/>
      <c r="V19" s="36"/>
      <c r="W19" s="86"/>
      <c r="X19" s="127"/>
      <c r="Y19" s="71" t="str">
        <f>IF(C19="Trả lại đơn vụ","",IF(C19="Trả lại đơn việc","",IF((NETWORKDAYS(F19,G19,'Danh sách ngày nghỉ lễ'!$B$5:$B$25)-1-3)&gt;0,"Quá hạn"&amp;" "&amp;(NETWORKDAYS(F19,G19,'Danh sách ngày nghỉ lễ'!$B$5:$B$25)-1-3)&amp;" "&amp;"ngày","")))</f>
        <v/>
      </c>
      <c r="Z19" s="72" t="str">
        <f>IF(S19=0,"",IF(P19="Chuyển","",IF(P19="Nhập vào vụ khác","",IF(P19="BA",IF((S19-R19)&gt;10,"Quá hạn"&amp;" "&amp;(S19-R19-10)&amp;" "&amp;"ngày",""),IF((NETWORKDAYS(R19,S19,'Danh sách ngày nghỉ lễ'!$B$5:$B$25)-VLOOKUP(P19,'Thời hạn'!$A$17:$B$23,2,0))&gt;1,"Quá hạn"&amp;" "&amp;(NETWORKDAYS(R19,S19,'Danh sách ngày nghỉ lễ'!$B$5:$B$25)-1-VLOOKUP(P19,'Thời hạn'!$A$17:$B$23,2,0))&amp;" "&amp;"ngày","")))))</f>
        <v/>
      </c>
      <c r="AA19" s="23">
        <v>1</v>
      </c>
    </row>
    <row r="20" spans="1:27" s="24" customFormat="1" ht="15.6" x14ac:dyDescent="0.3">
      <c r="A20" s="24">
        <v>1</v>
      </c>
      <c r="B20" s="147"/>
      <c r="C20" s="33"/>
      <c r="D20" s="25"/>
      <c r="E20" s="25"/>
      <c r="F20" s="34"/>
      <c r="G20" s="34"/>
      <c r="H20" s="25"/>
      <c r="I20" s="70" t="str">
        <f>IF(C20="Trả lại đơn vụ","",IF(C20="Trả lại đơn việc","",IF(C20="Hòa giải thành","",IF(F20=0,"",EDATE(F20,VLOOKUP(C20,'Thời hạn'!$A$1:$B$10,2,0))+H20))))</f>
        <v/>
      </c>
      <c r="J20" s="59" t="str">
        <f t="shared" ca="1" si="0"/>
        <v/>
      </c>
      <c r="K20" s="25"/>
      <c r="L20" s="129"/>
      <c r="M20" s="130"/>
      <c r="N20" s="35"/>
      <c r="O20" s="34"/>
      <c r="P20" s="25"/>
      <c r="Q20" s="25"/>
      <c r="R20" s="34"/>
      <c r="S20" s="34"/>
      <c r="T20" s="25"/>
      <c r="U20" s="25"/>
      <c r="V20" s="36"/>
      <c r="W20" s="86"/>
      <c r="X20" s="127"/>
      <c r="Y20" s="71" t="str">
        <f>IF(C20="Trả lại đơn vụ","",IF(C20="Trả lại đơn việc","",IF((NETWORKDAYS(F20,G20,'Danh sách ngày nghỉ lễ'!$B$5:$B$25)-1-3)&gt;0,"Quá hạn"&amp;" "&amp;(NETWORKDAYS(F20,G20,'Danh sách ngày nghỉ lễ'!$B$5:$B$25)-1-3)&amp;" "&amp;"ngày","")))</f>
        <v/>
      </c>
      <c r="Z20" s="72" t="str">
        <f>IF(S20=0,"",IF(P20="Chuyển","",IF(P20="Nhập vào vụ khác","",IF(P20="BA",IF((S20-R20)&gt;10,"Quá hạn"&amp;" "&amp;(S20-R20-10)&amp;" "&amp;"ngày",""),IF((NETWORKDAYS(R20,S20,'Danh sách ngày nghỉ lễ'!$B$5:$B$25)-VLOOKUP(P20,'Thời hạn'!$A$17:$B$23,2,0))&gt;1,"Quá hạn"&amp;" "&amp;(NETWORKDAYS(R20,S20,'Danh sách ngày nghỉ lễ'!$B$5:$B$25)-1-VLOOKUP(P20,'Thời hạn'!$A$17:$B$23,2,0))&amp;" "&amp;"ngày","")))))</f>
        <v/>
      </c>
      <c r="AA20" s="23">
        <v>1</v>
      </c>
    </row>
    <row r="21" spans="1:27" s="24" customFormat="1" ht="15.6" x14ac:dyDescent="0.3">
      <c r="A21" s="24">
        <v>1</v>
      </c>
      <c r="B21" s="147"/>
      <c r="C21" s="33"/>
      <c r="D21" s="25"/>
      <c r="E21" s="25"/>
      <c r="F21" s="34"/>
      <c r="G21" s="34"/>
      <c r="H21" s="25"/>
      <c r="I21" s="70" t="str">
        <f>IF(C21="Trả lại đơn vụ","",IF(C21="Trả lại đơn việc","",IF(C21="Hòa giải thành","",IF(F21=0,"",EDATE(F21,VLOOKUP(C21,'Thời hạn'!$A$1:$B$10,2,0))+H21))))</f>
        <v/>
      </c>
      <c r="J21" s="59" t="str">
        <f t="shared" ca="1" si="0"/>
        <v/>
      </c>
      <c r="K21" s="25"/>
      <c r="L21" s="129"/>
      <c r="M21" s="130"/>
      <c r="N21" s="35"/>
      <c r="O21" s="34"/>
      <c r="P21" s="25"/>
      <c r="Q21" s="25"/>
      <c r="R21" s="34"/>
      <c r="S21" s="34"/>
      <c r="T21" s="25"/>
      <c r="U21" s="25"/>
      <c r="V21" s="36"/>
      <c r="W21" s="86"/>
      <c r="X21" s="127"/>
      <c r="Y21" s="71" t="str">
        <f>IF(C21="Trả lại đơn vụ","",IF(C21="Trả lại đơn việc","",IF((NETWORKDAYS(F21,G21,'Danh sách ngày nghỉ lễ'!$B$5:$B$25)-1-3)&gt;0,"Quá hạn"&amp;" "&amp;(NETWORKDAYS(F21,G21,'Danh sách ngày nghỉ lễ'!$B$5:$B$25)-1-3)&amp;" "&amp;"ngày","")))</f>
        <v/>
      </c>
      <c r="Z21" s="72" t="str">
        <f>IF(S21=0,"",IF(P21="Chuyển","",IF(P21="Nhập vào vụ khác","",IF(P21="BA",IF((S21-R21)&gt;10,"Quá hạn"&amp;" "&amp;(S21-R21-10)&amp;" "&amp;"ngày",""),IF((NETWORKDAYS(R21,S21,'Danh sách ngày nghỉ lễ'!$B$5:$B$25)-VLOOKUP(P21,'Thời hạn'!$A$17:$B$23,2,0))&gt;1,"Quá hạn"&amp;" "&amp;(NETWORKDAYS(R21,S21,'Danh sách ngày nghỉ lễ'!$B$5:$B$25)-1-VLOOKUP(P21,'Thời hạn'!$A$17:$B$23,2,0))&amp;" "&amp;"ngày","")))))</f>
        <v/>
      </c>
      <c r="AA21" s="23">
        <v>1</v>
      </c>
    </row>
    <row r="22" spans="1:27" s="24" customFormat="1" ht="15.6" x14ac:dyDescent="0.3">
      <c r="A22" s="24">
        <v>1</v>
      </c>
      <c r="B22" s="85"/>
      <c r="C22" s="33"/>
      <c r="D22" s="25"/>
      <c r="E22" s="25"/>
      <c r="F22" s="34"/>
      <c r="G22" s="34"/>
      <c r="H22" s="25"/>
      <c r="I22" s="70" t="str">
        <f>IF(C22="Trả lại đơn vụ","",IF(C22="Trả lại đơn việc","",IF(C22="Hòa giải thành","",IF(F22=0,"",EDATE(F22,VLOOKUP(C22,'Thời hạn'!$A$1:$B$10,2,0))+H22))))</f>
        <v/>
      </c>
      <c r="J22" s="59" t="str">
        <f t="shared" ca="1" si="0"/>
        <v/>
      </c>
      <c r="K22" s="25"/>
      <c r="L22" s="129"/>
      <c r="M22" s="130"/>
      <c r="N22" s="35"/>
      <c r="O22" s="34"/>
      <c r="P22" s="25"/>
      <c r="Q22" s="25"/>
      <c r="R22" s="34"/>
      <c r="S22" s="34"/>
      <c r="T22" s="25"/>
      <c r="U22" s="25"/>
      <c r="V22" s="36"/>
      <c r="W22" s="86"/>
      <c r="X22" s="127"/>
      <c r="Y22" s="71" t="str">
        <f>IF(C22="Trả lại đơn vụ","",IF(C22="Trả lại đơn việc","",IF((NETWORKDAYS(F22,G22,'Danh sách ngày nghỉ lễ'!$B$5:$B$25)-1-3)&gt;0,"Quá hạn"&amp;" "&amp;(NETWORKDAYS(F22,G22,'Danh sách ngày nghỉ lễ'!$B$5:$B$25)-1-3)&amp;" "&amp;"ngày","")))</f>
        <v/>
      </c>
      <c r="Z22" s="72" t="str">
        <f>IF(S22=0,"",IF(P22="Chuyển","",IF(P22="Nhập vào vụ khác","",IF(P22="BA",IF((S22-R22)&gt;10,"Quá hạn"&amp;" "&amp;(S22-R22-10)&amp;" "&amp;"ngày",""),IF((NETWORKDAYS(R22,S22,'Danh sách ngày nghỉ lễ'!$B$5:$B$25)-VLOOKUP(P22,'Thời hạn'!$A$17:$B$23,2,0))&gt;1,"Quá hạn"&amp;" "&amp;(NETWORKDAYS(R22,S22,'Danh sách ngày nghỉ lễ'!$B$5:$B$25)-1-VLOOKUP(P22,'Thời hạn'!$A$17:$B$23,2,0))&amp;" "&amp;"ngày","")))))</f>
        <v/>
      </c>
      <c r="AA22" s="23">
        <v>1</v>
      </c>
    </row>
    <row r="23" spans="1:27" s="24" customFormat="1" ht="15.6" x14ac:dyDescent="0.3">
      <c r="A23" s="24">
        <v>1</v>
      </c>
      <c r="B23" s="85"/>
      <c r="C23" s="33"/>
      <c r="D23" s="25"/>
      <c r="E23" s="25"/>
      <c r="F23" s="34"/>
      <c r="G23" s="34"/>
      <c r="H23" s="25"/>
      <c r="I23" s="70" t="str">
        <f>IF(C23="Trả lại đơn vụ","",IF(C23="Trả lại đơn việc","",IF(C23="Hòa giải thành","",IF(F23=0,"",EDATE(F23,VLOOKUP(C23,'Thời hạn'!$A$1:$B$10,2,0))+H23))))</f>
        <v/>
      </c>
      <c r="J23" s="59" t="str">
        <f t="shared" ca="1" si="0"/>
        <v/>
      </c>
      <c r="K23" s="25"/>
      <c r="L23" s="129"/>
      <c r="M23" s="130"/>
      <c r="N23" s="35"/>
      <c r="O23" s="34"/>
      <c r="P23" s="25"/>
      <c r="Q23" s="25"/>
      <c r="R23" s="34"/>
      <c r="S23" s="34"/>
      <c r="T23" s="25"/>
      <c r="U23" s="25"/>
      <c r="V23" s="36"/>
      <c r="W23" s="86"/>
      <c r="X23" s="127"/>
      <c r="Y23" s="71" t="str">
        <f>IF(C23="Trả lại đơn vụ","",IF(C23="Trả lại đơn việc","",IF((NETWORKDAYS(F23,G23,'Danh sách ngày nghỉ lễ'!$B$5:$B$25)-1-3)&gt;0,"Quá hạn"&amp;" "&amp;(NETWORKDAYS(F23,G23,'Danh sách ngày nghỉ lễ'!$B$5:$B$25)-1-3)&amp;" "&amp;"ngày","")))</f>
        <v/>
      </c>
      <c r="Z23" s="72" t="str">
        <f>IF(S23=0,"",IF(P23="Chuyển","",IF(P23="Nhập vào vụ khác","",IF(P23="BA",IF((S23-R23)&gt;10,"Quá hạn"&amp;" "&amp;(S23-R23-10)&amp;" "&amp;"ngày",""),IF((NETWORKDAYS(R23,S23,'Danh sách ngày nghỉ lễ'!$B$5:$B$25)-VLOOKUP(P23,'Thời hạn'!$A$17:$B$23,2,0))&gt;1,"Quá hạn"&amp;" "&amp;(NETWORKDAYS(R23,S23,'Danh sách ngày nghỉ lễ'!$B$5:$B$25)-1-VLOOKUP(P23,'Thời hạn'!$A$17:$B$23,2,0))&amp;" "&amp;"ngày","")))))</f>
        <v/>
      </c>
      <c r="AA23" s="23">
        <v>1</v>
      </c>
    </row>
    <row r="24" spans="1:27" s="24" customFormat="1" ht="15.6" x14ac:dyDescent="0.3">
      <c r="A24" s="24">
        <v>1</v>
      </c>
      <c r="B24" s="85"/>
      <c r="C24" s="33"/>
      <c r="D24" s="25"/>
      <c r="E24" s="25"/>
      <c r="F24" s="34"/>
      <c r="G24" s="34"/>
      <c r="H24" s="25"/>
      <c r="I24" s="70" t="str">
        <f>IF(C24="Trả lại đơn vụ","",IF(C24="Trả lại đơn việc","",IF(C24="Hòa giải thành","",IF(F24=0,"",EDATE(F24,VLOOKUP(C24,'Thời hạn'!$A$1:$B$10,2,0))+H24))))</f>
        <v/>
      </c>
      <c r="J24" s="59" t="str">
        <f t="shared" ca="1" si="0"/>
        <v/>
      </c>
      <c r="K24" s="25"/>
      <c r="L24" s="129"/>
      <c r="M24" s="130"/>
      <c r="N24" s="35"/>
      <c r="O24" s="34"/>
      <c r="P24" s="25"/>
      <c r="Q24" s="25"/>
      <c r="R24" s="34"/>
      <c r="S24" s="34"/>
      <c r="T24" s="25"/>
      <c r="U24" s="25"/>
      <c r="V24" s="36"/>
      <c r="W24" s="86"/>
      <c r="X24" s="127"/>
      <c r="Y24" s="71" t="str">
        <f>IF(C24="Trả lại đơn vụ","",IF(C24="Trả lại đơn việc","",IF((NETWORKDAYS(F24,G24,'Danh sách ngày nghỉ lễ'!$B$5:$B$25)-1-3)&gt;0,"Quá hạn"&amp;" "&amp;(NETWORKDAYS(F24,G24,'Danh sách ngày nghỉ lễ'!$B$5:$B$25)-1-3)&amp;" "&amp;"ngày","")))</f>
        <v/>
      </c>
      <c r="Z24" s="72" t="str">
        <f>IF(S24=0,"",IF(P24="Chuyển","",IF(P24="Nhập vào vụ khác","",IF(P24="BA",IF((S24-R24)&gt;10,"Quá hạn"&amp;" "&amp;(S24-R24-10)&amp;" "&amp;"ngày",""),IF((NETWORKDAYS(R24,S24,'Danh sách ngày nghỉ lễ'!$B$5:$B$25)-VLOOKUP(P24,'Thời hạn'!$A$17:$B$23,2,0))&gt;1,"Quá hạn"&amp;" "&amp;(NETWORKDAYS(R24,S24,'Danh sách ngày nghỉ lễ'!$B$5:$B$25)-1-VLOOKUP(P24,'Thời hạn'!$A$17:$B$23,2,0))&amp;" "&amp;"ngày","")))))</f>
        <v/>
      </c>
      <c r="AA24" s="23">
        <v>1</v>
      </c>
    </row>
    <row r="25" spans="1:27" s="24" customFormat="1" ht="15.6" x14ac:dyDescent="0.3">
      <c r="A25" s="24">
        <v>1</v>
      </c>
      <c r="B25" s="85"/>
      <c r="C25" s="33"/>
      <c r="D25" s="25"/>
      <c r="E25" s="25"/>
      <c r="F25" s="34"/>
      <c r="G25" s="34"/>
      <c r="H25" s="25"/>
      <c r="I25" s="70" t="str">
        <f>IF(C25="Trả lại đơn vụ","",IF(C25="Trả lại đơn việc","",IF(C25="Hòa giải thành","",IF(F25=0,"",EDATE(F25,VLOOKUP(C25,'Thời hạn'!$A$1:$B$10,2,0))+H25))))</f>
        <v/>
      </c>
      <c r="J25" s="59" t="str">
        <f t="shared" ca="1" si="0"/>
        <v/>
      </c>
      <c r="K25" s="25"/>
      <c r="L25" s="129"/>
      <c r="M25" s="130"/>
      <c r="N25" s="35"/>
      <c r="O25" s="34"/>
      <c r="P25" s="25"/>
      <c r="Q25" s="25"/>
      <c r="R25" s="34"/>
      <c r="S25" s="34"/>
      <c r="T25" s="25"/>
      <c r="U25" s="25"/>
      <c r="V25" s="36"/>
      <c r="W25" s="86"/>
      <c r="X25" s="127"/>
      <c r="Y25" s="71" t="str">
        <f>IF(C25="Trả lại đơn vụ","",IF(C25="Trả lại đơn việc","",IF((NETWORKDAYS(F25,G25,'Danh sách ngày nghỉ lễ'!$B$5:$B$25)-1-3)&gt;0,"Quá hạn"&amp;" "&amp;(NETWORKDAYS(F25,G25,'Danh sách ngày nghỉ lễ'!$B$5:$B$25)-1-3)&amp;" "&amp;"ngày","")))</f>
        <v/>
      </c>
      <c r="Z25" s="72" t="str">
        <f>IF(S25=0,"",IF(P25="Chuyển","",IF(P25="Nhập vào vụ khác","",IF(P25="BA",IF((S25-R25)&gt;10,"Quá hạn"&amp;" "&amp;(S25-R25-10)&amp;" "&amp;"ngày",""),IF((NETWORKDAYS(R25,S25,'Danh sách ngày nghỉ lễ'!$B$5:$B$25)-VLOOKUP(P25,'Thời hạn'!$A$17:$B$23,2,0))&gt;1,"Quá hạn"&amp;" "&amp;(NETWORKDAYS(R25,S25,'Danh sách ngày nghỉ lễ'!$B$5:$B$25)-1-VLOOKUP(P25,'Thời hạn'!$A$17:$B$23,2,0))&amp;" "&amp;"ngày","")))))</f>
        <v/>
      </c>
      <c r="AA25" s="23">
        <v>1</v>
      </c>
    </row>
    <row r="26" spans="1:27" s="24" customFormat="1" ht="15.6" x14ac:dyDescent="0.3">
      <c r="A26" s="24">
        <v>1</v>
      </c>
      <c r="B26" s="85"/>
      <c r="C26" s="33"/>
      <c r="D26" s="25"/>
      <c r="E26" s="25"/>
      <c r="F26" s="34"/>
      <c r="G26" s="34"/>
      <c r="H26" s="25"/>
      <c r="I26" s="70" t="str">
        <f>IF(C26="Trả lại đơn vụ","",IF(C26="Trả lại đơn việc","",IF(C26="Hòa giải thành","",IF(F26=0,"",EDATE(F26,VLOOKUP(C26,'Thời hạn'!$A$1:$B$10,2,0))+H26))))</f>
        <v/>
      </c>
      <c r="J26" s="59" t="str">
        <f t="shared" ca="1" si="0"/>
        <v/>
      </c>
      <c r="K26" s="25"/>
      <c r="L26" s="129"/>
      <c r="M26" s="130"/>
      <c r="N26" s="35"/>
      <c r="O26" s="34"/>
      <c r="P26" s="25"/>
      <c r="Q26" s="25"/>
      <c r="R26" s="34"/>
      <c r="S26" s="34"/>
      <c r="T26" s="25"/>
      <c r="U26" s="25"/>
      <c r="V26" s="36"/>
      <c r="W26" s="86"/>
      <c r="X26" s="127"/>
      <c r="Y26" s="71" t="str">
        <f>IF(C26="Trả lại đơn vụ","",IF(C26="Trả lại đơn việc","",IF((NETWORKDAYS(F26,G26,'Danh sách ngày nghỉ lễ'!$B$5:$B$25)-1-3)&gt;0,"Quá hạn"&amp;" "&amp;(NETWORKDAYS(F26,G26,'Danh sách ngày nghỉ lễ'!$B$5:$B$25)-1-3)&amp;" "&amp;"ngày","")))</f>
        <v/>
      </c>
      <c r="Z26" s="72" t="str">
        <f>IF(S26=0,"",IF(P26="Chuyển","",IF(P26="Nhập vào vụ khác","",IF(P26="BA",IF((S26-R26)&gt;10,"Quá hạn"&amp;" "&amp;(S26-R26-10)&amp;" "&amp;"ngày",""),IF((NETWORKDAYS(R26,S26,'Danh sách ngày nghỉ lễ'!$B$5:$B$25)-VLOOKUP(P26,'Thời hạn'!$A$17:$B$23,2,0))&gt;1,"Quá hạn"&amp;" "&amp;(NETWORKDAYS(R26,S26,'Danh sách ngày nghỉ lễ'!$B$5:$B$25)-1-VLOOKUP(P26,'Thời hạn'!$A$17:$B$23,2,0))&amp;" "&amp;"ngày","")))))</f>
        <v/>
      </c>
      <c r="AA26" s="23">
        <v>1</v>
      </c>
    </row>
    <row r="27" spans="1:27" s="24" customFormat="1" ht="15.6" x14ac:dyDescent="0.3">
      <c r="A27" s="24">
        <v>1</v>
      </c>
      <c r="B27" s="85"/>
      <c r="C27" s="33"/>
      <c r="D27" s="25"/>
      <c r="E27" s="25"/>
      <c r="F27" s="34"/>
      <c r="G27" s="34"/>
      <c r="H27" s="25"/>
      <c r="I27" s="70" t="str">
        <f>IF(C27="Trả lại đơn vụ","",IF(C27="Trả lại đơn việc","",IF(C27="Hòa giải thành","",IF(F27=0,"",EDATE(F27,VLOOKUP(C27,'Thời hạn'!$A$1:$B$10,2,0))+H27))))</f>
        <v/>
      </c>
      <c r="J27" s="59" t="str">
        <f t="shared" ca="1" si="0"/>
        <v/>
      </c>
      <c r="K27" s="25"/>
      <c r="L27" s="129"/>
      <c r="M27" s="130"/>
      <c r="N27" s="35"/>
      <c r="O27" s="34"/>
      <c r="P27" s="25"/>
      <c r="Q27" s="25"/>
      <c r="R27" s="34"/>
      <c r="S27" s="34"/>
      <c r="T27" s="25"/>
      <c r="U27" s="25"/>
      <c r="V27" s="36"/>
      <c r="W27" s="86"/>
      <c r="X27" s="127"/>
      <c r="Y27" s="71" t="str">
        <f>IF(C27="Trả lại đơn vụ","",IF(C27="Trả lại đơn việc","",IF((NETWORKDAYS(F27,G27,'Danh sách ngày nghỉ lễ'!$B$5:$B$25)-1-3)&gt;0,"Quá hạn"&amp;" "&amp;(NETWORKDAYS(F27,G27,'Danh sách ngày nghỉ lễ'!$B$5:$B$25)-1-3)&amp;" "&amp;"ngày","")))</f>
        <v/>
      </c>
      <c r="Z27" s="72" t="str">
        <f>IF(S27=0,"",IF(P27="Chuyển","",IF(P27="Nhập vào vụ khác","",IF(P27="BA",IF((S27-R27)&gt;10,"Quá hạn"&amp;" "&amp;(S27-R27-10)&amp;" "&amp;"ngày",""),IF((NETWORKDAYS(R27,S27,'Danh sách ngày nghỉ lễ'!$B$5:$B$25)-VLOOKUP(P27,'Thời hạn'!$A$17:$B$23,2,0))&gt;1,"Quá hạn"&amp;" "&amp;(NETWORKDAYS(R27,S27,'Danh sách ngày nghỉ lễ'!$B$5:$B$25)-1-VLOOKUP(P27,'Thời hạn'!$A$17:$B$23,2,0))&amp;" "&amp;"ngày","")))))</f>
        <v/>
      </c>
      <c r="AA27" s="23">
        <v>1</v>
      </c>
    </row>
    <row r="28" spans="1:27" s="24" customFormat="1" ht="15.6" x14ac:dyDescent="0.3">
      <c r="A28" s="24">
        <v>1</v>
      </c>
      <c r="B28" s="85"/>
      <c r="C28" s="33"/>
      <c r="D28" s="25"/>
      <c r="E28" s="25"/>
      <c r="F28" s="34"/>
      <c r="G28" s="34"/>
      <c r="H28" s="25"/>
      <c r="I28" s="70" t="str">
        <f>IF(C28="Trả lại đơn vụ","",IF(C28="Trả lại đơn việc","",IF(C28="Hòa giải thành","",IF(F28=0,"",EDATE(F28,VLOOKUP(C28,'Thời hạn'!$A$1:$B$10,2,0))+H28))))</f>
        <v/>
      </c>
      <c r="J28" s="59" t="str">
        <f t="shared" ca="1" si="0"/>
        <v/>
      </c>
      <c r="K28" s="25"/>
      <c r="L28" s="129"/>
      <c r="M28" s="130"/>
      <c r="N28" s="35"/>
      <c r="O28" s="34"/>
      <c r="P28" s="25"/>
      <c r="Q28" s="25"/>
      <c r="R28" s="34"/>
      <c r="S28" s="34"/>
      <c r="T28" s="25"/>
      <c r="U28" s="25"/>
      <c r="V28" s="36"/>
      <c r="W28" s="86"/>
      <c r="X28" s="127"/>
      <c r="Y28" s="71" t="str">
        <f>IF(C28="Trả lại đơn vụ","",IF(C28="Trả lại đơn việc","",IF((NETWORKDAYS(F28,G28,'Danh sách ngày nghỉ lễ'!$B$5:$B$25)-1-3)&gt;0,"Quá hạn"&amp;" "&amp;(NETWORKDAYS(F28,G28,'Danh sách ngày nghỉ lễ'!$B$5:$B$25)-1-3)&amp;" "&amp;"ngày","")))</f>
        <v/>
      </c>
      <c r="Z28" s="72" t="str">
        <f>IF(S28=0,"",IF(P28="Chuyển","",IF(P28="Nhập vào vụ khác","",IF(P28="BA",IF((S28-R28)&gt;10,"Quá hạn"&amp;" "&amp;(S28-R28-10)&amp;" "&amp;"ngày",""),IF((NETWORKDAYS(R28,S28,'Danh sách ngày nghỉ lễ'!$B$5:$B$25)-VLOOKUP(P28,'Thời hạn'!$A$17:$B$23,2,0))&gt;1,"Quá hạn"&amp;" "&amp;(NETWORKDAYS(R28,S28,'Danh sách ngày nghỉ lễ'!$B$5:$B$25)-1-VLOOKUP(P28,'Thời hạn'!$A$17:$B$23,2,0))&amp;" "&amp;"ngày","")))))</f>
        <v/>
      </c>
      <c r="AA28" s="23">
        <v>1</v>
      </c>
    </row>
    <row r="29" spans="1:27" s="24" customFormat="1" ht="15.6" x14ac:dyDescent="0.3">
      <c r="A29" s="24">
        <v>1</v>
      </c>
      <c r="B29" s="85"/>
      <c r="C29" s="33"/>
      <c r="D29" s="25"/>
      <c r="E29" s="25"/>
      <c r="F29" s="34"/>
      <c r="G29" s="34"/>
      <c r="H29" s="25"/>
      <c r="I29" s="70" t="str">
        <f>IF(C29="Trả lại đơn vụ","",IF(C29="Trả lại đơn việc","",IF(C29="Hòa giải thành","",IF(F29=0,"",EDATE(F29,VLOOKUP(C29,'Thời hạn'!$A$1:$B$10,2,0))+H29))))</f>
        <v/>
      </c>
      <c r="J29" s="59" t="str">
        <f t="shared" ca="1" si="0"/>
        <v/>
      </c>
      <c r="K29" s="25"/>
      <c r="L29" s="129"/>
      <c r="M29" s="130"/>
      <c r="N29" s="35"/>
      <c r="O29" s="34"/>
      <c r="P29" s="25"/>
      <c r="Q29" s="25"/>
      <c r="R29" s="34"/>
      <c r="S29" s="34"/>
      <c r="T29" s="25"/>
      <c r="U29" s="25"/>
      <c r="V29" s="36"/>
      <c r="W29" s="86"/>
      <c r="X29" s="127"/>
      <c r="Y29" s="71" t="str">
        <f>IF(C29="Trả lại đơn vụ","",IF(C29="Trả lại đơn việc","",IF((NETWORKDAYS(F29,G29,'Danh sách ngày nghỉ lễ'!$B$5:$B$25)-1-3)&gt;0,"Quá hạn"&amp;" "&amp;(NETWORKDAYS(F29,G29,'Danh sách ngày nghỉ lễ'!$B$5:$B$25)-1-3)&amp;" "&amp;"ngày","")))</f>
        <v/>
      </c>
      <c r="Z29" s="72" t="str">
        <f>IF(S29=0,"",IF(P29="Chuyển","",IF(P29="Nhập vào vụ khác","",IF(P29="BA",IF((S29-R29)&gt;10,"Quá hạn"&amp;" "&amp;(S29-R29-10)&amp;" "&amp;"ngày",""),IF((NETWORKDAYS(R29,S29,'Danh sách ngày nghỉ lễ'!$B$5:$B$25)-VLOOKUP(P29,'Thời hạn'!$A$17:$B$23,2,0))&gt;1,"Quá hạn"&amp;" "&amp;(NETWORKDAYS(R29,S29,'Danh sách ngày nghỉ lễ'!$B$5:$B$25)-1-VLOOKUP(P29,'Thời hạn'!$A$17:$B$23,2,0))&amp;" "&amp;"ngày","")))))</f>
        <v/>
      </c>
      <c r="AA29" s="23">
        <v>1</v>
      </c>
    </row>
    <row r="30" spans="1:27" s="24" customFormat="1" ht="15.6" x14ac:dyDescent="0.3">
      <c r="A30" s="24">
        <v>1</v>
      </c>
      <c r="B30" s="85"/>
      <c r="C30" s="33"/>
      <c r="D30" s="25"/>
      <c r="E30" s="25"/>
      <c r="F30" s="34"/>
      <c r="G30" s="34"/>
      <c r="H30" s="25"/>
      <c r="I30" s="70" t="str">
        <f>IF(C30="Trả lại đơn vụ","",IF(C30="Trả lại đơn việc","",IF(C30="Hòa giải thành","",IF(F30=0,"",EDATE(F30,VLOOKUP(C30,'Thời hạn'!$A$1:$B$10,2,0))+H30))))</f>
        <v/>
      </c>
      <c r="J30" s="59" t="str">
        <f t="shared" ca="1" si="0"/>
        <v/>
      </c>
      <c r="K30" s="25"/>
      <c r="L30" s="129"/>
      <c r="M30" s="130"/>
      <c r="N30" s="35"/>
      <c r="O30" s="34"/>
      <c r="P30" s="25"/>
      <c r="Q30" s="25"/>
      <c r="R30" s="34"/>
      <c r="S30" s="34"/>
      <c r="T30" s="25"/>
      <c r="U30" s="25"/>
      <c r="V30" s="36"/>
      <c r="W30" s="86"/>
      <c r="X30" s="127"/>
      <c r="Y30" s="71" t="str">
        <f>IF(C30="Trả lại đơn vụ","",IF(C30="Trả lại đơn việc","",IF((NETWORKDAYS(F30,G30,'Danh sách ngày nghỉ lễ'!$B$5:$B$25)-1-3)&gt;0,"Quá hạn"&amp;" "&amp;(NETWORKDAYS(F30,G30,'Danh sách ngày nghỉ lễ'!$B$5:$B$25)-1-3)&amp;" "&amp;"ngày","")))</f>
        <v/>
      </c>
      <c r="Z30" s="72" t="str">
        <f>IF(S30=0,"",IF(P30="Chuyển","",IF(P30="Nhập vào vụ khác","",IF(P30="BA",IF((S30-R30)&gt;10,"Quá hạn"&amp;" "&amp;(S30-R30-10)&amp;" "&amp;"ngày",""),IF((NETWORKDAYS(R30,S30,'Danh sách ngày nghỉ lễ'!$B$5:$B$25)-VLOOKUP(P30,'Thời hạn'!$A$17:$B$23,2,0))&gt;1,"Quá hạn"&amp;" "&amp;(NETWORKDAYS(R30,S30,'Danh sách ngày nghỉ lễ'!$B$5:$B$25)-1-VLOOKUP(P30,'Thời hạn'!$A$17:$B$23,2,0))&amp;" "&amp;"ngày","")))))</f>
        <v/>
      </c>
      <c r="AA30" s="23">
        <v>1</v>
      </c>
    </row>
    <row r="31" spans="1:27" s="24" customFormat="1" ht="15.6" x14ac:dyDescent="0.3">
      <c r="A31" s="24">
        <v>1</v>
      </c>
      <c r="B31" s="85"/>
      <c r="C31" s="33"/>
      <c r="D31" s="25"/>
      <c r="E31" s="25"/>
      <c r="F31" s="34"/>
      <c r="G31" s="34"/>
      <c r="H31" s="25"/>
      <c r="I31" s="70" t="str">
        <f>IF(C31="Trả lại đơn vụ","",IF(C31="Trả lại đơn việc","",IF(C31="Hòa giải thành","",IF(F31=0,"",EDATE(F31,VLOOKUP(C31,'Thời hạn'!$A$1:$B$10,2,0))+H31))))</f>
        <v/>
      </c>
      <c r="J31" s="59" t="str">
        <f t="shared" ca="1" si="0"/>
        <v/>
      </c>
      <c r="K31" s="25"/>
      <c r="L31" s="129"/>
      <c r="M31" s="130"/>
      <c r="N31" s="35"/>
      <c r="O31" s="34"/>
      <c r="P31" s="34"/>
      <c r="Q31" s="34"/>
      <c r="R31" s="34"/>
      <c r="S31" s="34"/>
      <c r="T31" s="34"/>
      <c r="U31" s="34"/>
      <c r="V31" s="36"/>
      <c r="W31" s="86"/>
      <c r="X31" s="127"/>
      <c r="Y31" s="71" t="str">
        <f>IF(C31="Trả lại đơn vụ","",IF(C31="Trả lại đơn việc","",IF((NETWORKDAYS(F31,G31,'Danh sách ngày nghỉ lễ'!$B$5:$B$25)-1-3)&gt;0,"Quá hạn"&amp;" "&amp;(NETWORKDAYS(F31,G31,'Danh sách ngày nghỉ lễ'!$B$5:$B$25)-1-3)&amp;" "&amp;"ngày","")))</f>
        <v/>
      </c>
      <c r="Z31" s="72" t="str">
        <f>IF(S31=0,"",IF(P31="Chuyển","",IF(P31="Nhập vào vụ khác","",IF(P31="BA",IF((S31-R31)&gt;10,"Quá hạn"&amp;" "&amp;(S31-R31-10)&amp;" "&amp;"ngày",""),IF((NETWORKDAYS(R31,S31,'Danh sách ngày nghỉ lễ'!$B$5:$B$25)-VLOOKUP(P31,'Thời hạn'!$A$17:$B$23,2,0))&gt;1,"Quá hạn"&amp;" "&amp;(NETWORKDAYS(R31,S31,'Danh sách ngày nghỉ lễ'!$B$5:$B$25)-1-VLOOKUP(P31,'Thời hạn'!$A$17:$B$23,2,0))&amp;" "&amp;"ngày","")))))</f>
        <v/>
      </c>
      <c r="AA31" s="23">
        <v>1</v>
      </c>
    </row>
    <row r="32" spans="1:27" s="24" customFormat="1" ht="15.6" x14ac:dyDescent="0.3">
      <c r="A32" s="24">
        <v>1</v>
      </c>
      <c r="B32" s="85"/>
      <c r="C32" s="33"/>
      <c r="D32" s="25"/>
      <c r="E32" s="25"/>
      <c r="F32" s="34"/>
      <c r="G32" s="34"/>
      <c r="H32" s="25"/>
      <c r="I32" s="70" t="str">
        <f>IF(C32="Trả lại đơn vụ","",IF(C32="Trả lại đơn việc","",IF(C32="Hòa giải thành","",IF(F32=0,"",EDATE(F32,VLOOKUP(C32,'Thời hạn'!$A$1:$B$10,2,0))+H32))))</f>
        <v/>
      </c>
      <c r="J32" s="59" t="str">
        <f t="shared" ca="1" si="0"/>
        <v/>
      </c>
      <c r="K32" s="25"/>
      <c r="L32" s="129"/>
      <c r="M32" s="130"/>
      <c r="N32" s="35"/>
      <c r="O32" s="34"/>
      <c r="P32" s="25"/>
      <c r="Q32" s="25"/>
      <c r="R32" s="34"/>
      <c r="S32" s="34"/>
      <c r="T32" s="25"/>
      <c r="U32" s="25"/>
      <c r="V32" s="36"/>
      <c r="W32" s="86"/>
      <c r="X32" s="127"/>
      <c r="Y32" s="71" t="str">
        <f>IF(C32="Trả lại đơn vụ","",IF(C32="Trả lại đơn việc","",IF((NETWORKDAYS(F32,G32,'Danh sách ngày nghỉ lễ'!$B$5:$B$25)-1-3)&gt;0,"Quá hạn"&amp;" "&amp;(NETWORKDAYS(F32,G32,'Danh sách ngày nghỉ lễ'!$B$5:$B$25)-1-3)&amp;" "&amp;"ngày","")))</f>
        <v/>
      </c>
      <c r="Z32" s="72" t="str">
        <f>IF(S32=0,"",IF(P32="Chuyển","",IF(P32="Nhập vào vụ khác","",IF(P32="BA",IF((S32-R32)&gt;10,"Quá hạn"&amp;" "&amp;(S32-R32-10)&amp;" "&amp;"ngày",""),IF((NETWORKDAYS(R32,S32,'Danh sách ngày nghỉ lễ'!$B$5:$B$25)-VLOOKUP(P32,'Thời hạn'!$A$17:$B$23,2,0))&gt;1,"Quá hạn"&amp;" "&amp;(NETWORKDAYS(R32,S32,'Danh sách ngày nghỉ lễ'!$B$5:$B$25)-1-VLOOKUP(P32,'Thời hạn'!$A$17:$B$23,2,0))&amp;" "&amp;"ngày","")))))</f>
        <v/>
      </c>
      <c r="AA32" s="23">
        <v>1</v>
      </c>
    </row>
    <row r="33" spans="1:27" s="24" customFormat="1" ht="15.6" x14ac:dyDescent="0.3">
      <c r="A33" s="24">
        <v>1</v>
      </c>
      <c r="B33" s="85"/>
      <c r="C33" s="33"/>
      <c r="D33" s="25"/>
      <c r="E33" s="25"/>
      <c r="F33" s="34"/>
      <c r="G33" s="34"/>
      <c r="H33" s="25"/>
      <c r="I33" s="70" t="str">
        <f>IF(C33="Trả lại đơn vụ","",IF(C33="Trả lại đơn việc","",IF(C33="Hòa giải thành","",IF(F33=0,"",EDATE(F33,VLOOKUP(C33,'Thời hạn'!$A$1:$B$10,2,0))+H33))))</f>
        <v/>
      </c>
      <c r="J33" s="59" t="str">
        <f t="shared" ca="1" si="0"/>
        <v/>
      </c>
      <c r="K33" s="25"/>
      <c r="L33" s="129"/>
      <c r="M33" s="130"/>
      <c r="N33" s="35"/>
      <c r="O33" s="34"/>
      <c r="P33" s="25"/>
      <c r="Q33" s="25"/>
      <c r="R33" s="34"/>
      <c r="S33" s="34"/>
      <c r="T33" s="25"/>
      <c r="U33" s="25"/>
      <c r="V33" s="36"/>
      <c r="W33" s="86"/>
      <c r="X33" s="127"/>
      <c r="Y33" s="71" t="str">
        <f>IF(C33="Trả lại đơn vụ","",IF(C33="Trả lại đơn việc","",IF((NETWORKDAYS(F33,G33,'Danh sách ngày nghỉ lễ'!$B$5:$B$25)-1-3)&gt;0,"Quá hạn"&amp;" "&amp;(NETWORKDAYS(F33,G33,'Danh sách ngày nghỉ lễ'!$B$5:$B$25)-1-3)&amp;" "&amp;"ngày","")))</f>
        <v/>
      </c>
      <c r="Z33" s="72" t="str">
        <f>IF(S33=0,"",IF(P33="Chuyển","",IF(P33="Nhập vào vụ khác","",IF(P33="BA",IF((S33-R33)&gt;10,"Quá hạn"&amp;" "&amp;(S33-R33-10)&amp;" "&amp;"ngày",""),IF((NETWORKDAYS(R33,S33,'Danh sách ngày nghỉ lễ'!$B$5:$B$25)-VLOOKUP(P33,'Thời hạn'!$A$17:$B$23,2,0))&gt;1,"Quá hạn"&amp;" "&amp;(NETWORKDAYS(R33,S33,'Danh sách ngày nghỉ lễ'!$B$5:$B$25)-1-VLOOKUP(P33,'Thời hạn'!$A$17:$B$23,2,0))&amp;" "&amp;"ngày","")))))</f>
        <v/>
      </c>
      <c r="AA33" s="23">
        <v>1</v>
      </c>
    </row>
    <row r="34" spans="1:27" s="24" customFormat="1" ht="15.6" x14ac:dyDescent="0.3">
      <c r="A34" s="24">
        <v>1</v>
      </c>
      <c r="B34" s="85"/>
      <c r="C34" s="33"/>
      <c r="D34" s="25"/>
      <c r="E34" s="25"/>
      <c r="F34" s="34"/>
      <c r="G34" s="34"/>
      <c r="H34" s="25"/>
      <c r="I34" s="70" t="str">
        <f>IF(C34="Trả lại đơn vụ","",IF(C34="Trả lại đơn việc","",IF(C34="Hòa giải thành","",IF(F34=0,"",EDATE(F34,VLOOKUP(C34,'Thời hạn'!$A$1:$B$10,2,0))+H34))))</f>
        <v/>
      </c>
      <c r="J34" s="59" t="str">
        <f t="shared" ca="1" si="0"/>
        <v/>
      </c>
      <c r="K34" s="25"/>
      <c r="L34" s="129"/>
      <c r="M34" s="130"/>
      <c r="N34" s="35"/>
      <c r="O34" s="34"/>
      <c r="P34" s="25"/>
      <c r="Q34" s="25"/>
      <c r="R34" s="34"/>
      <c r="S34" s="34"/>
      <c r="T34" s="25"/>
      <c r="U34" s="25"/>
      <c r="V34" s="36"/>
      <c r="W34" s="86"/>
      <c r="X34" s="127"/>
      <c r="Y34" s="71" t="str">
        <f>IF(C34="Trả lại đơn vụ","",IF(C34="Trả lại đơn việc","",IF((NETWORKDAYS(F34,G34,'Danh sách ngày nghỉ lễ'!$B$5:$B$25)-1-3)&gt;0,"Quá hạn"&amp;" "&amp;(NETWORKDAYS(F34,G34,'Danh sách ngày nghỉ lễ'!$B$5:$B$25)-1-3)&amp;" "&amp;"ngày","")))</f>
        <v/>
      </c>
      <c r="Z34" s="72" t="str">
        <f>IF(S34=0,"",IF(P34="Chuyển","",IF(P34="Nhập vào vụ khác","",IF(P34="BA",IF((S34-R34)&gt;10,"Quá hạn"&amp;" "&amp;(S34-R34-10)&amp;" "&amp;"ngày",""),IF((NETWORKDAYS(R34,S34,'Danh sách ngày nghỉ lễ'!$B$5:$B$25)-VLOOKUP(P34,'Thời hạn'!$A$17:$B$23,2,0))&gt;1,"Quá hạn"&amp;" "&amp;(NETWORKDAYS(R34,S34,'Danh sách ngày nghỉ lễ'!$B$5:$B$25)-1-VLOOKUP(P34,'Thời hạn'!$A$17:$B$23,2,0))&amp;" "&amp;"ngày","")))))</f>
        <v/>
      </c>
      <c r="AA34" s="23">
        <v>1</v>
      </c>
    </row>
    <row r="35" spans="1:27" s="24" customFormat="1" ht="15.6" x14ac:dyDescent="0.3">
      <c r="A35" s="24">
        <v>1</v>
      </c>
      <c r="B35" s="85"/>
      <c r="C35" s="33"/>
      <c r="D35" s="25"/>
      <c r="E35" s="25"/>
      <c r="F35" s="34"/>
      <c r="G35" s="34"/>
      <c r="H35" s="25"/>
      <c r="I35" s="70" t="str">
        <f>IF(C35="Trả lại đơn vụ","",IF(C35="Trả lại đơn việc","",IF(C35="Hòa giải thành","",IF(F35=0,"",EDATE(F35,VLOOKUP(C35,'Thời hạn'!$A$1:$B$10,2,0))+H35))))</f>
        <v/>
      </c>
      <c r="J35" s="59" t="str">
        <f t="shared" ca="1" si="0"/>
        <v/>
      </c>
      <c r="K35" s="25"/>
      <c r="L35" s="129"/>
      <c r="M35" s="130"/>
      <c r="N35" s="35"/>
      <c r="O35" s="34"/>
      <c r="P35" s="25"/>
      <c r="Q35" s="25"/>
      <c r="R35" s="34"/>
      <c r="S35" s="34"/>
      <c r="T35" s="25"/>
      <c r="U35" s="25"/>
      <c r="V35" s="36"/>
      <c r="W35" s="86"/>
      <c r="X35" s="127"/>
      <c r="Y35" s="71" t="str">
        <f>IF(C35="Trả lại đơn vụ","",IF(C35="Trả lại đơn việc","",IF((NETWORKDAYS(F35,G35,'Danh sách ngày nghỉ lễ'!$B$5:$B$25)-1-3)&gt;0,"Quá hạn"&amp;" "&amp;(NETWORKDAYS(F35,G35,'Danh sách ngày nghỉ lễ'!$B$5:$B$25)-1-3)&amp;" "&amp;"ngày","")))</f>
        <v/>
      </c>
      <c r="Z35" s="72" t="str">
        <f>IF(S35=0,"",IF(P35="Chuyển","",IF(P35="Nhập vào vụ khác","",IF(P35="BA",IF((S35-R35)&gt;10,"Quá hạn"&amp;" "&amp;(S35-R35-10)&amp;" "&amp;"ngày",""),IF((NETWORKDAYS(R35,S35,'Danh sách ngày nghỉ lễ'!$B$5:$B$25)-VLOOKUP(P35,'Thời hạn'!$A$17:$B$23,2,0))&gt;1,"Quá hạn"&amp;" "&amp;(NETWORKDAYS(R35,S35,'Danh sách ngày nghỉ lễ'!$B$5:$B$25)-1-VLOOKUP(P35,'Thời hạn'!$A$17:$B$23,2,0))&amp;" "&amp;"ngày","")))))</f>
        <v/>
      </c>
      <c r="AA35" s="23">
        <v>1</v>
      </c>
    </row>
    <row r="36" spans="1:27" s="24" customFormat="1" ht="15.6" x14ac:dyDescent="0.3">
      <c r="A36" s="24">
        <v>1</v>
      </c>
      <c r="B36" s="85"/>
      <c r="C36" s="33"/>
      <c r="D36" s="25"/>
      <c r="E36" s="25"/>
      <c r="F36" s="34"/>
      <c r="G36" s="34"/>
      <c r="H36" s="25"/>
      <c r="I36" s="70" t="str">
        <f>IF(C36="Trả lại đơn vụ","",IF(C36="Trả lại đơn việc","",IF(C36="Hòa giải thành","",IF(F36=0,"",EDATE(F36,VLOOKUP(C36,'Thời hạn'!$A$1:$B$10,2,0))+H36))))</f>
        <v/>
      </c>
      <c r="J36" s="59" t="str">
        <f t="shared" ca="1" si="0"/>
        <v/>
      </c>
      <c r="K36" s="25"/>
      <c r="L36" s="129"/>
      <c r="M36" s="130"/>
      <c r="N36" s="35"/>
      <c r="O36" s="34"/>
      <c r="P36" s="25"/>
      <c r="Q36" s="25"/>
      <c r="R36" s="34"/>
      <c r="S36" s="34"/>
      <c r="T36" s="25"/>
      <c r="U36" s="25"/>
      <c r="V36" s="36"/>
      <c r="W36" s="86"/>
      <c r="X36" s="127"/>
      <c r="Y36" s="71" t="str">
        <f>IF(C36="Trả lại đơn vụ","",IF(C36="Trả lại đơn việc","",IF((NETWORKDAYS(F36,G36,'Danh sách ngày nghỉ lễ'!$B$5:$B$25)-1-3)&gt;0,"Quá hạn"&amp;" "&amp;(NETWORKDAYS(F36,G36,'Danh sách ngày nghỉ lễ'!$B$5:$B$25)-1-3)&amp;" "&amp;"ngày","")))</f>
        <v/>
      </c>
      <c r="Z36" s="72" t="str">
        <f>IF(S36=0,"",IF(P36="Chuyển","",IF(P36="Nhập vào vụ khác","",IF(P36="BA",IF((S36-R36)&gt;10,"Quá hạn"&amp;" "&amp;(S36-R36-10)&amp;" "&amp;"ngày",""),IF((NETWORKDAYS(R36,S36,'Danh sách ngày nghỉ lễ'!$B$5:$B$25)-VLOOKUP(P36,'Thời hạn'!$A$17:$B$23,2,0))&gt;1,"Quá hạn"&amp;" "&amp;(NETWORKDAYS(R36,S36,'Danh sách ngày nghỉ lễ'!$B$5:$B$25)-1-VLOOKUP(P36,'Thời hạn'!$A$17:$B$23,2,0))&amp;" "&amp;"ngày","")))))</f>
        <v/>
      </c>
      <c r="AA36" s="23">
        <v>1</v>
      </c>
    </row>
    <row r="37" spans="1:27" s="24" customFormat="1" ht="33.75" customHeight="1" x14ac:dyDescent="0.3">
      <c r="A37" s="24">
        <v>1</v>
      </c>
      <c r="B37" s="85"/>
      <c r="C37" s="33"/>
      <c r="D37" s="25"/>
      <c r="E37" s="25"/>
      <c r="F37" s="34"/>
      <c r="G37" s="34"/>
      <c r="H37" s="25"/>
      <c r="I37" s="70" t="str">
        <f>IF(C37="Trả lại đơn vụ","",IF(C37="Trả lại đơn việc","",IF(C37="Hòa giải thành","",IF(F37=0,"",EDATE(F37,VLOOKUP(C37,'Thời hạn'!$A$1:$B$10,2,0))+H37))))</f>
        <v/>
      </c>
      <c r="J37" s="59" t="str">
        <f t="shared" ca="1" si="0"/>
        <v/>
      </c>
      <c r="K37" s="25"/>
      <c r="L37" s="129"/>
      <c r="M37" s="130"/>
      <c r="N37" s="35"/>
      <c r="O37" s="34"/>
      <c r="P37" s="25"/>
      <c r="Q37" s="25"/>
      <c r="R37" s="34"/>
      <c r="S37" s="34"/>
      <c r="T37" s="25"/>
      <c r="U37" s="25"/>
      <c r="V37" s="36"/>
      <c r="W37" s="86"/>
      <c r="X37" s="127"/>
      <c r="Y37" s="71" t="str">
        <f>IF(C37="Trả lại đơn vụ","",IF(C37="Trả lại đơn việc","",IF((NETWORKDAYS(F37,G37,'Danh sách ngày nghỉ lễ'!$B$5:$B$25)-1-3)&gt;0,"Quá hạn"&amp;" "&amp;(NETWORKDAYS(F37,G37,'Danh sách ngày nghỉ lễ'!$B$5:$B$25)-1-3)&amp;" "&amp;"ngày","")))</f>
        <v/>
      </c>
      <c r="Z37" s="72" t="str">
        <f>IF(S37=0,"",IF(P37="Chuyển","",IF(P37="Nhập vào vụ khác","",IF(P37="BA",IF((S37-R37)&gt;10,"Quá hạn"&amp;" "&amp;(S37-R37-10)&amp;" "&amp;"ngày",""),IF((NETWORKDAYS(R37,S37,'Danh sách ngày nghỉ lễ'!$B$5:$B$25)-VLOOKUP(P37,'Thời hạn'!$A$17:$B$23,2,0))&gt;1,"Quá hạn"&amp;" "&amp;(NETWORKDAYS(R37,S37,'Danh sách ngày nghỉ lễ'!$B$5:$B$25)-1-VLOOKUP(P37,'Thời hạn'!$A$17:$B$23,2,0))&amp;" "&amp;"ngày","")))))</f>
        <v/>
      </c>
      <c r="AA37" s="23">
        <v>1</v>
      </c>
    </row>
    <row r="38" spans="1:27" s="24" customFormat="1" ht="15.6" x14ac:dyDescent="0.3">
      <c r="A38" s="24">
        <v>1</v>
      </c>
      <c r="B38" s="85"/>
      <c r="C38" s="33"/>
      <c r="D38" s="25"/>
      <c r="E38" s="25"/>
      <c r="F38" s="34"/>
      <c r="G38" s="34"/>
      <c r="H38" s="25"/>
      <c r="I38" s="70" t="str">
        <f>IF(C38="Trả lại đơn vụ","",IF(C38="Trả lại đơn việc","",IF(C38="Hòa giải thành","",IF(F38=0,"",EDATE(F38,VLOOKUP(C38,'Thời hạn'!$A$1:$B$10,2,0))+H38))))</f>
        <v/>
      </c>
      <c r="J38" s="59" t="str">
        <f t="shared" ca="1" si="0"/>
        <v/>
      </c>
      <c r="K38" s="25"/>
      <c r="L38" s="129"/>
      <c r="M38" s="130"/>
      <c r="N38" s="35"/>
      <c r="O38" s="34"/>
      <c r="P38" s="25"/>
      <c r="Q38" s="25"/>
      <c r="R38" s="34"/>
      <c r="S38" s="34"/>
      <c r="T38" s="25"/>
      <c r="U38" s="25"/>
      <c r="V38" s="36"/>
      <c r="W38" s="86"/>
      <c r="X38" s="127"/>
      <c r="Y38" s="71" t="str">
        <f>IF(C38="Trả lại đơn vụ","",IF(C38="Trả lại đơn việc","",IF((NETWORKDAYS(F38,G38,'Danh sách ngày nghỉ lễ'!$B$5:$B$25)-1-3)&gt;0,"Quá hạn"&amp;" "&amp;(NETWORKDAYS(F38,G38,'Danh sách ngày nghỉ lễ'!$B$5:$B$25)-1-3)&amp;" "&amp;"ngày","")))</f>
        <v/>
      </c>
      <c r="Z38" s="72" t="str">
        <f>IF(S38=0,"",IF(P38="Chuyển","",IF(P38="Nhập vào vụ khác","",IF(P38="BA",IF((S38-R38)&gt;10,"Quá hạn"&amp;" "&amp;(S38-R38-10)&amp;" "&amp;"ngày",""),IF((NETWORKDAYS(R38,S38,'Danh sách ngày nghỉ lễ'!$B$5:$B$25)-VLOOKUP(P38,'Thời hạn'!$A$17:$B$23,2,0))&gt;1,"Quá hạn"&amp;" "&amp;(NETWORKDAYS(R38,S38,'Danh sách ngày nghỉ lễ'!$B$5:$B$25)-1-VLOOKUP(P38,'Thời hạn'!$A$17:$B$23,2,0))&amp;" "&amp;"ngày","")))))</f>
        <v/>
      </c>
      <c r="AA38" s="23">
        <v>1</v>
      </c>
    </row>
    <row r="39" spans="1:27" s="24" customFormat="1" ht="15.6" x14ac:dyDescent="0.3">
      <c r="A39" s="24">
        <v>1</v>
      </c>
      <c r="B39" s="85"/>
      <c r="C39" s="33"/>
      <c r="D39" s="25"/>
      <c r="E39" s="25"/>
      <c r="F39" s="34"/>
      <c r="G39" s="34"/>
      <c r="H39" s="25"/>
      <c r="I39" s="70" t="str">
        <f>IF(C39="Trả lại đơn vụ","",IF(C39="Trả lại đơn việc","",IF(C39="Hòa giải thành","",IF(F39=0,"",EDATE(F39,VLOOKUP(C39,'Thời hạn'!$A$1:$B$10,2,0))+H39))))</f>
        <v/>
      </c>
      <c r="J39" s="59" t="str">
        <f t="shared" ca="1" si="0"/>
        <v/>
      </c>
      <c r="K39" s="25"/>
      <c r="L39" s="129"/>
      <c r="M39" s="130"/>
      <c r="N39" s="35"/>
      <c r="O39" s="34"/>
      <c r="P39" s="25"/>
      <c r="Q39" s="25"/>
      <c r="R39" s="34"/>
      <c r="S39" s="34"/>
      <c r="T39" s="25"/>
      <c r="U39" s="25"/>
      <c r="V39" s="36"/>
      <c r="W39" s="86"/>
      <c r="X39" s="127"/>
      <c r="Y39" s="71" t="str">
        <f>IF(C39="Trả lại đơn vụ","",IF(C39="Trả lại đơn việc","",IF((NETWORKDAYS(F39,G39,'Danh sách ngày nghỉ lễ'!$B$5:$B$25)-1-3)&gt;0,"Quá hạn"&amp;" "&amp;(NETWORKDAYS(F39,G39,'Danh sách ngày nghỉ lễ'!$B$5:$B$25)-1-3)&amp;" "&amp;"ngày","")))</f>
        <v/>
      </c>
      <c r="Z39" s="72" t="str">
        <f>IF(S39=0,"",IF(P39="Chuyển","",IF(P39="Nhập vào vụ khác","",IF(P39="BA",IF((S39-R39)&gt;10,"Quá hạn"&amp;" "&amp;(S39-R39-10)&amp;" "&amp;"ngày",""),IF((NETWORKDAYS(R39,S39,'Danh sách ngày nghỉ lễ'!$B$5:$B$25)-VLOOKUP(P39,'Thời hạn'!$A$17:$B$23,2,0))&gt;1,"Quá hạn"&amp;" "&amp;(NETWORKDAYS(R39,S39,'Danh sách ngày nghỉ lễ'!$B$5:$B$25)-1-VLOOKUP(P39,'Thời hạn'!$A$17:$B$23,2,0))&amp;" "&amp;"ngày","")))))</f>
        <v/>
      </c>
      <c r="AA39" s="23">
        <v>1</v>
      </c>
    </row>
    <row r="40" spans="1:27" s="24" customFormat="1" ht="15.6" x14ac:dyDescent="0.3">
      <c r="A40" s="24">
        <v>1</v>
      </c>
      <c r="B40" s="85"/>
      <c r="C40" s="33"/>
      <c r="D40" s="25"/>
      <c r="E40" s="25"/>
      <c r="F40" s="34"/>
      <c r="G40" s="34"/>
      <c r="H40" s="25"/>
      <c r="I40" s="70" t="str">
        <f>IF(C40="Trả lại đơn vụ","",IF(C40="Trả lại đơn việc","",IF(C40="Hòa giải thành","",IF(F40=0,"",EDATE(F40,VLOOKUP(C40,'Thời hạn'!$A$1:$B$10,2,0))+H40))))</f>
        <v/>
      </c>
      <c r="J40" s="59" t="str">
        <f t="shared" ca="1" si="0"/>
        <v/>
      </c>
      <c r="K40" s="25"/>
      <c r="L40" s="129"/>
      <c r="M40" s="130"/>
      <c r="N40" s="35"/>
      <c r="O40" s="34"/>
      <c r="P40" s="25"/>
      <c r="Q40" s="25"/>
      <c r="R40" s="34"/>
      <c r="S40" s="34"/>
      <c r="T40" s="25"/>
      <c r="U40" s="25"/>
      <c r="V40" s="36"/>
      <c r="W40" s="86"/>
      <c r="X40" s="127"/>
      <c r="Y40" s="71" t="str">
        <f>IF(C40="Trả lại đơn vụ","",IF(C40="Trả lại đơn việc","",IF((NETWORKDAYS(F40,G40,'Danh sách ngày nghỉ lễ'!$B$5:$B$25)-1-3)&gt;0,"Quá hạn"&amp;" "&amp;(NETWORKDAYS(F40,G40,'Danh sách ngày nghỉ lễ'!$B$5:$B$25)-1-3)&amp;" "&amp;"ngày","")))</f>
        <v/>
      </c>
      <c r="Z40" s="72" t="str">
        <f>IF(S40=0,"",IF(P40="Chuyển","",IF(P40="Nhập vào vụ khác","",IF(P40="BA",IF((S40-R40)&gt;10,"Quá hạn"&amp;" "&amp;(S40-R40-10)&amp;" "&amp;"ngày",""),IF((NETWORKDAYS(R40,S40,'Danh sách ngày nghỉ lễ'!$B$5:$B$25)-VLOOKUP(P40,'Thời hạn'!$A$17:$B$23,2,0))&gt;1,"Quá hạn"&amp;" "&amp;(NETWORKDAYS(R40,S40,'Danh sách ngày nghỉ lễ'!$B$5:$B$25)-1-VLOOKUP(P40,'Thời hạn'!$A$17:$B$23,2,0))&amp;" "&amp;"ngày","")))))</f>
        <v/>
      </c>
      <c r="AA40" s="23">
        <v>1</v>
      </c>
    </row>
    <row r="41" spans="1:27" s="24" customFormat="1" ht="15.6" x14ac:dyDescent="0.3">
      <c r="A41" s="24">
        <v>1</v>
      </c>
      <c r="B41" s="85"/>
      <c r="C41" s="33"/>
      <c r="D41" s="25"/>
      <c r="E41" s="25"/>
      <c r="F41" s="34"/>
      <c r="G41" s="34"/>
      <c r="H41" s="25"/>
      <c r="I41" s="70" t="str">
        <f>IF(C41="Trả lại đơn vụ","",IF(C41="Trả lại đơn việc","",IF(C41="Hòa giải thành","",IF(F41=0,"",EDATE(F41,VLOOKUP(C41,'Thời hạn'!$A$1:$B$10,2,0))+H41))))</f>
        <v/>
      </c>
      <c r="J41" s="59" t="str">
        <f t="shared" ca="1" si="0"/>
        <v/>
      </c>
      <c r="K41" s="25"/>
      <c r="L41" s="129"/>
      <c r="M41" s="130"/>
      <c r="N41" s="35"/>
      <c r="O41" s="34"/>
      <c r="P41" s="25"/>
      <c r="Q41" s="25"/>
      <c r="R41" s="34"/>
      <c r="S41" s="34"/>
      <c r="T41" s="25"/>
      <c r="U41" s="25"/>
      <c r="V41" s="36"/>
      <c r="W41" s="86"/>
      <c r="X41" s="127"/>
      <c r="Y41" s="71" t="str">
        <f>IF(C41="Trả lại đơn vụ","",IF(C41="Trả lại đơn việc","",IF((NETWORKDAYS(F41,G41,'Danh sách ngày nghỉ lễ'!$B$5:$B$25)-1-3)&gt;0,"Quá hạn"&amp;" "&amp;(NETWORKDAYS(F41,G41,'Danh sách ngày nghỉ lễ'!$B$5:$B$25)-1-3)&amp;" "&amp;"ngày","")))</f>
        <v/>
      </c>
      <c r="Z41" s="72" t="str">
        <f>IF(S41=0,"",IF(P41="Chuyển","",IF(P41="Nhập vào vụ khác","",IF(P41="BA",IF((S41-R41)&gt;10,"Quá hạn"&amp;" "&amp;(S41-R41-10)&amp;" "&amp;"ngày",""),IF((NETWORKDAYS(R41,S41,'Danh sách ngày nghỉ lễ'!$B$5:$B$25)-VLOOKUP(P41,'Thời hạn'!$A$17:$B$23,2,0))&gt;1,"Quá hạn"&amp;" "&amp;(NETWORKDAYS(R41,S41,'Danh sách ngày nghỉ lễ'!$B$5:$B$25)-1-VLOOKUP(P41,'Thời hạn'!$A$17:$B$23,2,0))&amp;" "&amp;"ngày","")))))</f>
        <v/>
      </c>
      <c r="AA41" s="23">
        <v>1</v>
      </c>
    </row>
    <row r="42" spans="1:27" s="24" customFormat="1" ht="15.6" x14ac:dyDescent="0.3">
      <c r="A42" s="24">
        <v>1</v>
      </c>
      <c r="B42" s="85"/>
      <c r="C42" s="33"/>
      <c r="D42" s="25"/>
      <c r="E42" s="25"/>
      <c r="F42" s="34"/>
      <c r="G42" s="34"/>
      <c r="H42" s="25"/>
      <c r="I42" s="70" t="str">
        <f>IF(C42="Trả lại đơn vụ","",IF(C42="Trả lại đơn việc","",IF(C42="Hòa giải thành","",IF(F42=0,"",EDATE(F42,VLOOKUP(C42,'Thời hạn'!$A$1:$B$10,2,0))+H42))))</f>
        <v/>
      </c>
      <c r="J42" s="59" t="str">
        <f t="shared" ca="1" si="0"/>
        <v/>
      </c>
      <c r="K42" s="25"/>
      <c r="L42" s="129"/>
      <c r="M42" s="130"/>
      <c r="N42" s="35"/>
      <c r="O42" s="34"/>
      <c r="P42" s="25"/>
      <c r="Q42" s="25"/>
      <c r="R42" s="34"/>
      <c r="S42" s="34"/>
      <c r="T42" s="25"/>
      <c r="U42" s="25"/>
      <c r="V42" s="36"/>
      <c r="W42" s="86"/>
      <c r="X42" s="127"/>
      <c r="Y42" s="71" t="str">
        <f>IF(C42="Trả lại đơn vụ","",IF(C42="Trả lại đơn việc","",IF((NETWORKDAYS(F42,G42,'Danh sách ngày nghỉ lễ'!$B$5:$B$25)-1-3)&gt;0,"Quá hạn"&amp;" "&amp;(NETWORKDAYS(F42,G42,'Danh sách ngày nghỉ lễ'!$B$5:$B$25)-1-3)&amp;" "&amp;"ngày","")))</f>
        <v/>
      </c>
      <c r="Z42" s="72" t="str">
        <f>IF(S42=0,"",IF(P42="Chuyển","",IF(P42="Nhập vào vụ khác","",IF(P42="BA",IF((S42-R42)&gt;10,"Quá hạn"&amp;" "&amp;(S42-R42-10)&amp;" "&amp;"ngày",""),IF((NETWORKDAYS(R42,S42,'Danh sách ngày nghỉ lễ'!$B$5:$B$25)-VLOOKUP(P42,'Thời hạn'!$A$17:$B$23,2,0))&gt;1,"Quá hạn"&amp;" "&amp;(NETWORKDAYS(R42,S42,'Danh sách ngày nghỉ lễ'!$B$5:$B$25)-1-VLOOKUP(P42,'Thời hạn'!$A$17:$B$23,2,0))&amp;" "&amp;"ngày","")))))</f>
        <v/>
      </c>
      <c r="AA42" s="23">
        <v>1</v>
      </c>
    </row>
    <row r="43" spans="1:27" s="24" customFormat="1" ht="15.6" x14ac:dyDescent="0.3">
      <c r="A43" s="24">
        <v>1</v>
      </c>
      <c r="B43" s="85"/>
      <c r="C43" s="33"/>
      <c r="D43" s="25"/>
      <c r="E43" s="25"/>
      <c r="F43" s="34"/>
      <c r="G43" s="34"/>
      <c r="H43" s="25"/>
      <c r="I43" s="70" t="str">
        <f>IF(C43="Trả lại đơn vụ","",IF(C43="Trả lại đơn việc","",IF(C43="Hòa giải thành","",IF(F43=0,"",EDATE(F43,VLOOKUP(C43,'Thời hạn'!$A$1:$B$10,2,0))+H43))))</f>
        <v/>
      </c>
      <c r="J43" s="59" t="str">
        <f t="shared" ca="1" si="0"/>
        <v/>
      </c>
      <c r="K43" s="25"/>
      <c r="L43" s="129"/>
      <c r="M43" s="130"/>
      <c r="N43" s="35"/>
      <c r="O43" s="34"/>
      <c r="P43" s="25"/>
      <c r="Q43" s="25"/>
      <c r="R43" s="34"/>
      <c r="S43" s="34"/>
      <c r="T43" s="25"/>
      <c r="U43" s="25"/>
      <c r="V43" s="36"/>
      <c r="W43" s="86"/>
      <c r="X43" s="127"/>
      <c r="Y43" s="71" t="str">
        <f>IF(C43="Trả lại đơn vụ","",IF(C43="Trả lại đơn việc","",IF((NETWORKDAYS(F43,G43,'Danh sách ngày nghỉ lễ'!$B$5:$B$25)-1-3)&gt;0,"Quá hạn"&amp;" "&amp;(NETWORKDAYS(F43,G43,'Danh sách ngày nghỉ lễ'!$B$5:$B$25)-1-3)&amp;" "&amp;"ngày","")))</f>
        <v/>
      </c>
      <c r="Z43" s="72" t="str">
        <f>IF(S43=0,"",IF(P43="Chuyển","",IF(P43="Nhập vào vụ khác","",IF(P43="BA",IF((S43-R43)&gt;10,"Quá hạn"&amp;" "&amp;(S43-R43-10)&amp;" "&amp;"ngày",""),IF((NETWORKDAYS(R43,S43,'Danh sách ngày nghỉ lễ'!$B$5:$B$25)-VLOOKUP(P43,'Thời hạn'!$A$17:$B$23,2,0))&gt;1,"Quá hạn"&amp;" "&amp;(NETWORKDAYS(R43,S43,'Danh sách ngày nghỉ lễ'!$B$5:$B$25)-1-VLOOKUP(P43,'Thời hạn'!$A$17:$B$23,2,0))&amp;" "&amp;"ngày","")))))</f>
        <v/>
      </c>
      <c r="AA43" s="23">
        <v>1</v>
      </c>
    </row>
    <row r="44" spans="1:27" s="24" customFormat="1" ht="15.6" x14ac:dyDescent="0.3">
      <c r="A44" s="24">
        <v>1</v>
      </c>
      <c r="B44" s="85"/>
      <c r="C44" s="33"/>
      <c r="D44" s="25"/>
      <c r="E44" s="25"/>
      <c r="F44" s="34"/>
      <c r="G44" s="34"/>
      <c r="H44" s="25"/>
      <c r="I44" s="70" t="str">
        <f>IF(C44="Trả lại đơn vụ","",IF(C44="Trả lại đơn việc","",IF(C44="Hòa giải thành","",IF(F44=0,"",EDATE(F44,VLOOKUP(C44,'Thời hạn'!$A$1:$B$10,2,0))+H44))))</f>
        <v/>
      </c>
      <c r="J44" s="59" t="str">
        <f t="shared" ca="1" si="0"/>
        <v/>
      </c>
      <c r="K44" s="25"/>
      <c r="L44" s="129"/>
      <c r="M44" s="130"/>
      <c r="N44" s="35"/>
      <c r="O44" s="34"/>
      <c r="P44" s="25"/>
      <c r="Q44" s="25"/>
      <c r="R44" s="34"/>
      <c r="S44" s="34"/>
      <c r="T44" s="25"/>
      <c r="U44" s="25"/>
      <c r="V44" s="36"/>
      <c r="W44" s="86"/>
      <c r="X44" s="127"/>
      <c r="Y44" s="71" t="str">
        <f>IF(C44="Trả lại đơn vụ","",IF(C44="Trả lại đơn việc","",IF((NETWORKDAYS(F44,G44,'Danh sách ngày nghỉ lễ'!$B$5:$B$25)-1-3)&gt;0,"Quá hạn"&amp;" "&amp;(NETWORKDAYS(F44,G44,'Danh sách ngày nghỉ lễ'!$B$5:$B$25)-1-3)&amp;" "&amp;"ngày","")))</f>
        <v/>
      </c>
      <c r="Z44" s="72" t="str">
        <f>IF(S44=0,"",IF(P44="Chuyển","",IF(P44="Nhập vào vụ khác","",IF(P44="BA",IF((S44-R44)&gt;10,"Quá hạn"&amp;" "&amp;(S44-R44-10)&amp;" "&amp;"ngày",""),IF((NETWORKDAYS(R44,S44,'Danh sách ngày nghỉ lễ'!$B$5:$B$25)-VLOOKUP(P44,'Thời hạn'!$A$17:$B$23,2,0))&gt;1,"Quá hạn"&amp;" "&amp;(NETWORKDAYS(R44,S44,'Danh sách ngày nghỉ lễ'!$B$5:$B$25)-1-VLOOKUP(P44,'Thời hạn'!$A$17:$B$23,2,0))&amp;" "&amp;"ngày","")))))</f>
        <v/>
      </c>
      <c r="AA44" s="23">
        <v>1</v>
      </c>
    </row>
    <row r="45" spans="1:27" s="24" customFormat="1" ht="15.6" x14ac:dyDescent="0.3">
      <c r="A45" s="24">
        <v>1</v>
      </c>
      <c r="B45" s="85"/>
      <c r="C45" s="33"/>
      <c r="D45" s="25"/>
      <c r="E45" s="25"/>
      <c r="F45" s="34"/>
      <c r="G45" s="34"/>
      <c r="H45" s="25"/>
      <c r="I45" s="70" t="str">
        <f>IF(C45="Trả lại đơn vụ","",IF(C45="Trả lại đơn việc","",IF(C45="Hòa giải thành","",IF(F45=0,"",EDATE(F45,VLOOKUP(C45,'Thời hạn'!$A$1:$B$10,2,0))+H45))))</f>
        <v/>
      </c>
      <c r="J45" s="59" t="str">
        <f t="shared" ca="1" si="0"/>
        <v/>
      </c>
      <c r="K45" s="25"/>
      <c r="L45" s="129"/>
      <c r="M45" s="130"/>
      <c r="N45" s="35"/>
      <c r="O45" s="34"/>
      <c r="P45" s="25"/>
      <c r="Q45" s="25"/>
      <c r="R45" s="34"/>
      <c r="S45" s="34"/>
      <c r="T45" s="25"/>
      <c r="U45" s="25"/>
      <c r="V45" s="36"/>
      <c r="W45" s="86"/>
      <c r="X45" s="127"/>
      <c r="Y45" s="71" t="str">
        <f>IF(C45="Trả lại đơn vụ","",IF(C45="Trả lại đơn việc","",IF((NETWORKDAYS(F45,G45,'Danh sách ngày nghỉ lễ'!$B$5:$B$25)-1-3)&gt;0,"Quá hạn"&amp;" "&amp;(NETWORKDAYS(F45,G45,'Danh sách ngày nghỉ lễ'!$B$5:$B$25)-1-3)&amp;" "&amp;"ngày","")))</f>
        <v/>
      </c>
      <c r="Z45" s="72" t="str">
        <f>IF(S45=0,"",IF(P45="Chuyển","",IF(P45="Nhập vào vụ khác","",IF(P45="BA",IF((S45-R45)&gt;10,"Quá hạn"&amp;" "&amp;(S45-R45-10)&amp;" "&amp;"ngày",""),IF((NETWORKDAYS(R45,S45,'Danh sách ngày nghỉ lễ'!$B$5:$B$25)-VLOOKUP(P45,'Thời hạn'!$A$17:$B$23,2,0))&gt;1,"Quá hạn"&amp;" "&amp;(NETWORKDAYS(R45,S45,'Danh sách ngày nghỉ lễ'!$B$5:$B$25)-1-VLOOKUP(P45,'Thời hạn'!$A$17:$B$23,2,0))&amp;" "&amp;"ngày","")))))</f>
        <v/>
      </c>
      <c r="AA45" s="23">
        <v>1</v>
      </c>
    </row>
    <row r="46" spans="1:27" s="24" customFormat="1" ht="15.6" x14ac:dyDescent="0.3">
      <c r="A46" s="24">
        <v>1</v>
      </c>
      <c r="B46" s="85"/>
      <c r="C46" s="33"/>
      <c r="D46" s="25"/>
      <c r="E46" s="25"/>
      <c r="F46" s="34"/>
      <c r="G46" s="34"/>
      <c r="H46" s="25"/>
      <c r="I46" s="70" t="str">
        <f>IF(C46="Trả lại đơn vụ","",IF(C46="Trả lại đơn việc","",IF(C46="Hòa giải thành","",IF(F46=0,"",EDATE(F46,VLOOKUP(C46,'Thời hạn'!$A$1:$B$10,2,0))+H46))))</f>
        <v/>
      </c>
      <c r="J46" s="59" t="str">
        <f t="shared" ca="1" si="0"/>
        <v/>
      </c>
      <c r="K46" s="25"/>
      <c r="L46" s="129"/>
      <c r="M46" s="130"/>
      <c r="N46" s="35"/>
      <c r="O46" s="34"/>
      <c r="P46" s="25"/>
      <c r="Q46" s="25"/>
      <c r="R46" s="34"/>
      <c r="S46" s="34"/>
      <c r="T46" s="25"/>
      <c r="U46" s="25"/>
      <c r="V46" s="36"/>
      <c r="W46" s="86"/>
      <c r="X46" s="127"/>
      <c r="Y46" s="71" t="str">
        <f>IF(C46="Trả lại đơn vụ","",IF(C46="Trả lại đơn việc","",IF((NETWORKDAYS(F46,G46,'Danh sách ngày nghỉ lễ'!$B$5:$B$25)-1-3)&gt;0,"Quá hạn"&amp;" "&amp;(NETWORKDAYS(F46,G46,'Danh sách ngày nghỉ lễ'!$B$5:$B$25)-1-3)&amp;" "&amp;"ngày","")))</f>
        <v/>
      </c>
      <c r="Z46" s="72" t="str">
        <f>IF(S46=0,"",IF(P46="Chuyển","",IF(P46="Nhập vào vụ khác","",IF(P46="BA",IF((S46-R46)&gt;10,"Quá hạn"&amp;" "&amp;(S46-R46-10)&amp;" "&amp;"ngày",""),IF((NETWORKDAYS(R46,S46,'Danh sách ngày nghỉ lễ'!$B$5:$B$25)-VLOOKUP(P46,'Thời hạn'!$A$17:$B$23,2,0))&gt;1,"Quá hạn"&amp;" "&amp;(NETWORKDAYS(R46,S46,'Danh sách ngày nghỉ lễ'!$B$5:$B$25)-1-VLOOKUP(P46,'Thời hạn'!$A$17:$B$23,2,0))&amp;" "&amp;"ngày","")))))</f>
        <v/>
      </c>
      <c r="AA46" s="23">
        <v>1</v>
      </c>
    </row>
    <row r="47" spans="1:27" s="24" customFormat="1" ht="15.6" x14ac:dyDescent="0.3">
      <c r="A47" s="24">
        <v>1</v>
      </c>
      <c r="B47" s="85"/>
      <c r="C47" s="33"/>
      <c r="D47" s="25"/>
      <c r="E47" s="25"/>
      <c r="F47" s="34"/>
      <c r="G47" s="34"/>
      <c r="H47" s="25"/>
      <c r="I47" s="70" t="str">
        <f>IF(C47="Trả lại đơn vụ","",IF(C47="Trả lại đơn việc","",IF(C47="Hòa giải thành","",IF(F47=0,"",EDATE(F47,VLOOKUP(C47,'Thời hạn'!$A$1:$B$10,2,0))+H47))))</f>
        <v/>
      </c>
      <c r="J47" s="59" t="str">
        <f t="shared" ca="1" si="0"/>
        <v/>
      </c>
      <c r="K47" s="25"/>
      <c r="L47" s="129"/>
      <c r="M47" s="130"/>
      <c r="N47" s="35"/>
      <c r="O47" s="34"/>
      <c r="P47" s="25"/>
      <c r="Q47" s="25"/>
      <c r="R47" s="34"/>
      <c r="S47" s="34"/>
      <c r="T47" s="25"/>
      <c r="U47" s="25"/>
      <c r="V47" s="36"/>
      <c r="W47" s="86"/>
      <c r="X47" s="127"/>
      <c r="Y47" s="71" t="str">
        <f>IF(C47="Trả lại đơn vụ","",IF(C47="Trả lại đơn việc","",IF((NETWORKDAYS(F47,G47,'Danh sách ngày nghỉ lễ'!$B$5:$B$25)-1-3)&gt;0,"Quá hạn"&amp;" "&amp;(NETWORKDAYS(F47,G47,'Danh sách ngày nghỉ lễ'!$B$5:$B$25)-1-3)&amp;" "&amp;"ngày","")))</f>
        <v/>
      </c>
      <c r="Z47" s="72" t="str">
        <f>IF(S47=0,"",IF(P47="Chuyển","",IF(P47="Nhập vào vụ khác","",IF(P47="BA",IF((S47-R47)&gt;10,"Quá hạn"&amp;" "&amp;(S47-R47-10)&amp;" "&amp;"ngày",""),IF((NETWORKDAYS(R47,S47,'Danh sách ngày nghỉ lễ'!$B$5:$B$25)-VLOOKUP(P47,'Thời hạn'!$A$17:$B$23,2,0))&gt;1,"Quá hạn"&amp;" "&amp;(NETWORKDAYS(R47,S47,'Danh sách ngày nghỉ lễ'!$B$5:$B$25)-1-VLOOKUP(P47,'Thời hạn'!$A$17:$B$23,2,0))&amp;" "&amp;"ngày","")))))</f>
        <v/>
      </c>
      <c r="AA47" s="23">
        <v>1</v>
      </c>
    </row>
    <row r="48" spans="1:27" s="24" customFormat="1" ht="15.6" x14ac:dyDescent="0.3">
      <c r="A48" s="24">
        <v>1</v>
      </c>
      <c r="B48" s="85"/>
      <c r="C48" s="33"/>
      <c r="D48" s="25"/>
      <c r="E48" s="25"/>
      <c r="F48" s="34"/>
      <c r="G48" s="34"/>
      <c r="H48" s="25"/>
      <c r="I48" s="70" t="str">
        <f>IF(C48="Trả lại đơn vụ","",IF(C48="Trả lại đơn việc","",IF(C48="Hòa giải thành","",IF(F48=0,"",EDATE(F48,VLOOKUP(C48,'Thời hạn'!$A$1:$B$10,2,0))+H48))))</f>
        <v/>
      </c>
      <c r="J48" s="59" t="str">
        <f t="shared" ca="1" si="0"/>
        <v/>
      </c>
      <c r="K48" s="25"/>
      <c r="L48" s="129"/>
      <c r="M48" s="130"/>
      <c r="N48" s="35"/>
      <c r="O48" s="34"/>
      <c r="P48" s="25"/>
      <c r="Q48" s="25"/>
      <c r="R48" s="34"/>
      <c r="S48" s="34"/>
      <c r="T48" s="25"/>
      <c r="U48" s="25"/>
      <c r="V48" s="36"/>
      <c r="W48" s="86"/>
      <c r="X48" s="127"/>
      <c r="Y48" s="71" t="str">
        <f>IF(C48="Trả lại đơn vụ","",IF(C48="Trả lại đơn việc","",IF((NETWORKDAYS(F48,G48,'Danh sách ngày nghỉ lễ'!$B$5:$B$25)-1-3)&gt;0,"Quá hạn"&amp;" "&amp;(NETWORKDAYS(F48,G48,'Danh sách ngày nghỉ lễ'!$B$5:$B$25)-1-3)&amp;" "&amp;"ngày","")))</f>
        <v/>
      </c>
      <c r="Z48" s="72" t="str">
        <f>IF(S48=0,"",IF(P48="Chuyển","",IF(P48="Nhập vào vụ khác","",IF(P48="BA",IF((S48-R48)&gt;10,"Quá hạn"&amp;" "&amp;(S48-R48-10)&amp;" "&amp;"ngày",""),IF((NETWORKDAYS(R48,S48,'Danh sách ngày nghỉ lễ'!$B$5:$B$25)-VLOOKUP(P48,'Thời hạn'!$A$17:$B$23,2,0))&gt;1,"Quá hạn"&amp;" "&amp;(NETWORKDAYS(R48,S48,'Danh sách ngày nghỉ lễ'!$B$5:$B$25)-1-VLOOKUP(P48,'Thời hạn'!$A$17:$B$23,2,0))&amp;" "&amp;"ngày","")))))</f>
        <v/>
      </c>
      <c r="AA48" s="23">
        <v>1</v>
      </c>
    </row>
    <row r="49" spans="1:27" s="24" customFormat="1" ht="15.6" x14ac:dyDescent="0.3">
      <c r="A49" s="24">
        <v>1</v>
      </c>
      <c r="B49" s="85"/>
      <c r="C49" s="33"/>
      <c r="D49" s="25"/>
      <c r="E49" s="25"/>
      <c r="F49" s="34"/>
      <c r="G49" s="34"/>
      <c r="H49" s="25"/>
      <c r="I49" s="70" t="str">
        <f>IF(C49="Trả lại đơn vụ","",IF(C49="Trả lại đơn việc","",IF(C49="Hòa giải thành","",IF(F49=0,"",EDATE(F49,VLOOKUP(C49,'Thời hạn'!$A$1:$B$10,2,0))+H49))))</f>
        <v/>
      </c>
      <c r="J49" s="59" t="str">
        <f t="shared" ca="1" si="0"/>
        <v/>
      </c>
      <c r="K49" s="25"/>
      <c r="L49" s="129"/>
      <c r="M49" s="130"/>
      <c r="N49" s="35"/>
      <c r="O49" s="34"/>
      <c r="P49" s="25"/>
      <c r="Q49" s="25"/>
      <c r="R49" s="34"/>
      <c r="S49" s="34"/>
      <c r="T49" s="25"/>
      <c r="U49" s="25"/>
      <c r="V49" s="36"/>
      <c r="W49" s="86"/>
      <c r="X49" s="127"/>
      <c r="Y49" s="71" t="str">
        <f>IF(C49="Trả lại đơn vụ","",IF(C49="Trả lại đơn việc","",IF((NETWORKDAYS(F49,G49,'Danh sách ngày nghỉ lễ'!$B$5:$B$25)-1-3)&gt;0,"Quá hạn"&amp;" "&amp;(NETWORKDAYS(F49,G49,'Danh sách ngày nghỉ lễ'!$B$5:$B$25)-1-3)&amp;" "&amp;"ngày","")))</f>
        <v/>
      </c>
      <c r="Z49" s="72" t="str">
        <f>IF(S49=0,"",IF(P49="Chuyển","",IF(P49="Nhập vào vụ khác","",IF(P49="BA",IF((S49-R49)&gt;10,"Quá hạn"&amp;" "&amp;(S49-R49-10)&amp;" "&amp;"ngày",""),IF((NETWORKDAYS(R49,S49,'Danh sách ngày nghỉ lễ'!$B$5:$B$25)-VLOOKUP(P49,'Thời hạn'!$A$17:$B$23,2,0))&gt;1,"Quá hạn"&amp;" "&amp;(NETWORKDAYS(R49,S49,'Danh sách ngày nghỉ lễ'!$B$5:$B$25)-1-VLOOKUP(P49,'Thời hạn'!$A$17:$B$23,2,0))&amp;" "&amp;"ngày","")))))</f>
        <v/>
      </c>
      <c r="AA49" s="23">
        <v>1</v>
      </c>
    </row>
    <row r="50" spans="1:27" s="24" customFormat="1" ht="15.6" x14ac:dyDescent="0.3">
      <c r="A50" s="24">
        <v>1</v>
      </c>
      <c r="B50" s="85"/>
      <c r="C50" s="33"/>
      <c r="D50" s="25"/>
      <c r="E50" s="25"/>
      <c r="F50" s="34"/>
      <c r="G50" s="34"/>
      <c r="H50" s="25"/>
      <c r="I50" s="70" t="str">
        <f>IF(C50="Trả lại đơn vụ","",IF(C50="Trả lại đơn việc","",IF(C50="Hòa giải thành","",IF(F50=0,"",EDATE(F50,VLOOKUP(C50,'Thời hạn'!$A$1:$B$10,2,0))+H50))))</f>
        <v/>
      </c>
      <c r="J50" s="59" t="str">
        <f t="shared" ca="1" si="0"/>
        <v/>
      </c>
      <c r="K50" s="25"/>
      <c r="L50" s="129"/>
      <c r="M50" s="130"/>
      <c r="N50" s="35"/>
      <c r="O50" s="34"/>
      <c r="P50" s="25"/>
      <c r="Q50" s="25"/>
      <c r="R50" s="34"/>
      <c r="S50" s="34"/>
      <c r="T50" s="25"/>
      <c r="U50" s="25"/>
      <c r="V50" s="36"/>
      <c r="W50" s="86"/>
      <c r="X50" s="127"/>
      <c r="Y50" s="71" t="str">
        <f>IF(C50="Trả lại đơn vụ","",IF(C50="Trả lại đơn việc","",IF((NETWORKDAYS(F50,G50,'Danh sách ngày nghỉ lễ'!$B$5:$B$25)-1-3)&gt;0,"Quá hạn"&amp;" "&amp;(NETWORKDAYS(F50,G50,'Danh sách ngày nghỉ lễ'!$B$5:$B$25)-1-3)&amp;" "&amp;"ngày","")))</f>
        <v/>
      </c>
      <c r="Z50" s="72" t="str">
        <f>IF(S50=0,"",IF(P50="Chuyển","",IF(P50="Nhập vào vụ khác","",IF(P50="BA",IF((S50-R50)&gt;10,"Quá hạn"&amp;" "&amp;(S50-R50-10)&amp;" "&amp;"ngày",""),IF((NETWORKDAYS(R50,S50,'Danh sách ngày nghỉ lễ'!$B$5:$B$25)-VLOOKUP(P50,'Thời hạn'!$A$17:$B$23,2,0))&gt;1,"Quá hạn"&amp;" "&amp;(NETWORKDAYS(R50,S50,'Danh sách ngày nghỉ lễ'!$B$5:$B$25)-1-VLOOKUP(P50,'Thời hạn'!$A$17:$B$23,2,0))&amp;" "&amp;"ngày","")))))</f>
        <v/>
      </c>
      <c r="AA50" s="23">
        <v>1</v>
      </c>
    </row>
    <row r="51" spans="1:27" s="24" customFormat="1" ht="15.6" x14ac:dyDescent="0.3">
      <c r="A51" s="24">
        <v>1</v>
      </c>
      <c r="B51" s="85"/>
      <c r="C51" s="33"/>
      <c r="D51" s="25"/>
      <c r="E51" s="25"/>
      <c r="F51" s="34"/>
      <c r="G51" s="34"/>
      <c r="H51" s="25"/>
      <c r="I51" s="70" t="str">
        <f>IF(C51="Trả lại đơn vụ","",IF(C51="Trả lại đơn việc","",IF(C51="Hòa giải thành","",IF(F51=0,"",EDATE(F51,VLOOKUP(C51,'Thời hạn'!$A$1:$B$10,2,0))+H51))))</f>
        <v/>
      </c>
      <c r="J51" s="59" t="str">
        <f t="shared" ca="1" si="0"/>
        <v/>
      </c>
      <c r="K51" s="25"/>
      <c r="L51" s="129"/>
      <c r="M51" s="130"/>
      <c r="N51" s="35"/>
      <c r="O51" s="34"/>
      <c r="P51" s="25"/>
      <c r="Q51" s="25"/>
      <c r="R51" s="34"/>
      <c r="S51" s="34"/>
      <c r="T51" s="25"/>
      <c r="U51" s="25"/>
      <c r="V51" s="36"/>
      <c r="W51" s="86"/>
      <c r="X51" s="127"/>
      <c r="Y51" s="71" t="str">
        <f>IF(C51="Trả lại đơn vụ","",IF(C51="Trả lại đơn việc","",IF((NETWORKDAYS(F51,G51,'Danh sách ngày nghỉ lễ'!$B$5:$B$25)-1-3)&gt;0,"Quá hạn"&amp;" "&amp;(NETWORKDAYS(F51,G51,'Danh sách ngày nghỉ lễ'!$B$5:$B$25)-1-3)&amp;" "&amp;"ngày","")))</f>
        <v/>
      </c>
      <c r="Z51" s="72" t="str">
        <f>IF(S51=0,"",IF(P51="Chuyển","",IF(P51="Nhập vào vụ khác","",IF(P51="BA",IF((S51-R51)&gt;10,"Quá hạn"&amp;" "&amp;(S51-R51-10)&amp;" "&amp;"ngày",""),IF((NETWORKDAYS(R51,S51,'Danh sách ngày nghỉ lễ'!$B$5:$B$25)-VLOOKUP(P51,'Thời hạn'!$A$17:$B$23,2,0))&gt;1,"Quá hạn"&amp;" "&amp;(NETWORKDAYS(R51,S51,'Danh sách ngày nghỉ lễ'!$B$5:$B$25)-1-VLOOKUP(P51,'Thời hạn'!$A$17:$B$23,2,0))&amp;" "&amp;"ngày","")))))</f>
        <v/>
      </c>
      <c r="AA51" s="23">
        <v>1</v>
      </c>
    </row>
    <row r="52" spans="1:27" s="24" customFormat="1" ht="15.6" x14ac:dyDescent="0.3">
      <c r="A52" s="24">
        <v>1</v>
      </c>
      <c r="B52" s="85"/>
      <c r="C52" s="33"/>
      <c r="D52" s="25"/>
      <c r="E52" s="25"/>
      <c r="F52" s="34"/>
      <c r="G52" s="34"/>
      <c r="H52" s="25"/>
      <c r="I52" s="70" t="str">
        <f>IF(C52="Trả lại đơn vụ","",IF(C52="Trả lại đơn việc","",IF(C52="Hòa giải thành","",IF(F52=0,"",EDATE(F52,VLOOKUP(C52,'Thời hạn'!$A$1:$B$10,2,0))+H52))))</f>
        <v/>
      </c>
      <c r="J52" s="59" t="str">
        <f t="shared" ca="1" si="0"/>
        <v/>
      </c>
      <c r="K52" s="25"/>
      <c r="L52" s="129"/>
      <c r="M52" s="130"/>
      <c r="N52" s="35"/>
      <c r="O52" s="34"/>
      <c r="P52" s="25"/>
      <c r="Q52" s="25"/>
      <c r="R52" s="34"/>
      <c r="S52" s="34"/>
      <c r="T52" s="25"/>
      <c r="U52" s="25"/>
      <c r="V52" s="36"/>
      <c r="W52" s="86"/>
      <c r="X52" s="127"/>
      <c r="Y52" s="71" t="str">
        <f>IF(C52="Trả lại đơn vụ","",IF(C52="Trả lại đơn việc","",IF((NETWORKDAYS(F52,G52,'Danh sách ngày nghỉ lễ'!$B$5:$B$25)-1-3)&gt;0,"Quá hạn"&amp;" "&amp;(NETWORKDAYS(F52,G52,'Danh sách ngày nghỉ lễ'!$B$5:$B$25)-1-3)&amp;" "&amp;"ngày","")))</f>
        <v/>
      </c>
      <c r="Z52" s="72" t="str">
        <f>IF(S52=0,"",IF(P52="Chuyển","",IF(P52="Nhập vào vụ khác","",IF(P52="BA",IF((S52-R52)&gt;10,"Quá hạn"&amp;" "&amp;(S52-R52-10)&amp;" "&amp;"ngày",""),IF((NETWORKDAYS(R52,S52,'Danh sách ngày nghỉ lễ'!$B$5:$B$25)-VLOOKUP(P52,'Thời hạn'!$A$17:$B$23,2,0))&gt;1,"Quá hạn"&amp;" "&amp;(NETWORKDAYS(R52,S52,'Danh sách ngày nghỉ lễ'!$B$5:$B$25)-1-VLOOKUP(P52,'Thời hạn'!$A$17:$B$23,2,0))&amp;" "&amp;"ngày","")))))</f>
        <v/>
      </c>
      <c r="AA52" s="23">
        <v>1</v>
      </c>
    </row>
    <row r="53" spans="1:27" s="24" customFormat="1" ht="15.6" x14ac:dyDescent="0.3">
      <c r="A53" s="24">
        <v>1</v>
      </c>
      <c r="B53" s="85"/>
      <c r="C53" s="33"/>
      <c r="D53" s="25"/>
      <c r="E53" s="25"/>
      <c r="F53" s="34"/>
      <c r="G53" s="34"/>
      <c r="H53" s="25"/>
      <c r="I53" s="70" t="str">
        <f>IF(C53="Trả lại đơn vụ","",IF(C53="Trả lại đơn việc","",IF(C53="Hòa giải thành","",IF(F53=0,"",EDATE(F53,VLOOKUP(C53,'Thời hạn'!$A$1:$B$10,2,0))+H53))))</f>
        <v/>
      </c>
      <c r="J53" s="59" t="str">
        <f t="shared" ca="1" si="0"/>
        <v/>
      </c>
      <c r="K53" s="25"/>
      <c r="L53" s="129"/>
      <c r="M53" s="130"/>
      <c r="N53" s="35"/>
      <c r="O53" s="34"/>
      <c r="P53" s="25"/>
      <c r="Q53" s="25"/>
      <c r="R53" s="34"/>
      <c r="S53" s="34"/>
      <c r="T53" s="25"/>
      <c r="U53" s="25"/>
      <c r="V53" s="36"/>
      <c r="W53" s="86"/>
      <c r="X53" s="127"/>
      <c r="Y53" s="71" t="str">
        <f>IF(C53="Trả lại đơn vụ","",IF(C53="Trả lại đơn việc","",IF((NETWORKDAYS(F53,G53,'Danh sách ngày nghỉ lễ'!$B$5:$B$25)-1-3)&gt;0,"Quá hạn"&amp;" "&amp;(NETWORKDAYS(F53,G53,'Danh sách ngày nghỉ lễ'!$B$5:$B$25)-1-3)&amp;" "&amp;"ngày","")))</f>
        <v/>
      </c>
      <c r="Z53" s="72" t="str">
        <f>IF(S53=0,"",IF(P53="Chuyển","",IF(P53="Nhập vào vụ khác","",IF(P53="BA",IF((S53-R53)&gt;10,"Quá hạn"&amp;" "&amp;(S53-R53-10)&amp;" "&amp;"ngày",""),IF((NETWORKDAYS(R53,S53,'Danh sách ngày nghỉ lễ'!$B$5:$B$25)-VLOOKUP(P53,'Thời hạn'!$A$17:$B$23,2,0))&gt;1,"Quá hạn"&amp;" "&amp;(NETWORKDAYS(R53,S53,'Danh sách ngày nghỉ lễ'!$B$5:$B$25)-1-VLOOKUP(P53,'Thời hạn'!$A$17:$B$23,2,0))&amp;" "&amp;"ngày","")))))</f>
        <v/>
      </c>
      <c r="AA53" s="23">
        <v>1</v>
      </c>
    </row>
    <row r="54" spans="1:27" s="24" customFormat="1" ht="15.6" x14ac:dyDescent="0.3">
      <c r="A54" s="24">
        <v>1</v>
      </c>
      <c r="B54" s="85"/>
      <c r="C54" s="33"/>
      <c r="D54" s="25"/>
      <c r="E54" s="25"/>
      <c r="F54" s="34"/>
      <c r="G54" s="34"/>
      <c r="H54" s="25"/>
      <c r="I54" s="70" t="str">
        <f>IF(C54="Trả lại đơn vụ","",IF(C54="Trả lại đơn việc","",IF(C54="Hòa giải thành","",IF(F54=0,"",EDATE(F54,VLOOKUP(C54,'Thời hạn'!$A$1:$B$10,2,0))+H54))))</f>
        <v/>
      </c>
      <c r="J54" s="59" t="str">
        <f t="shared" ca="1" si="0"/>
        <v/>
      </c>
      <c r="K54" s="25"/>
      <c r="L54" s="129"/>
      <c r="M54" s="130"/>
      <c r="N54" s="35"/>
      <c r="O54" s="34"/>
      <c r="P54" s="25"/>
      <c r="Q54" s="25"/>
      <c r="R54" s="34"/>
      <c r="S54" s="34"/>
      <c r="T54" s="25"/>
      <c r="U54" s="25"/>
      <c r="V54" s="36"/>
      <c r="W54" s="86"/>
      <c r="X54" s="127"/>
      <c r="Y54" s="71" t="str">
        <f>IF(C54="Trả lại đơn vụ","",IF(C54="Trả lại đơn việc","",IF((NETWORKDAYS(F54,G54,'Danh sách ngày nghỉ lễ'!$B$5:$B$25)-1-3)&gt;0,"Quá hạn"&amp;" "&amp;(NETWORKDAYS(F54,G54,'Danh sách ngày nghỉ lễ'!$B$5:$B$25)-1-3)&amp;" "&amp;"ngày","")))</f>
        <v/>
      </c>
      <c r="Z54" s="72" t="str">
        <f>IF(S54=0,"",IF(P54="Chuyển","",IF(P54="Nhập vào vụ khác","",IF(P54="BA",IF((S54-R54)&gt;10,"Quá hạn"&amp;" "&amp;(S54-R54-10)&amp;" "&amp;"ngày",""),IF((NETWORKDAYS(R54,S54,'Danh sách ngày nghỉ lễ'!$B$5:$B$25)-VLOOKUP(P54,'Thời hạn'!$A$17:$B$23,2,0))&gt;1,"Quá hạn"&amp;" "&amp;(NETWORKDAYS(R54,S54,'Danh sách ngày nghỉ lễ'!$B$5:$B$25)-1-VLOOKUP(P54,'Thời hạn'!$A$17:$B$23,2,0))&amp;" "&amp;"ngày","")))))</f>
        <v/>
      </c>
      <c r="AA54" s="23">
        <v>1</v>
      </c>
    </row>
    <row r="55" spans="1:27" s="24" customFormat="1" ht="15.6" x14ac:dyDescent="0.3">
      <c r="A55" s="24">
        <v>1</v>
      </c>
      <c r="B55" s="85"/>
      <c r="C55" s="33"/>
      <c r="D55" s="25"/>
      <c r="E55" s="25"/>
      <c r="F55" s="34"/>
      <c r="G55" s="34"/>
      <c r="H55" s="25"/>
      <c r="I55" s="70" t="str">
        <f>IF(C55="Trả lại đơn vụ","",IF(C55="Trả lại đơn việc","",IF(C55="Hòa giải thành","",IF(F55=0,"",EDATE(F55,VLOOKUP(C55,'Thời hạn'!$A$1:$B$10,2,0))+H55))))</f>
        <v/>
      </c>
      <c r="J55" s="59" t="str">
        <f t="shared" ca="1" si="0"/>
        <v/>
      </c>
      <c r="K55" s="25"/>
      <c r="L55" s="129"/>
      <c r="M55" s="130"/>
      <c r="N55" s="35"/>
      <c r="O55" s="34"/>
      <c r="P55" s="25"/>
      <c r="Q55" s="25"/>
      <c r="R55" s="34"/>
      <c r="S55" s="34"/>
      <c r="T55" s="25"/>
      <c r="U55" s="25"/>
      <c r="V55" s="36"/>
      <c r="W55" s="86"/>
      <c r="X55" s="127"/>
      <c r="Y55" s="71" t="str">
        <f>IF(C55="Trả lại đơn vụ","",IF(C55="Trả lại đơn việc","",IF((NETWORKDAYS(F55,G55,'Danh sách ngày nghỉ lễ'!$B$5:$B$25)-1-3)&gt;0,"Quá hạn"&amp;" "&amp;(NETWORKDAYS(F55,G55,'Danh sách ngày nghỉ lễ'!$B$5:$B$25)-1-3)&amp;" "&amp;"ngày","")))</f>
        <v/>
      </c>
      <c r="Z55" s="72" t="str">
        <f>IF(S55=0,"",IF(P55="Chuyển","",IF(P55="Nhập vào vụ khác","",IF(P55="BA",IF((S55-R55)&gt;10,"Quá hạn"&amp;" "&amp;(S55-R55-10)&amp;" "&amp;"ngày",""),IF((NETWORKDAYS(R55,S55,'Danh sách ngày nghỉ lễ'!$B$5:$B$25)-VLOOKUP(P55,'Thời hạn'!$A$17:$B$23,2,0))&gt;1,"Quá hạn"&amp;" "&amp;(NETWORKDAYS(R55,S55,'Danh sách ngày nghỉ lễ'!$B$5:$B$25)-1-VLOOKUP(P55,'Thời hạn'!$A$17:$B$23,2,0))&amp;" "&amp;"ngày","")))))</f>
        <v/>
      </c>
      <c r="AA55" s="23">
        <v>1</v>
      </c>
    </row>
    <row r="56" spans="1:27" s="24" customFormat="1" ht="15.6" x14ac:dyDescent="0.3">
      <c r="A56" s="24">
        <v>1</v>
      </c>
      <c r="B56" s="85"/>
      <c r="C56" s="33"/>
      <c r="D56" s="25"/>
      <c r="E56" s="25"/>
      <c r="F56" s="34"/>
      <c r="G56" s="34"/>
      <c r="H56" s="25"/>
      <c r="I56" s="70" t="str">
        <f>IF(C56="Trả lại đơn vụ","",IF(C56="Trả lại đơn việc","",IF(C56="Hòa giải thành","",IF(F56=0,"",EDATE(F56,VLOOKUP(C56,'Thời hạn'!$A$1:$B$10,2,0))+H56))))</f>
        <v/>
      </c>
      <c r="J56" s="59" t="str">
        <f t="shared" ca="1" si="0"/>
        <v/>
      </c>
      <c r="K56" s="25"/>
      <c r="L56" s="129"/>
      <c r="M56" s="130"/>
      <c r="N56" s="35"/>
      <c r="O56" s="34"/>
      <c r="P56" s="25"/>
      <c r="Q56" s="25"/>
      <c r="R56" s="34"/>
      <c r="S56" s="34"/>
      <c r="T56" s="25"/>
      <c r="U56" s="25"/>
      <c r="V56" s="36"/>
      <c r="W56" s="86"/>
      <c r="X56" s="127"/>
      <c r="Y56" s="71" t="str">
        <f>IF(C56="Trả lại đơn vụ","",IF(C56="Trả lại đơn việc","",IF((NETWORKDAYS(F56,G56,'Danh sách ngày nghỉ lễ'!$B$5:$B$25)-1-3)&gt;0,"Quá hạn"&amp;" "&amp;(NETWORKDAYS(F56,G56,'Danh sách ngày nghỉ lễ'!$B$5:$B$25)-1-3)&amp;" "&amp;"ngày","")))</f>
        <v/>
      </c>
      <c r="Z56" s="72" t="str">
        <f>IF(S56=0,"",IF(P56="Chuyển","",IF(P56="Nhập vào vụ khác","",IF(P56="BA",IF((S56-R56)&gt;10,"Quá hạn"&amp;" "&amp;(S56-R56-10)&amp;" "&amp;"ngày",""),IF((NETWORKDAYS(R56,S56,'Danh sách ngày nghỉ lễ'!$B$5:$B$25)-VLOOKUP(P56,'Thời hạn'!$A$17:$B$23,2,0))&gt;1,"Quá hạn"&amp;" "&amp;(NETWORKDAYS(R56,S56,'Danh sách ngày nghỉ lễ'!$B$5:$B$25)-1-VLOOKUP(P56,'Thời hạn'!$A$17:$B$23,2,0))&amp;" "&amp;"ngày","")))))</f>
        <v/>
      </c>
      <c r="AA56" s="23">
        <v>1</v>
      </c>
    </row>
    <row r="57" spans="1:27" s="24" customFormat="1" ht="15.6" x14ac:dyDescent="0.3">
      <c r="A57" s="24">
        <v>1</v>
      </c>
      <c r="B57" s="85"/>
      <c r="C57" s="33"/>
      <c r="D57" s="25"/>
      <c r="E57" s="25"/>
      <c r="F57" s="34"/>
      <c r="G57" s="34"/>
      <c r="H57" s="25"/>
      <c r="I57" s="70" t="str">
        <f>IF(C57="Trả lại đơn vụ","",IF(C57="Trả lại đơn việc","",IF(C57="Hòa giải thành","",IF(F57=0,"",EDATE(F57,VLOOKUP(C57,'Thời hạn'!$A$1:$B$10,2,0))+H57))))</f>
        <v/>
      </c>
      <c r="J57" s="59" t="str">
        <f t="shared" ca="1" si="0"/>
        <v/>
      </c>
      <c r="K57" s="25"/>
      <c r="L57" s="129"/>
      <c r="M57" s="130"/>
      <c r="N57" s="35"/>
      <c r="O57" s="34"/>
      <c r="P57" s="25"/>
      <c r="Q57" s="25"/>
      <c r="R57" s="34"/>
      <c r="S57" s="34"/>
      <c r="T57" s="25"/>
      <c r="U57" s="25"/>
      <c r="V57" s="36"/>
      <c r="W57" s="86"/>
      <c r="X57" s="127"/>
      <c r="Y57" s="71" t="str">
        <f>IF(C57="Trả lại đơn vụ","",IF(C57="Trả lại đơn việc","",IF((NETWORKDAYS(F57,G57,'Danh sách ngày nghỉ lễ'!$B$5:$B$25)-1-3)&gt;0,"Quá hạn"&amp;" "&amp;(NETWORKDAYS(F57,G57,'Danh sách ngày nghỉ lễ'!$B$5:$B$25)-1-3)&amp;" "&amp;"ngày","")))</f>
        <v/>
      </c>
      <c r="Z57" s="72" t="str">
        <f>IF(S57=0,"",IF(P57="Chuyển","",IF(P57="Nhập vào vụ khác","",IF(P57="BA",IF((S57-R57)&gt;10,"Quá hạn"&amp;" "&amp;(S57-R57-10)&amp;" "&amp;"ngày",""),IF((NETWORKDAYS(R57,S57,'Danh sách ngày nghỉ lễ'!$B$5:$B$25)-VLOOKUP(P57,'Thời hạn'!$A$17:$B$23,2,0))&gt;1,"Quá hạn"&amp;" "&amp;(NETWORKDAYS(R57,S57,'Danh sách ngày nghỉ lễ'!$B$5:$B$25)-1-VLOOKUP(P57,'Thời hạn'!$A$17:$B$23,2,0))&amp;" "&amp;"ngày","")))))</f>
        <v/>
      </c>
      <c r="AA57" s="23">
        <v>1</v>
      </c>
    </row>
    <row r="58" spans="1:27" s="24" customFormat="1" ht="15.6" x14ac:dyDescent="0.3">
      <c r="A58" s="24">
        <v>1</v>
      </c>
      <c r="B58" s="85"/>
      <c r="C58" s="33"/>
      <c r="D58" s="25"/>
      <c r="E58" s="25"/>
      <c r="F58" s="34"/>
      <c r="G58" s="34"/>
      <c r="H58" s="25"/>
      <c r="I58" s="70" t="str">
        <f>IF(C58="Trả lại đơn vụ","",IF(C58="Trả lại đơn việc","",IF(C58="Hòa giải thành","",IF(F58=0,"",EDATE(F58,VLOOKUP(C58,'Thời hạn'!$A$1:$B$10,2,0))+H58))))</f>
        <v/>
      </c>
      <c r="J58" s="59" t="str">
        <f t="shared" ca="1" si="0"/>
        <v/>
      </c>
      <c r="K58" s="25"/>
      <c r="L58" s="129"/>
      <c r="M58" s="130"/>
      <c r="N58" s="35"/>
      <c r="O58" s="34"/>
      <c r="P58" s="25"/>
      <c r="Q58" s="25"/>
      <c r="R58" s="34"/>
      <c r="S58" s="34"/>
      <c r="T58" s="25"/>
      <c r="U58" s="25"/>
      <c r="V58" s="36"/>
      <c r="W58" s="86"/>
      <c r="X58" s="127"/>
      <c r="Y58" s="71" t="str">
        <f>IF(C58="Trả lại đơn vụ","",IF(C58="Trả lại đơn việc","",IF((NETWORKDAYS(F58,G58,'Danh sách ngày nghỉ lễ'!$B$5:$B$25)-1-3)&gt;0,"Quá hạn"&amp;" "&amp;(NETWORKDAYS(F58,G58,'Danh sách ngày nghỉ lễ'!$B$5:$B$25)-1-3)&amp;" "&amp;"ngày","")))</f>
        <v/>
      </c>
      <c r="Z58" s="72" t="str">
        <f>IF(S58=0,"",IF(P58="Chuyển","",IF(P58="Nhập vào vụ khác","",IF(P58="BA",IF((S58-R58)&gt;10,"Quá hạn"&amp;" "&amp;(S58-R58-10)&amp;" "&amp;"ngày",""),IF((NETWORKDAYS(R58,S58,'Danh sách ngày nghỉ lễ'!$B$5:$B$25)-VLOOKUP(P58,'Thời hạn'!$A$17:$B$23,2,0))&gt;1,"Quá hạn"&amp;" "&amp;(NETWORKDAYS(R58,S58,'Danh sách ngày nghỉ lễ'!$B$5:$B$25)-1-VLOOKUP(P58,'Thời hạn'!$A$17:$B$23,2,0))&amp;" "&amp;"ngày","")))))</f>
        <v/>
      </c>
      <c r="AA58" s="23">
        <v>1</v>
      </c>
    </row>
    <row r="59" spans="1:27" s="24" customFormat="1" ht="15.6" x14ac:dyDescent="0.3">
      <c r="A59" s="24">
        <v>1</v>
      </c>
      <c r="B59" s="85"/>
      <c r="C59" s="33"/>
      <c r="D59" s="25"/>
      <c r="E59" s="25"/>
      <c r="F59" s="34"/>
      <c r="G59" s="34"/>
      <c r="H59" s="25"/>
      <c r="I59" s="70" t="str">
        <f>IF(C59="Trả lại đơn vụ","",IF(C59="Trả lại đơn việc","",IF(C59="Hòa giải thành","",IF(F59=0,"",EDATE(F59,VLOOKUP(C59,'Thời hạn'!$A$1:$B$10,2,0))+H59))))</f>
        <v/>
      </c>
      <c r="J59" s="59" t="str">
        <f t="shared" ca="1" si="0"/>
        <v/>
      </c>
      <c r="K59" s="25"/>
      <c r="L59" s="129"/>
      <c r="M59" s="130"/>
      <c r="N59" s="35"/>
      <c r="O59" s="34"/>
      <c r="P59" s="25"/>
      <c r="Q59" s="25"/>
      <c r="R59" s="34"/>
      <c r="S59" s="34"/>
      <c r="T59" s="25"/>
      <c r="U59" s="25"/>
      <c r="V59" s="36"/>
      <c r="W59" s="86"/>
      <c r="X59" s="127"/>
      <c r="Y59" s="71" t="str">
        <f>IF(C59="Trả lại đơn vụ","",IF(C59="Trả lại đơn việc","",IF((NETWORKDAYS(F59,G59,'Danh sách ngày nghỉ lễ'!$B$5:$B$25)-1-3)&gt;0,"Quá hạn"&amp;" "&amp;(NETWORKDAYS(F59,G59,'Danh sách ngày nghỉ lễ'!$B$5:$B$25)-1-3)&amp;" "&amp;"ngày","")))</f>
        <v/>
      </c>
      <c r="Z59" s="72" t="str">
        <f>IF(S59=0,"",IF(P59="Chuyển","",IF(P59="Nhập vào vụ khác","",IF(P59="BA",IF((S59-R59)&gt;10,"Quá hạn"&amp;" "&amp;(S59-R59-10)&amp;" "&amp;"ngày",""),IF((NETWORKDAYS(R59,S59,'Danh sách ngày nghỉ lễ'!$B$5:$B$25)-VLOOKUP(P59,'Thời hạn'!$A$17:$B$23,2,0))&gt;1,"Quá hạn"&amp;" "&amp;(NETWORKDAYS(R59,S59,'Danh sách ngày nghỉ lễ'!$B$5:$B$25)-1-VLOOKUP(P59,'Thời hạn'!$A$17:$B$23,2,0))&amp;" "&amp;"ngày","")))))</f>
        <v/>
      </c>
      <c r="AA59" s="23">
        <v>1</v>
      </c>
    </row>
    <row r="60" spans="1:27" s="24" customFormat="1" ht="15.6" x14ac:dyDescent="0.3">
      <c r="A60" s="24">
        <v>1</v>
      </c>
      <c r="B60" s="85"/>
      <c r="C60" s="33"/>
      <c r="D60" s="25"/>
      <c r="E60" s="25"/>
      <c r="F60" s="34"/>
      <c r="G60" s="34"/>
      <c r="H60" s="25"/>
      <c r="I60" s="70" t="str">
        <f>IF(C60="Trả lại đơn vụ","",IF(C60="Trả lại đơn việc","",IF(C60="Hòa giải thành","",IF(F60=0,"",EDATE(F60,VLOOKUP(C60,'Thời hạn'!$A$1:$B$10,2,0))+H60))))</f>
        <v/>
      </c>
      <c r="J60" s="59" t="str">
        <f t="shared" ca="1" si="0"/>
        <v/>
      </c>
      <c r="K60" s="25"/>
      <c r="L60" s="129"/>
      <c r="M60" s="130"/>
      <c r="N60" s="35"/>
      <c r="O60" s="34"/>
      <c r="P60" s="25"/>
      <c r="Q60" s="25"/>
      <c r="R60" s="34"/>
      <c r="S60" s="34"/>
      <c r="T60" s="25"/>
      <c r="U60" s="25"/>
      <c r="V60" s="36"/>
      <c r="W60" s="86"/>
      <c r="X60" s="127"/>
      <c r="Y60" s="71" t="str">
        <f>IF(C60="Trả lại đơn vụ","",IF(C60="Trả lại đơn việc","",IF((NETWORKDAYS(F60,G60,'Danh sách ngày nghỉ lễ'!$B$5:$B$25)-1-3)&gt;0,"Quá hạn"&amp;" "&amp;(NETWORKDAYS(F60,G60,'Danh sách ngày nghỉ lễ'!$B$5:$B$25)-1-3)&amp;" "&amp;"ngày","")))</f>
        <v/>
      </c>
      <c r="Z60" s="72" t="str">
        <f>IF(S60=0,"",IF(P60="Chuyển","",IF(P60="Nhập vào vụ khác","",IF(P60="BA",IF((S60-R60)&gt;10,"Quá hạn"&amp;" "&amp;(S60-R60-10)&amp;" "&amp;"ngày",""),IF((NETWORKDAYS(R60,S60,'Danh sách ngày nghỉ lễ'!$B$5:$B$25)-VLOOKUP(P60,'Thời hạn'!$A$17:$B$23,2,0))&gt;1,"Quá hạn"&amp;" "&amp;(NETWORKDAYS(R60,S60,'Danh sách ngày nghỉ lễ'!$B$5:$B$25)-1-VLOOKUP(P60,'Thời hạn'!$A$17:$B$23,2,0))&amp;" "&amp;"ngày","")))))</f>
        <v/>
      </c>
      <c r="AA60" s="23">
        <v>1</v>
      </c>
    </row>
    <row r="61" spans="1:27" s="24" customFormat="1" ht="15.6" x14ac:dyDescent="0.3">
      <c r="A61" s="24">
        <v>1</v>
      </c>
      <c r="B61" s="85"/>
      <c r="C61" s="33"/>
      <c r="D61" s="25"/>
      <c r="E61" s="25"/>
      <c r="F61" s="34"/>
      <c r="G61" s="34"/>
      <c r="H61" s="25"/>
      <c r="I61" s="70" t="str">
        <f>IF(C61="Trả lại đơn vụ","",IF(C61="Trả lại đơn việc","",IF(C61="Hòa giải thành","",IF(F61=0,"",EDATE(F61,VLOOKUP(C61,'Thời hạn'!$A$1:$B$10,2,0))+H61))))</f>
        <v/>
      </c>
      <c r="J61" s="59" t="str">
        <f t="shared" ca="1" si="0"/>
        <v/>
      </c>
      <c r="K61" s="25"/>
      <c r="L61" s="129"/>
      <c r="M61" s="130"/>
      <c r="N61" s="35"/>
      <c r="O61" s="34"/>
      <c r="P61" s="25"/>
      <c r="Q61" s="25"/>
      <c r="R61" s="34"/>
      <c r="S61" s="34"/>
      <c r="T61" s="25"/>
      <c r="U61" s="25"/>
      <c r="V61" s="36"/>
      <c r="W61" s="86"/>
      <c r="X61" s="127"/>
      <c r="Y61" s="71" t="str">
        <f>IF(C61="Trả lại đơn vụ","",IF(C61="Trả lại đơn việc","",IF((NETWORKDAYS(F61,G61,'Danh sách ngày nghỉ lễ'!$B$5:$B$25)-1-3)&gt;0,"Quá hạn"&amp;" "&amp;(NETWORKDAYS(F61,G61,'Danh sách ngày nghỉ lễ'!$B$5:$B$25)-1-3)&amp;" "&amp;"ngày","")))</f>
        <v/>
      </c>
      <c r="Z61" s="72" t="str">
        <f>IF(S61=0,"",IF(P61="Chuyển","",IF(P61="Nhập vào vụ khác","",IF(P61="BA",IF((S61-R61)&gt;10,"Quá hạn"&amp;" "&amp;(S61-R61-10)&amp;" "&amp;"ngày",""),IF((NETWORKDAYS(R61,S61,'Danh sách ngày nghỉ lễ'!$B$5:$B$25)-VLOOKUP(P61,'Thời hạn'!$A$17:$B$23,2,0))&gt;1,"Quá hạn"&amp;" "&amp;(NETWORKDAYS(R61,S61,'Danh sách ngày nghỉ lễ'!$B$5:$B$25)-1-VLOOKUP(P61,'Thời hạn'!$A$17:$B$23,2,0))&amp;" "&amp;"ngày","")))))</f>
        <v/>
      </c>
      <c r="AA61" s="23">
        <v>1</v>
      </c>
    </row>
    <row r="62" spans="1:27" s="24" customFormat="1" ht="15.6" x14ac:dyDescent="0.3">
      <c r="A62" s="24">
        <v>1</v>
      </c>
      <c r="B62" s="85"/>
      <c r="C62" s="33"/>
      <c r="D62" s="25"/>
      <c r="E62" s="25"/>
      <c r="F62" s="34"/>
      <c r="G62" s="34"/>
      <c r="H62" s="25"/>
      <c r="I62" s="70" t="str">
        <f>IF(C62="Trả lại đơn vụ","",IF(C62="Trả lại đơn việc","",IF(C62="Hòa giải thành","",IF(F62=0,"",EDATE(F62,VLOOKUP(C62,'Thời hạn'!$A$1:$B$10,2,0))+H62))))</f>
        <v/>
      </c>
      <c r="J62" s="59" t="str">
        <f t="shared" ca="1" si="0"/>
        <v/>
      </c>
      <c r="K62" s="25"/>
      <c r="L62" s="129"/>
      <c r="M62" s="130"/>
      <c r="N62" s="35"/>
      <c r="O62" s="34"/>
      <c r="P62" s="25"/>
      <c r="Q62" s="25"/>
      <c r="R62" s="34"/>
      <c r="S62" s="34"/>
      <c r="T62" s="25"/>
      <c r="U62" s="25"/>
      <c r="V62" s="36"/>
      <c r="W62" s="86"/>
      <c r="X62" s="127"/>
      <c r="Y62" s="71" t="str">
        <f>IF(C62="Trả lại đơn vụ","",IF(C62="Trả lại đơn việc","",IF((NETWORKDAYS(F62,G62,'Danh sách ngày nghỉ lễ'!$B$5:$B$25)-1-3)&gt;0,"Quá hạn"&amp;" "&amp;(NETWORKDAYS(F62,G62,'Danh sách ngày nghỉ lễ'!$B$5:$B$25)-1-3)&amp;" "&amp;"ngày","")))</f>
        <v/>
      </c>
      <c r="Z62" s="72" t="str">
        <f>IF(S62=0,"",IF(P62="Chuyển","",IF(P62="Nhập vào vụ khác","",IF(P62="BA",IF((S62-R62)&gt;10,"Quá hạn"&amp;" "&amp;(S62-R62-10)&amp;" "&amp;"ngày",""),IF((NETWORKDAYS(R62,S62,'Danh sách ngày nghỉ lễ'!$B$5:$B$25)-VLOOKUP(P62,'Thời hạn'!$A$17:$B$23,2,0))&gt;1,"Quá hạn"&amp;" "&amp;(NETWORKDAYS(R62,S62,'Danh sách ngày nghỉ lễ'!$B$5:$B$25)-1-VLOOKUP(P62,'Thời hạn'!$A$17:$B$23,2,0))&amp;" "&amp;"ngày","")))))</f>
        <v/>
      </c>
      <c r="AA62" s="23">
        <v>1</v>
      </c>
    </row>
    <row r="63" spans="1:27" s="24" customFormat="1" ht="15.6" x14ac:dyDescent="0.3">
      <c r="A63" s="24">
        <v>1</v>
      </c>
      <c r="B63" s="85"/>
      <c r="C63" s="33"/>
      <c r="D63" s="25"/>
      <c r="E63" s="25"/>
      <c r="F63" s="34"/>
      <c r="G63" s="34"/>
      <c r="H63" s="25"/>
      <c r="I63" s="70" t="str">
        <f>IF(C63="Trả lại đơn vụ","",IF(C63="Trả lại đơn việc","",IF(C63="Hòa giải thành","",IF(F63=0,"",EDATE(F63,VLOOKUP(C63,'Thời hạn'!$A$1:$B$10,2,0))+H63))))</f>
        <v/>
      </c>
      <c r="J63" s="59" t="str">
        <f t="shared" ca="1" si="0"/>
        <v/>
      </c>
      <c r="K63" s="25"/>
      <c r="L63" s="129"/>
      <c r="M63" s="130"/>
      <c r="N63" s="35"/>
      <c r="O63" s="34"/>
      <c r="P63" s="25"/>
      <c r="Q63" s="25"/>
      <c r="R63" s="34"/>
      <c r="S63" s="34"/>
      <c r="T63" s="25"/>
      <c r="U63" s="25"/>
      <c r="V63" s="36"/>
      <c r="W63" s="86"/>
      <c r="X63" s="127"/>
      <c r="Y63" s="71" t="str">
        <f>IF(C63="Trả lại đơn vụ","",IF(C63="Trả lại đơn việc","",IF((NETWORKDAYS(F63,G63,'Danh sách ngày nghỉ lễ'!$B$5:$B$25)-1-3)&gt;0,"Quá hạn"&amp;" "&amp;(NETWORKDAYS(F63,G63,'Danh sách ngày nghỉ lễ'!$B$5:$B$25)-1-3)&amp;" "&amp;"ngày","")))</f>
        <v/>
      </c>
      <c r="Z63" s="72" t="str">
        <f>IF(S63=0,"",IF(P63="Chuyển","",IF(P63="Nhập vào vụ khác","",IF(P63="BA",IF((S63-R63)&gt;10,"Quá hạn"&amp;" "&amp;(S63-R63-10)&amp;" "&amp;"ngày",""),IF((NETWORKDAYS(R63,S63,'Danh sách ngày nghỉ lễ'!$B$5:$B$25)-VLOOKUP(P63,'Thời hạn'!$A$17:$B$23,2,0))&gt;1,"Quá hạn"&amp;" "&amp;(NETWORKDAYS(R63,S63,'Danh sách ngày nghỉ lễ'!$B$5:$B$25)-1-VLOOKUP(P63,'Thời hạn'!$A$17:$B$23,2,0))&amp;" "&amp;"ngày","")))))</f>
        <v/>
      </c>
      <c r="AA63" s="23">
        <v>1</v>
      </c>
    </row>
    <row r="64" spans="1:27" s="24" customFormat="1" ht="15.6" x14ac:dyDescent="0.3">
      <c r="A64" s="24">
        <v>1</v>
      </c>
      <c r="B64" s="85"/>
      <c r="C64" s="33"/>
      <c r="D64" s="25"/>
      <c r="E64" s="25"/>
      <c r="F64" s="34"/>
      <c r="G64" s="34"/>
      <c r="H64" s="25"/>
      <c r="I64" s="70" t="str">
        <f>IF(C64="Trả lại đơn vụ","",IF(C64="Trả lại đơn việc","",IF(C64="Hòa giải thành","",IF(F64=0,"",EDATE(F64,VLOOKUP(C64,'Thời hạn'!$A$1:$B$10,2,0))+H64))))</f>
        <v/>
      </c>
      <c r="J64" s="59" t="str">
        <f t="shared" ca="1" si="0"/>
        <v/>
      </c>
      <c r="K64" s="25"/>
      <c r="L64" s="129"/>
      <c r="M64" s="130"/>
      <c r="N64" s="35"/>
      <c r="O64" s="34"/>
      <c r="P64" s="25"/>
      <c r="Q64" s="25"/>
      <c r="R64" s="34"/>
      <c r="S64" s="34"/>
      <c r="T64" s="25"/>
      <c r="U64" s="25"/>
      <c r="V64" s="36"/>
      <c r="W64" s="86"/>
      <c r="X64" s="127"/>
      <c r="Y64" s="71" t="str">
        <f>IF(C64="Trả lại đơn vụ","",IF(C64="Trả lại đơn việc","",IF((NETWORKDAYS(F64,G64,'Danh sách ngày nghỉ lễ'!$B$5:$B$25)-1-3)&gt;0,"Quá hạn"&amp;" "&amp;(NETWORKDAYS(F64,G64,'Danh sách ngày nghỉ lễ'!$B$5:$B$25)-1-3)&amp;" "&amp;"ngày","")))</f>
        <v/>
      </c>
      <c r="Z64" s="72" t="str">
        <f>IF(S64=0,"",IF(P64="Chuyển","",IF(P64="Nhập vào vụ khác","",IF(P64="BA",IF((S64-R64)&gt;10,"Quá hạn"&amp;" "&amp;(S64-R64-10)&amp;" "&amp;"ngày",""),IF((NETWORKDAYS(R64,S64,'Danh sách ngày nghỉ lễ'!$B$5:$B$25)-VLOOKUP(P64,'Thời hạn'!$A$17:$B$23,2,0))&gt;1,"Quá hạn"&amp;" "&amp;(NETWORKDAYS(R64,S64,'Danh sách ngày nghỉ lễ'!$B$5:$B$25)-1-VLOOKUP(P64,'Thời hạn'!$A$17:$B$23,2,0))&amp;" "&amp;"ngày","")))))</f>
        <v/>
      </c>
      <c r="AA64" s="23">
        <v>1</v>
      </c>
    </row>
    <row r="65" spans="1:27" s="24" customFormat="1" ht="15.6" x14ac:dyDescent="0.3">
      <c r="A65" s="24">
        <v>1</v>
      </c>
      <c r="B65" s="85"/>
      <c r="C65" s="33"/>
      <c r="D65" s="25"/>
      <c r="E65" s="25"/>
      <c r="F65" s="34"/>
      <c r="G65" s="34"/>
      <c r="H65" s="25"/>
      <c r="I65" s="70" t="str">
        <f>IF(C65="Trả lại đơn vụ","",IF(C65="Trả lại đơn việc","",IF(C65="Hòa giải thành","",IF(F65=0,"",EDATE(F65,VLOOKUP(C65,'Thời hạn'!$A$1:$B$10,2,0))+H65))))</f>
        <v/>
      </c>
      <c r="J65" s="59" t="str">
        <f t="shared" ca="1" si="0"/>
        <v/>
      </c>
      <c r="K65" s="25"/>
      <c r="L65" s="129"/>
      <c r="M65" s="130"/>
      <c r="N65" s="35"/>
      <c r="O65" s="34"/>
      <c r="P65" s="25"/>
      <c r="Q65" s="25"/>
      <c r="R65" s="34"/>
      <c r="S65" s="34"/>
      <c r="T65" s="25"/>
      <c r="U65" s="25"/>
      <c r="V65" s="36"/>
      <c r="W65" s="86"/>
      <c r="X65" s="127"/>
      <c r="Y65" s="71" t="str">
        <f>IF(C65="Trả lại đơn vụ","",IF(C65="Trả lại đơn việc","",IF((NETWORKDAYS(F65,G65,'Danh sách ngày nghỉ lễ'!$B$5:$B$25)-1-3)&gt;0,"Quá hạn"&amp;" "&amp;(NETWORKDAYS(F65,G65,'Danh sách ngày nghỉ lễ'!$B$5:$B$25)-1-3)&amp;" "&amp;"ngày","")))</f>
        <v/>
      </c>
      <c r="Z65" s="72" t="str">
        <f>IF(S65=0,"",IF(P65="Chuyển","",IF(P65="Nhập vào vụ khác","",IF(P65="BA",IF((S65-R65)&gt;10,"Quá hạn"&amp;" "&amp;(S65-R65-10)&amp;" "&amp;"ngày",""),IF((NETWORKDAYS(R65,S65,'Danh sách ngày nghỉ lễ'!$B$5:$B$25)-VLOOKUP(P65,'Thời hạn'!$A$17:$B$23,2,0))&gt;1,"Quá hạn"&amp;" "&amp;(NETWORKDAYS(R65,S65,'Danh sách ngày nghỉ lễ'!$B$5:$B$25)-1-VLOOKUP(P65,'Thời hạn'!$A$17:$B$23,2,0))&amp;" "&amp;"ngày","")))))</f>
        <v/>
      </c>
      <c r="AA65" s="23">
        <v>1</v>
      </c>
    </row>
    <row r="66" spans="1:27" s="24" customFormat="1" ht="15.6" x14ac:dyDescent="0.3">
      <c r="A66" s="24">
        <v>1</v>
      </c>
      <c r="B66" s="85"/>
      <c r="C66" s="33"/>
      <c r="D66" s="25"/>
      <c r="E66" s="25"/>
      <c r="F66" s="34"/>
      <c r="G66" s="34"/>
      <c r="H66" s="25"/>
      <c r="I66" s="70" t="str">
        <f>IF(C66="Trả lại đơn vụ","",IF(C66="Trả lại đơn việc","",IF(C66="Hòa giải thành","",IF(F66=0,"",EDATE(F66,VLOOKUP(C66,'Thời hạn'!$A$1:$B$10,2,0))+H66))))</f>
        <v/>
      </c>
      <c r="J66" s="59" t="str">
        <f t="shared" ca="1" si="0"/>
        <v/>
      </c>
      <c r="K66" s="25"/>
      <c r="L66" s="129"/>
      <c r="M66" s="130"/>
      <c r="N66" s="35"/>
      <c r="O66" s="34"/>
      <c r="P66" s="25"/>
      <c r="Q66" s="25"/>
      <c r="R66" s="34"/>
      <c r="S66" s="34"/>
      <c r="T66" s="25"/>
      <c r="U66" s="25"/>
      <c r="V66" s="36"/>
      <c r="W66" s="86"/>
      <c r="X66" s="127"/>
      <c r="Y66" s="71" t="str">
        <f>IF(C66="Trả lại đơn vụ","",IF(C66="Trả lại đơn việc","",IF((NETWORKDAYS(F66,G66,'Danh sách ngày nghỉ lễ'!$B$5:$B$25)-1-3)&gt;0,"Quá hạn"&amp;" "&amp;(NETWORKDAYS(F66,G66,'Danh sách ngày nghỉ lễ'!$B$5:$B$25)-1-3)&amp;" "&amp;"ngày","")))</f>
        <v/>
      </c>
      <c r="Z66" s="72" t="str">
        <f>IF(S66=0,"",IF(P66="Chuyển","",IF(P66="Nhập vào vụ khác","",IF(P66="BA",IF((S66-R66)&gt;10,"Quá hạn"&amp;" "&amp;(S66-R66-10)&amp;" "&amp;"ngày",""),IF((NETWORKDAYS(R66,S66,'Danh sách ngày nghỉ lễ'!$B$5:$B$25)-VLOOKUP(P66,'Thời hạn'!$A$17:$B$23,2,0))&gt;1,"Quá hạn"&amp;" "&amp;(NETWORKDAYS(R66,S66,'Danh sách ngày nghỉ lễ'!$B$5:$B$25)-1-VLOOKUP(P66,'Thời hạn'!$A$17:$B$23,2,0))&amp;" "&amp;"ngày","")))))</f>
        <v/>
      </c>
      <c r="AA66" s="23">
        <v>1</v>
      </c>
    </row>
    <row r="67" spans="1:27" s="24" customFormat="1" ht="15.6" x14ac:dyDescent="0.3">
      <c r="A67" s="24">
        <v>1</v>
      </c>
      <c r="B67" s="85"/>
      <c r="C67" s="33"/>
      <c r="D67" s="25"/>
      <c r="E67" s="25"/>
      <c r="F67" s="34"/>
      <c r="G67" s="34"/>
      <c r="H67" s="25"/>
      <c r="I67" s="70" t="str">
        <f>IF(C67="Trả lại đơn vụ","",IF(C67="Trả lại đơn việc","",IF(C67="Hòa giải thành","",IF(F67=0,"",EDATE(F67,VLOOKUP(C67,'Thời hạn'!$A$1:$B$10,2,0))+H67))))</f>
        <v/>
      </c>
      <c r="J67" s="59" t="str">
        <f t="shared" ca="1" si="0"/>
        <v/>
      </c>
      <c r="K67" s="25"/>
      <c r="L67" s="129"/>
      <c r="M67" s="130"/>
      <c r="N67" s="35"/>
      <c r="O67" s="34"/>
      <c r="P67" s="25"/>
      <c r="Q67" s="25"/>
      <c r="R67" s="34"/>
      <c r="S67" s="34"/>
      <c r="T67" s="25"/>
      <c r="U67" s="25"/>
      <c r="V67" s="36"/>
      <c r="W67" s="86"/>
      <c r="X67" s="127"/>
      <c r="Y67" s="71" t="str">
        <f>IF(C67="Trả lại đơn vụ","",IF(C67="Trả lại đơn việc","",IF((NETWORKDAYS(F67,G67,'Danh sách ngày nghỉ lễ'!$B$5:$B$25)-1-3)&gt;0,"Quá hạn"&amp;" "&amp;(NETWORKDAYS(F67,G67,'Danh sách ngày nghỉ lễ'!$B$5:$B$25)-1-3)&amp;" "&amp;"ngày","")))</f>
        <v/>
      </c>
      <c r="Z67" s="72" t="str">
        <f>IF(S67=0,"",IF(P67="Chuyển","",IF(P67="Nhập vào vụ khác","",IF(P67="BA",IF((S67-R67)&gt;10,"Quá hạn"&amp;" "&amp;(S67-R67-10)&amp;" "&amp;"ngày",""),IF((NETWORKDAYS(R67,S67,'Danh sách ngày nghỉ lễ'!$B$5:$B$25)-VLOOKUP(P67,'Thời hạn'!$A$17:$B$23,2,0))&gt;1,"Quá hạn"&amp;" "&amp;(NETWORKDAYS(R67,S67,'Danh sách ngày nghỉ lễ'!$B$5:$B$25)-1-VLOOKUP(P67,'Thời hạn'!$A$17:$B$23,2,0))&amp;" "&amp;"ngày","")))))</f>
        <v/>
      </c>
      <c r="AA67" s="23">
        <v>1</v>
      </c>
    </row>
    <row r="68" spans="1:27" s="24" customFormat="1" ht="15.6" x14ac:dyDescent="0.3">
      <c r="A68" s="24">
        <v>1</v>
      </c>
      <c r="B68" s="85"/>
      <c r="C68" s="33"/>
      <c r="D68" s="25"/>
      <c r="E68" s="25"/>
      <c r="F68" s="34"/>
      <c r="G68" s="34"/>
      <c r="H68" s="25"/>
      <c r="I68" s="70" t="str">
        <f>IF(C68="Trả lại đơn vụ","",IF(C68="Trả lại đơn việc","",IF(C68="Hòa giải thành","",IF(F68=0,"",EDATE(F68,VLOOKUP(C68,'Thời hạn'!$A$1:$B$10,2,0))+H68))))</f>
        <v/>
      </c>
      <c r="J68" s="59" t="str">
        <f t="shared" ca="1" si="0"/>
        <v/>
      </c>
      <c r="K68" s="25"/>
      <c r="L68" s="129"/>
      <c r="M68" s="130"/>
      <c r="N68" s="35"/>
      <c r="O68" s="34"/>
      <c r="P68" s="25"/>
      <c r="Q68" s="25"/>
      <c r="R68" s="34"/>
      <c r="S68" s="34"/>
      <c r="T68" s="25"/>
      <c r="U68" s="25"/>
      <c r="V68" s="36"/>
      <c r="W68" s="86"/>
      <c r="X68" s="127"/>
      <c r="Y68" s="71" t="str">
        <f>IF(C68="Trả lại đơn vụ","",IF(C68="Trả lại đơn việc","",IF((NETWORKDAYS(F68,G68,'Danh sách ngày nghỉ lễ'!$B$5:$B$25)-1-3)&gt;0,"Quá hạn"&amp;" "&amp;(NETWORKDAYS(F68,G68,'Danh sách ngày nghỉ lễ'!$B$5:$B$25)-1-3)&amp;" "&amp;"ngày","")))</f>
        <v/>
      </c>
      <c r="Z68" s="72" t="str">
        <f>IF(S68=0,"",IF(P68="Chuyển","",IF(P68="Nhập vào vụ khác","",IF(P68="BA",IF((S68-R68)&gt;10,"Quá hạn"&amp;" "&amp;(S68-R68-10)&amp;" "&amp;"ngày",""),IF((NETWORKDAYS(R68,S68,'Danh sách ngày nghỉ lễ'!$B$5:$B$25)-VLOOKUP(P68,'Thời hạn'!$A$17:$B$23,2,0))&gt;1,"Quá hạn"&amp;" "&amp;(NETWORKDAYS(R68,S68,'Danh sách ngày nghỉ lễ'!$B$5:$B$25)-1-VLOOKUP(P68,'Thời hạn'!$A$17:$B$23,2,0))&amp;" "&amp;"ngày","")))))</f>
        <v/>
      </c>
      <c r="AA68" s="23">
        <v>1</v>
      </c>
    </row>
    <row r="69" spans="1:27" s="24" customFormat="1" ht="15.6" x14ac:dyDescent="0.3">
      <c r="A69" s="24">
        <v>1</v>
      </c>
      <c r="B69" s="85"/>
      <c r="C69" s="33"/>
      <c r="D69" s="25"/>
      <c r="E69" s="25"/>
      <c r="F69" s="34"/>
      <c r="G69" s="34"/>
      <c r="H69" s="25"/>
      <c r="I69" s="70" t="str">
        <f>IF(C69="Trả lại đơn vụ","",IF(C69="Trả lại đơn việc","",IF(C69="Hòa giải thành","",IF(F69=0,"",EDATE(F69,VLOOKUP(C69,'Thời hạn'!$A$1:$B$10,2,0))+H69))))</f>
        <v/>
      </c>
      <c r="J69" s="59" t="str">
        <f t="shared" ca="1" si="0"/>
        <v/>
      </c>
      <c r="K69" s="25"/>
      <c r="L69" s="129"/>
      <c r="M69" s="130"/>
      <c r="N69" s="35"/>
      <c r="O69" s="34"/>
      <c r="P69" s="25"/>
      <c r="Q69" s="25"/>
      <c r="R69" s="34"/>
      <c r="S69" s="34"/>
      <c r="T69" s="25"/>
      <c r="U69" s="25"/>
      <c r="V69" s="36"/>
      <c r="W69" s="86"/>
      <c r="X69" s="127"/>
      <c r="Y69" s="71" t="str">
        <f>IF(C69="Trả lại đơn vụ","",IF(C69="Trả lại đơn việc","",IF((NETWORKDAYS(F69,G69,'Danh sách ngày nghỉ lễ'!$B$5:$B$25)-1-3)&gt;0,"Quá hạn"&amp;" "&amp;(NETWORKDAYS(F69,G69,'Danh sách ngày nghỉ lễ'!$B$5:$B$25)-1-3)&amp;" "&amp;"ngày","")))</f>
        <v/>
      </c>
      <c r="Z69" s="72" t="str">
        <f>IF(S69=0,"",IF(P69="Chuyển","",IF(P69="Nhập vào vụ khác","",IF(P69="BA",IF((S69-R69)&gt;10,"Quá hạn"&amp;" "&amp;(S69-R69-10)&amp;" "&amp;"ngày",""),IF((NETWORKDAYS(R69,S69,'Danh sách ngày nghỉ lễ'!$B$5:$B$25)-VLOOKUP(P69,'Thời hạn'!$A$17:$B$23,2,0))&gt;1,"Quá hạn"&amp;" "&amp;(NETWORKDAYS(R69,S69,'Danh sách ngày nghỉ lễ'!$B$5:$B$25)-1-VLOOKUP(P69,'Thời hạn'!$A$17:$B$23,2,0))&amp;" "&amp;"ngày","")))))</f>
        <v/>
      </c>
      <c r="AA69" s="23">
        <v>1</v>
      </c>
    </row>
    <row r="70" spans="1:27" s="24" customFormat="1" ht="15.6" x14ac:dyDescent="0.3">
      <c r="A70" s="24">
        <v>1</v>
      </c>
      <c r="B70" s="85"/>
      <c r="C70" s="33"/>
      <c r="D70" s="25"/>
      <c r="E70" s="25"/>
      <c r="F70" s="34"/>
      <c r="G70" s="34"/>
      <c r="H70" s="25"/>
      <c r="I70" s="70" t="str">
        <f>IF(C70="Trả lại đơn vụ","",IF(C70="Trả lại đơn việc","",IF(C70="Hòa giải thành","",IF(F70=0,"",EDATE(F70,VLOOKUP(C70,'Thời hạn'!$A$1:$B$10,2,0))+H70))))</f>
        <v/>
      </c>
      <c r="J70" s="59" t="str">
        <f t="shared" ca="1" si="0"/>
        <v/>
      </c>
      <c r="K70" s="25"/>
      <c r="L70" s="129"/>
      <c r="M70" s="130"/>
      <c r="N70" s="35"/>
      <c r="O70" s="34"/>
      <c r="P70" s="25"/>
      <c r="Q70" s="25"/>
      <c r="R70" s="34"/>
      <c r="S70" s="34"/>
      <c r="T70" s="25"/>
      <c r="U70" s="25"/>
      <c r="V70" s="36"/>
      <c r="W70" s="86"/>
      <c r="X70" s="127"/>
      <c r="Y70" s="71" t="str">
        <f>IF(C70="Trả lại đơn vụ","",IF(C70="Trả lại đơn việc","",IF((NETWORKDAYS(F70,G70,'Danh sách ngày nghỉ lễ'!$B$5:$B$25)-1-3)&gt;0,"Quá hạn"&amp;" "&amp;(NETWORKDAYS(F70,G70,'Danh sách ngày nghỉ lễ'!$B$5:$B$25)-1-3)&amp;" "&amp;"ngày","")))</f>
        <v/>
      </c>
      <c r="Z70" s="72" t="str">
        <f>IF(S70=0,"",IF(P70="Chuyển","",IF(P70="Nhập vào vụ khác","",IF(P70="BA",IF((S70-R70)&gt;10,"Quá hạn"&amp;" "&amp;(S70-R70-10)&amp;" "&amp;"ngày",""),IF((NETWORKDAYS(R70,S70,'Danh sách ngày nghỉ lễ'!$B$5:$B$25)-VLOOKUP(P70,'Thời hạn'!$A$17:$B$23,2,0))&gt;1,"Quá hạn"&amp;" "&amp;(NETWORKDAYS(R70,S70,'Danh sách ngày nghỉ lễ'!$B$5:$B$25)-1-VLOOKUP(P70,'Thời hạn'!$A$17:$B$23,2,0))&amp;" "&amp;"ngày","")))))</f>
        <v/>
      </c>
      <c r="AA70" s="23">
        <v>1</v>
      </c>
    </row>
    <row r="71" spans="1:27" s="24" customFormat="1" ht="15.6" x14ac:dyDescent="0.3">
      <c r="A71" s="24">
        <v>1</v>
      </c>
      <c r="B71" s="85"/>
      <c r="C71" s="33"/>
      <c r="D71" s="25"/>
      <c r="E71" s="25"/>
      <c r="F71" s="34"/>
      <c r="G71" s="34"/>
      <c r="H71" s="25"/>
      <c r="I71" s="70" t="str">
        <f>IF(C71="Trả lại đơn vụ","",IF(C71="Trả lại đơn việc","",IF(C71="Hòa giải thành","",IF(F71=0,"",EDATE(F71,VLOOKUP(C71,'Thời hạn'!$A$1:$B$10,2,0))+H71))))</f>
        <v/>
      </c>
      <c r="J71" s="59" t="str">
        <f t="shared" ca="1" si="0"/>
        <v/>
      </c>
      <c r="K71" s="25"/>
      <c r="L71" s="129"/>
      <c r="M71" s="130"/>
      <c r="N71" s="35"/>
      <c r="O71" s="34"/>
      <c r="P71" s="25"/>
      <c r="Q71" s="25"/>
      <c r="R71" s="34"/>
      <c r="S71" s="34"/>
      <c r="T71" s="25"/>
      <c r="U71" s="25"/>
      <c r="V71" s="36"/>
      <c r="W71" s="86"/>
      <c r="X71" s="127"/>
      <c r="Y71" s="71" t="str">
        <f>IF(C71="Trả lại đơn vụ","",IF(C71="Trả lại đơn việc","",IF((NETWORKDAYS(F71,G71,'Danh sách ngày nghỉ lễ'!$B$5:$B$25)-1-3)&gt;0,"Quá hạn"&amp;" "&amp;(NETWORKDAYS(F71,G71,'Danh sách ngày nghỉ lễ'!$B$5:$B$25)-1-3)&amp;" "&amp;"ngày","")))</f>
        <v/>
      </c>
      <c r="Z71" s="72" t="str">
        <f>IF(S71=0,"",IF(P71="Chuyển","",IF(P71="Nhập vào vụ khác","",IF(P71="BA",IF((S71-R71)&gt;10,"Quá hạn"&amp;" "&amp;(S71-R71-10)&amp;" "&amp;"ngày",""),IF((NETWORKDAYS(R71,S71,'Danh sách ngày nghỉ lễ'!$B$5:$B$25)-VLOOKUP(P71,'Thời hạn'!$A$17:$B$23,2,0))&gt;1,"Quá hạn"&amp;" "&amp;(NETWORKDAYS(R71,S71,'Danh sách ngày nghỉ lễ'!$B$5:$B$25)-1-VLOOKUP(P71,'Thời hạn'!$A$17:$B$23,2,0))&amp;" "&amp;"ngày","")))))</f>
        <v/>
      </c>
      <c r="AA71" s="23">
        <v>1</v>
      </c>
    </row>
    <row r="72" spans="1:27" s="24" customFormat="1" ht="15.6" x14ac:dyDescent="0.3">
      <c r="A72" s="24">
        <v>1</v>
      </c>
      <c r="B72" s="85"/>
      <c r="C72" s="33"/>
      <c r="D72" s="25"/>
      <c r="E72" s="25"/>
      <c r="F72" s="34"/>
      <c r="G72" s="34"/>
      <c r="H72" s="25"/>
      <c r="I72" s="70" t="str">
        <f>IF(C72="Trả lại đơn vụ","",IF(C72="Trả lại đơn việc","",IF(C72="Hòa giải thành","",IF(F72=0,"",EDATE(F72,VLOOKUP(C72,'Thời hạn'!$A$1:$B$10,2,0))+H72))))</f>
        <v/>
      </c>
      <c r="J72" s="59" t="str">
        <f t="shared" ca="1" si="0"/>
        <v/>
      </c>
      <c r="K72" s="25"/>
      <c r="L72" s="129"/>
      <c r="M72" s="130"/>
      <c r="N72" s="35"/>
      <c r="O72" s="34"/>
      <c r="P72" s="25"/>
      <c r="Q72" s="25"/>
      <c r="R72" s="34"/>
      <c r="S72" s="34"/>
      <c r="T72" s="25"/>
      <c r="U72" s="25"/>
      <c r="V72" s="36"/>
      <c r="W72" s="86"/>
      <c r="X72" s="127"/>
      <c r="Y72" s="71" t="str">
        <f>IF(C72="Trả lại đơn vụ","",IF(C72="Trả lại đơn việc","",IF((NETWORKDAYS(F72,G72,'Danh sách ngày nghỉ lễ'!$B$5:$B$25)-1-3)&gt;0,"Quá hạn"&amp;" "&amp;(NETWORKDAYS(F72,G72,'Danh sách ngày nghỉ lễ'!$B$5:$B$25)-1-3)&amp;" "&amp;"ngày","")))</f>
        <v/>
      </c>
      <c r="Z72" s="72" t="str">
        <f>IF(S72=0,"",IF(P72="Chuyển","",IF(P72="Nhập vào vụ khác","",IF(P72="BA",IF((S72-R72)&gt;10,"Quá hạn"&amp;" "&amp;(S72-R72-10)&amp;" "&amp;"ngày",""),IF((NETWORKDAYS(R72,S72,'Danh sách ngày nghỉ lễ'!$B$5:$B$25)-VLOOKUP(P72,'Thời hạn'!$A$17:$B$23,2,0))&gt;1,"Quá hạn"&amp;" "&amp;(NETWORKDAYS(R72,S72,'Danh sách ngày nghỉ lễ'!$B$5:$B$25)-1-VLOOKUP(P72,'Thời hạn'!$A$17:$B$23,2,0))&amp;" "&amp;"ngày","")))))</f>
        <v/>
      </c>
      <c r="AA72" s="23">
        <v>1</v>
      </c>
    </row>
    <row r="73" spans="1:27" s="24" customFormat="1" ht="15.6" x14ac:dyDescent="0.3">
      <c r="A73" s="24">
        <v>1</v>
      </c>
      <c r="B73" s="85"/>
      <c r="C73" s="33"/>
      <c r="D73" s="25"/>
      <c r="E73" s="25"/>
      <c r="F73" s="34"/>
      <c r="G73" s="34"/>
      <c r="H73" s="25"/>
      <c r="I73" s="70" t="str">
        <f>IF(C73="Trả lại đơn vụ","",IF(C73="Trả lại đơn việc","",IF(C73="Hòa giải thành","",IF(F73=0,"",EDATE(F73,VLOOKUP(C73,'Thời hạn'!$A$1:$B$10,2,0))+H73))))</f>
        <v/>
      </c>
      <c r="J73" s="59" t="str">
        <f t="shared" ca="1" si="0"/>
        <v/>
      </c>
      <c r="K73" s="25"/>
      <c r="L73" s="129"/>
      <c r="M73" s="130"/>
      <c r="N73" s="35"/>
      <c r="O73" s="34"/>
      <c r="P73" s="25"/>
      <c r="Q73" s="25"/>
      <c r="R73" s="34"/>
      <c r="S73" s="34"/>
      <c r="T73" s="25"/>
      <c r="U73" s="25"/>
      <c r="V73" s="36"/>
      <c r="W73" s="86"/>
      <c r="X73" s="127"/>
      <c r="Y73" s="71" t="str">
        <f>IF(C73="Trả lại đơn vụ","",IF(C73="Trả lại đơn việc","",IF((NETWORKDAYS(F73,G73,'Danh sách ngày nghỉ lễ'!$B$5:$B$25)-1-3)&gt;0,"Quá hạn"&amp;" "&amp;(NETWORKDAYS(F73,G73,'Danh sách ngày nghỉ lễ'!$B$5:$B$25)-1-3)&amp;" "&amp;"ngày","")))</f>
        <v/>
      </c>
      <c r="Z73" s="72" t="str">
        <f>IF(S73=0,"",IF(P73="Chuyển","",IF(P73="Nhập vào vụ khác","",IF(P73="BA",IF((S73-R73)&gt;10,"Quá hạn"&amp;" "&amp;(S73-R73-10)&amp;" "&amp;"ngày",""),IF((NETWORKDAYS(R73,S73,'Danh sách ngày nghỉ lễ'!$B$5:$B$25)-VLOOKUP(P73,'Thời hạn'!$A$17:$B$23,2,0))&gt;1,"Quá hạn"&amp;" "&amp;(NETWORKDAYS(R73,S73,'Danh sách ngày nghỉ lễ'!$B$5:$B$25)-1-VLOOKUP(P73,'Thời hạn'!$A$17:$B$23,2,0))&amp;" "&amp;"ngày","")))))</f>
        <v/>
      </c>
      <c r="AA73" s="23">
        <v>1</v>
      </c>
    </row>
    <row r="74" spans="1:27" s="24" customFormat="1" ht="15.6" x14ac:dyDescent="0.3">
      <c r="A74" s="24">
        <v>1</v>
      </c>
      <c r="B74" s="85"/>
      <c r="C74" s="33"/>
      <c r="D74" s="25"/>
      <c r="E74" s="25"/>
      <c r="F74" s="34"/>
      <c r="G74" s="34"/>
      <c r="H74" s="25"/>
      <c r="I74" s="70" t="str">
        <f>IF(C74="Trả lại đơn vụ","",IF(C74="Trả lại đơn việc","",IF(C74="Hòa giải thành","",IF(F74=0,"",EDATE(F74,VLOOKUP(C74,'Thời hạn'!$A$1:$B$10,2,0))+H74))))</f>
        <v/>
      </c>
      <c r="J74" s="59" t="str">
        <f t="shared" ca="1" si="0"/>
        <v/>
      </c>
      <c r="K74" s="25"/>
      <c r="L74" s="129"/>
      <c r="M74" s="130"/>
      <c r="N74" s="35"/>
      <c r="O74" s="34"/>
      <c r="P74" s="25"/>
      <c r="Q74" s="25"/>
      <c r="R74" s="34"/>
      <c r="S74" s="34"/>
      <c r="T74" s="25"/>
      <c r="U74" s="25"/>
      <c r="V74" s="36"/>
      <c r="W74" s="86"/>
      <c r="X74" s="127"/>
      <c r="Y74" s="71" t="str">
        <f>IF(C74="Trả lại đơn vụ","",IF(C74="Trả lại đơn việc","",IF((NETWORKDAYS(F74,G74,'Danh sách ngày nghỉ lễ'!$B$5:$B$25)-1-3)&gt;0,"Quá hạn"&amp;" "&amp;(NETWORKDAYS(F74,G74,'Danh sách ngày nghỉ lễ'!$B$5:$B$25)-1-3)&amp;" "&amp;"ngày","")))</f>
        <v/>
      </c>
      <c r="Z74" s="72" t="str">
        <f>IF(S74=0,"",IF(P74="Chuyển","",IF(P74="Nhập vào vụ khác","",IF(P74="BA",IF((S74-R74)&gt;10,"Quá hạn"&amp;" "&amp;(S74-R74-10)&amp;" "&amp;"ngày",""),IF((NETWORKDAYS(R74,S74,'Danh sách ngày nghỉ lễ'!$B$5:$B$25)-VLOOKUP(P74,'Thời hạn'!$A$17:$B$23,2,0))&gt;1,"Quá hạn"&amp;" "&amp;(NETWORKDAYS(R74,S74,'Danh sách ngày nghỉ lễ'!$B$5:$B$25)-1-VLOOKUP(P74,'Thời hạn'!$A$17:$B$23,2,0))&amp;" "&amp;"ngày","")))))</f>
        <v/>
      </c>
      <c r="AA74" s="23">
        <v>1</v>
      </c>
    </row>
    <row r="75" spans="1:27" s="24" customFormat="1" ht="15.6" x14ac:dyDescent="0.3">
      <c r="A75" s="24">
        <v>1</v>
      </c>
      <c r="B75" s="85"/>
      <c r="C75" s="33"/>
      <c r="D75" s="25"/>
      <c r="E75" s="25"/>
      <c r="F75" s="34"/>
      <c r="G75" s="34"/>
      <c r="H75" s="25"/>
      <c r="I75" s="70" t="str">
        <f>IF(C75="Trả lại đơn vụ","",IF(C75="Trả lại đơn việc","",IF(C75="Hòa giải thành","",IF(F75=0,"",EDATE(F75,VLOOKUP(C75,'Thời hạn'!$A$1:$B$10,2,0))+H75))))</f>
        <v/>
      </c>
      <c r="J75" s="59" t="str">
        <f t="shared" ref="J75:J138" ca="1" si="1">IF(C75="Trả lại đơn vụ","",IF(C75="Trả lại đơn việc","",IF(C75="Hòa giải thành","",IF(N75=0,IF(P75=0,IF(F75=0,"",I75-TODAY()+1),""),""))))</f>
        <v/>
      </c>
      <c r="K75" s="25"/>
      <c r="L75" s="129"/>
      <c r="M75" s="130"/>
      <c r="N75" s="35"/>
      <c r="O75" s="34"/>
      <c r="P75" s="25"/>
      <c r="Q75" s="25"/>
      <c r="R75" s="34"/>
      <c r="S75" s="34"/>
      <c r="T75" s="25"/>
      <c r="U75" s="25"/>
      <c r="V75" s="36"/>
      <c r="W75" s="86"/>
      <c r="X75" s="127"/>
      <c r="Y75" s="71" t="str">
        <f>IF(C75="Trả lại đơn vụ","",IF(C75="Trả lại đơn việc","",IF((NETWORKDAYS(F75,G75,'Danh sách ngày nghỉ lễ'!$B$5:$B$25)-1-3)&gt;0,"Quá hạn"&amp;" "&amp;(NETWORKDAYS(F75,G75,'Danh sách ngày nghỉ lễ'!$B$5:$B$25)-1-3)&amp;" "&amp;"ngày","")))</f>
        <v/>
      </c>
      <c r="Z75" s="72" t="str">
        <f>IF(S75=0,"",IF(P75="Chuyển","",IF(P75="Nhập vào vụ khác","",IF(P75="BA",IF((S75-R75)&gt;10,"Quá hạn"&amp;" "&amp;(S75-R75-10)&amp;" "&amp;"ngày",""),IF((NETWORKDAYS(R75,S75,'Danh sách ngày nghỉ lễ'!$B$5:$B$25)-VLOOKUP(P75,'Thời hạn'!$A$17:$B$23,2,0))&gt;1,"Quá hạn"&amp;" "&amp;(NETWORKDAYS(R75,S75,'Danh sách ngày nghỉ lễ'!$B$5:$B$25)-1-VLOOKUP(P75,'Thời hạn'!$A$17:$B$23,2,0))&amp;" "&amp;"ngày","")))))</f>
        <v/>
      </c>
      <c r="AA75" s="23">
        <v>1</v>
      </c>
    </row>
    <row r="76" spans="1:27" s="24" customFormat="1" ht="15.6" x14ac:dyDescent="0.3">
      <c r="A76" s="24">
        <v>1</v>
      </c>
      <c r="B76" s="85"/>
      <c r="C76" s="33"/>
      <c r="D76" s="25"/>
      <c r="E76" s="25"/>
      <c r="F76" s="34"/>
      <c r="G76" s="34"/>
      <c r="H76" s="25"/>
      <c r="I76" s="70" t="str">
        <f>IF(C76="Trả lại đơn vụ","",IF(C76="Trả lại đơn việc","",IF(C76="Hòa giải thành","",IF(F76=0,"",EDATE(F76,VLOOKUP(C76,'Thời hạn'!$A$1:$B$10,2,0))+H76))))</f>
        <v/>
      </c>
      <c r="J76" s="59" t="str">
        <f t="shared" ca="1" si="1"/>
        <v/>
      </c>
      <c r="K76" s="25"/>
      <c r="L76" s="129"/>
      <c r="M76" s="130"/>
      <c r="N76" s="35"/>
      <c r="O76" s="34"/>
      <c r="P76" s="25"/>
      <c r="Q76" s="25"/>
      <c r="R76" s="34"/>
      <c r="S76" s="34"/>
      <c r="T76" s="25"/>
      <c r="U76" s="25"/>
      <c r="V76" s="36"/>
      <c r="W76" s="86"/>
      <c r="X76" s="127"/>
      <c r="Y76" s="71" t="str">
        <f>IF(C76="Trả lại đơn vụ","",IF(C76="Trả lại đơn việc","",IF((NETWORKDAYS(F76,G76,'Danh sách ngày nghỉ lễ'!$B$5:$B$25)-1-3)&gt;0,"Quá hạn"&amp;" "&amp;(NETWORKDAYS(F76,G76,'Danh sách ngày nghỉ lễ'!$B$5:$B$25)-1-3)&amp;" "&amp;"ngày","")))</f>
        <v/>
      </c>
      <c r="Z76" s="72" t="str">
        <f>IF(S76=0,"",IF(P76="Chuyển","",IF(P76="Nhập vào vụ khác","",IF(P76="BA",IF((S76-R76)&gt;10,"Quá hạn"&amp;" "&amp;(S76-R76-10)&amp;" "&amp;"ngày",""),IF((NETWORKDAYS(R76,S76,'Danh sách ngày nghỉ lễ'!$B$5:$B$25)-VLOOKUP(P76,'Thời hạn'!$A$17:$B$23,2,0))&gt;1,"Quá hạn"&amp;" "&amp;(NETWORKDAYS(R76,S76,'Danh sách ngày nghỉ lễ'!$B$5:$B$25)-1-VLOOKUP(P76,'Thời hạn'!$A$17:$B$23,2,0))&amp;" "&amp;"ngày","")))))</f>
        <v/>
      </c>
      <c r="AA76" s="23">
        <v>1</v>
      </c>
    </row>
    <row r="77" spans="1:27" s="24" customFormat="1" ht="15.6" x14ac:dyDescent="0.3">
      <c r="A77" s="24">
        <v>1</v>
      </c>
      <c r="B77" s="85"/>
      <c r="C77" s="33"/>
      <c r="D77" s="25"/>
      <c r="E77" s="25"/>
      <c r="F77" s="34"/>
      <c r="G77" s="34"/>
      <c r="H77" s="25"/>
      <c r="I77" s="70" t="str">
        <f>IF(C77="Trả lại đơn vụ","",IF(C77="Trả lại đơn việc","",IF(C77="Hòa giải thành","",IF(F77=0,"",EDATE(F77,VLOOKUP(C77,'Thời hạn'!$A$1:$B$10,2,0))+H77))))</f>
        <v/>
      </c>
      <c r="J77" s="59" t="str">
        <f t="shared" ca="1" si="1"/>
        <v/>
      </c>
      <c r="K77" s="25"/>
      <c r="L77" s="129"/>
      <c r="M77" s="130"/>
      <c r="N77" s="35"/>
      <c r="O77" s="34"/>
      <c r="P77" s="25"/>
      <c r="Q77" s="25"/>
      <c r="R77" s="34"/>
      <c r="S77" s="34"/>
      <c r="T77" s="25"/>
      <c r="U77" s="25"/>
      <c r="V77" s="36"/>
      <c r="W77" s="86"/>
      <c r="X77" s="127"/>
      <c r="Y77" s="71" t="str">
        <f>IF(C77="Trả lại đơn vụ","",IF(C77="Trả lại đơn việc","",IF((NETWORKDAYS(F77,G77,'Danh sách ngày nghỉ lễ'!$B$5:$B$25)-1-3)&gt;0,"Quá hạn"&amp;" "&amp;(NETWORKDAYS(F77,G77,'Danh sách ngày nghỉ lễ'!$B$5:$B$25)-1-3)&amp;" "&amp;"ngày","")))</f>
        <v/>
      </c>
      <c r="Z77" s="72" t="str">
        <f>IF(S77=0,"",IF(P77="Chuyển","",IF(P77="Nhập vào vụ khác","",IF(P77="BA",IF((S77-R77)&gt;10,"Quá hạn"&amp;" "&amp;(S77-R77-10)&amp;" "&amp;"ngày",""),IF((NETWORKDAYS(R77,S77,'Danh sách ngày nghỉ lễ'!$B$5:$B$25)-VLOOKUP(P77,'Thời hạn'!$A$17:$B$23,2,0))&gt;1,"Quá hạn"&amp;" "&amp;(NETWORKDAYS(R77,S77,'Danh sách ngày nghỉ lễ'!$B$5:$B$25)-1-VLOOKUP(P77,'Thời hạn'!$A$17:$B$23,2,0))&amp;" "&amp;"ngày","")))))</f>
        <v/>
      </c>
      <c r="AA77" s="23">
        <v>1</v>
      </c>
    </row>
    <row r="78" spans="1:27" s="24" customFormat="1" ht="15.6" x14ac:dyDescent="0.3">
      <c r="A78" s="24">
        <v>1</v>
      </c>
      <c r="B78" s="85"/>
      <c r="C78" s="33"/>
      <c r="D78" s="25"/>
      <c r="E78" s="25"/>
      <c r="F78" s="34"/>
      <c r="G78" s="34"/>
      <c r="H78" s="25"/>
      <c r="I78" s="70" t="str">
        <f>IF(C78="Trả lại đơn vụ","",IF(C78="Trả lại đơn việc","",IF(C78="Hòa giải thành","",IF(F78=0,"",EDATE(F78,VLOOKUP(C78,'Thời hạn'!$A$1:$B$10,2,0))+H78))))</f>
        <v/>
      </c>
      <c r="J78" s="59" t="str">
        <f t="shared" ca="1" si="1"/>
        <v/>
      </c>
      <c r="K78" s="25"/>
      <c r="L78" s="129"/>
      <c r="M78" s="130"/>
      <c r="N78" s="35"/>
      <c r="O78" s="34"/>
      <c r="P78" s="25"/>
      <c r="Q78" s="25"/>
      <c r="R78" s="34"/>
      <c r="S78" s="34"/>
      <c r="T78" s="25"/>
      <c r="U78" s="25"/>
      <c r="V78" s="36"/>
      <c r="W78" s="86"/>
      <c r="X78" s="127"/>
      <c r="Y78" s="71" t="str">
        <f>IF(C78="Trả lại đơn vụ","",IF(C78="Trả lại đơn việc","",IF((NETWORKDAYS(F78,G78,'Danh sách ngày nghỉ lễ'!$B$5:$B$25)-1-3)&gt;0,"Quá hạn"&amp;" "&amp;(NETWORKDAYS(F78,G78,'Danh sách ngày nghỉ lễ'!$B$5:$B$25)-1-3)&amp;" "&amp;"ngày","")))</f>
        <v/>
      </c>
      <c r="Z78" s="72" t="str">
        <f>IF(S78=0,"",IF(P78="Chuyển","",IF(P78="Nhập vào vụ khác","",IF(P78="BA",IF((S78-R78)&gt;10,"Quá hạn"&amp;" "&amp;(S78-R78-10)&amp;" "&amp;"ngày",""),IF((NETWORKDAYS(R78,S78,'Danh sách ngày nghỉ lễ'!$B$5:$B$25)-VLOOKUP(P78,'Thời hạn'!$A$17:$B$23,2,0))&gt;1,"Quá hạn"&amp;" "&amp;(NETWORKDAYS(R78,S78,'Danh sách ngày nghỉ lễ'!$B$5:$B$25)-1-VLOOKUP(P78,'Thời hạn'!$A$17:$B$23,2,0))&amp;" "&amp;"ngày","")))))</f>
        <v/>
      </c>
      <c r="AA78" s="23">
        <v>1</v>
      </c>
    </row>
    <row r="79" spans="1:27" s="24" customFormat="1" ht="15.6" x14ac:dyDescent="0.3">
      <c r="A79" s="24">
        <v>1</v>
      </c>
      <c r="B79" s="85"/>
      <c r="C79" s="33"/>
      <c r="D79" s="25"/>
      <c r="E79" s="25"/>
      <c r="F79" s="34"/>
      <c r="G79" s="34"/>
      <c r="H79" s="25"/>
      <c r="I79" s="70" t="str">
        <f>IF(C79="Trả lại đơn vụ","",IF(C79="Trả lại đơn việc","",IF(C79="Hòa giải thành","",IF(F79=0,"",EDATE(F79,VLOOKUP(C79,'Thời hạn'!$A$1:$B$10,2,0))+H79))))</f>
        <v/>
      </c>
      <c r="J79" s="59" t="str">
        <f t="shared" ca="1" si="1"/>
        <v/>
      </c>
      <c r="K79" s="25"/>
      <c r="L79" s="129"/>
      <c r="M79" s="130"/>
      <c r="N79" s="35"/>
      <c r="O79" s="34"/>
      <c r="P79" s="25"/>
      <c r="Q79" s="25"/>
      <c r="R79" s="34"/>
      <c r="S79" s="34"/>
      <c r="T79" s="25"/>
      <c r="U79" s="25"/>
      <c r="V79" s="36"/>
      <c r="W79" s="86"/>
      <c r="X79" s="127"/>
      <c r="Y79" s="71" t="str">
        <f>IF(C79="Trả lại đơn vụ","",IF(C79="Trả lại đơn việc","",IF((NETWORKDAYS(F79,G79,'Danh sách ngày nghỉ lễ'!$B$5:$B$25)-1-3)&gt;0,"Quá hạn"&amp;" "&amp;(NETWORKDAYS(F79,G79,'Danh sách ngày nghỉ lễ'!$B$5:$B$25)-1-3)&amp;" "&amp;"ngày","")))</f>
        <v/>
      </c>
      <c r="Z79" s="72" t="str">
        <f>IF(S79=0,"",IF(P79="Chuyển","",IF(P79="Nhập vào vụ khác","",IF(P79="BA",IF((S79-R79)&gt;10,"Quá hạn"&amp;" "&amp;(S79-R79-10)&amp;" "&amp;"ngày",""),IF((NETWORKDAYS(R79,S79,'Danh sách ngày nghỉ lễ'!$B$5:$B$25)-VLOOKUP(P79,'Thời hạn'!$A$17:$B$23,2,0))&gt;1,"Quá hạn"&amp;" "&amp;(NETWORKDAYS(R79,S79,'Danh sách ngày nghỉ lễ'!$B$5:$B$25)-1-VLOOKUP(P79,'Thời hạn'!$A$17:$B$23,2,0))&amp;" "&amp;"ngày","")))))</f>
        <v/>
      </c>
      <c r="AA79" s="23">
        <v>1</v>
      </c>
    </row>
    <row r="80" spans="1:27" s="24" customFormat="1" ht="15.6" x14ac:dyDescent="0.3">
      <c r="A80" s="24">
        <v>1</v>
      </c>
      <c r="B80" s="85"/>
      <c r="C80" s="33"/>
      <c r="D80" s="25"/>
      <c r="E80" s="25"/>
      <c r="F80" s="34"/>
      <c r="G80" s="34"/>
      <c r="H80" s="25"/>
      <c r="I80" s="70" t="str">
        <f>IF(C80="Trả lại đơn vụ","",IF(C80="Trả lại đơn việc","",IF(C80="Hòa giải thành","",IF(F80=0,"",EDATE(F80,VLOOKUP(C80,'Thời hạn'!$A$1:$B$10,2,0))+H80))))</f>
        <v/>
      </c>
      <c r="J80" s="59" t="str">
        <f t="shared" ca="1" si="1"/>
        <v/>
      </c>
      <c r="K80" s="25"/>
      <c r="L80" s="129"/>
      <c r="M80" s="130"/>
      <c r="N80" s="35"/>
      <c r="O80" s="34"/>
      <c r="P80" s="25"/>
      <c r="Q80" s="25"/>
      <c r="R80" s="34"/>
      <c r="S80" s="34"/>
      <c r="T80" s="25"/>
      <c r="U80" s="25"/>
      <c r="V80" s="36"/>
      <c r="W80" s="86"/>
      <c r="X80" s="127"/>
      <c r="Y80" s="71" t="str">
        <f>IF(C80="Trả lại đơn vụ","",IF(C80="Trả lại đơn việc","",IF((NETWORKDAYS(F80,G80,'Danh sách ngày nghỉ lễ'!$B$5:$B$25)-1-3)&gt;0,"Quá hạn"&amp;" "&amp;(NETWORKDAYS(F80,G80,'Danh sách ngày nghỉ lễ'!$B$5:$B$25)-1-3)&amp;" "&amp;"ngày","")))</f>
        <v/>
      </c>
      <c r="Z80" s="72" t="str">
        <f>IF(S80=0,"",IF(P80="Chuyển","",IF(P80="Nhập vào vụ khác","",IF(P80="BA",IF((S80-R80)&gt;10,"Quá hạn"&amp;" "&amp;(S80-R80-10)&amp;" "&amp;"ngày",""),IF((NETWORKDAYS(R80,S80,'Danh sách ngày nghỉ lễ'!$B$5:$B$25)-VLOOKUP(P80,'Thời hạn'!$A$17:$B$23,2,0))&gt;1,"Quá hạn"&amp;" "&amp;(NETWORKDAYS(R80,S80,'Danh sách ngày nghỉ lễ'!$B$5:$B$25)-1-VLOOKUP(P80,'Thời hạn'!$A$17:$B$23,2,0))&amp;" "&amp;"ngày","")))))</f>
        <v/>
      </c>
      <c r="AA80" s="23">
        <v>1</v>
      </c>
    </row>
    <row r="81" spans="1:27" s="24" customFormat="1" ht="15.6" x14ac:dyDescent="0.3">
      <c r="A81" s="24">
        <v>1</v>
      </c>
      <c r="B81" s="85"/>
      <c r="C81" s="33"/>
      <c r="D81" s="25"/>
      <c r="E81" s="25"/>
      <c r="F81" s="34"/>
      <c r="G81" s="34"/>
      <c r="H81" s="25"/>
      <c r="I81" s="70" t="str">
        <f>IF(C81="Trả lại đơn vụ","",IF(C81="Trả lại đơn việc","",IF(C81="Hòa giải thành","",IF(F81=0,"",EDATE(F81,VLOOKUP(C81,'Thời hạn'!$A$1:$B$10,2,0))+H81))))</f>
        <v/>
      </c>
      <c r="J81" s="59" t="str">
        <f t="shared" ca="1" si="1"/>
        <v/>
      </c>
      <c r="K81" s="25"/>
      <c r="L81" s="129"/>
      <c r="M81" s="130"/>
      <c r="N81" s="35"/>
      <c r="O81" s="34"/>
      <c r="P81" s="25"/>
      <c r="Q81" s="25"/>
      <c r="R81" s="34"/>
      <c r="S81" s="34"/>
      <c r="T81" s="25"/>
      <c r="U81" s="25"/>
      <c r="V81" s="36"/>
      <c r="W81" s="86"/>
      <c r="X81" s="127"/>
      <c r="Y81" s="71" t="str">
        <f>IF(C81="Trả lại đơn vụ","",IF(C81="Trả lại đơn việc","",IF((NETWORKDAYS(F81,G81,'Danh sách ngày nghỉ lễ'!$B$5:$B$25)-1-3)&gt;0,"Quá hạn"&amp;" "&amp;(NETWORKDAYS(F81,G81,'Danh sách ngày nghỉ lễ'!$B$5:$B$25)-1-3)&amp;" "&amp;"ngày","")))</f>
        <v/>
      </c>
      <c r="Z81" s="72" t="str">
        <f>IF(S81=0,"",IF(P81="Chuyển","",IF(P81="Nhập vào vụ khác","",IF(P81="BA",IF((S81-R81)&gt;10,"Quá hạn"&amp;" "&amp;(S81-R81-10)&amp;" "&amp;"ngày",""),IF((NETWORKDAYS(R81,S81,'Danh sách ngày nghỉ lễ'!$B$5:$B$25)-VLOOKUP(P81,'Thời hạn'!$A$17:$B$23,2,0))&gt;1,"Quá hạn"&amp;" "&amp;(NETWORKDAYS(R81,S81,'Danh sách ngày nghỉ lễ'!$B$5:$B$25)-1-VLOOKUP(P81,'Thời hạn'!$A$17:$B$23,2,0))&amp;" "&amp;"ngày","")))))</f>
        <v/>
      </c>
      <c r="AA81" s="23">
        <v>1</v>
      </c>
    </row>
    <row r="82" spans="1:27" s="24" customFormat="1" ht="15.6" x14ac:dyDescent="0.3">
      <c r="A82" s="24">
        <v>1</v>
      </c>
      <c r="B82" s="85"/>
      <c r="C82" s="33"/>
      <c r="D82" s="25"/>
      <c r="E82" s="25"/>
      <c r="F82" s="34"/>
      <c r="G82" s="34"/>
      <c r="H82" s="25"/>
      <c r="I82" s="70" t="str">
        <f>IF(C82="Trả lại đơn vụ","",IF(C82="Trả lại đơn việc","",IF(C82="Hòa giải thành","",IF(F82=0,"",EDATE(F82,VLOOKUP(C82,'Thời hạn'!$A$1:$B$10,2,0))+H82))))</f>
        <v/>
      </c>
      <c r="J82" s="59" t="str">
        <f t="shared" ca="1" si="1"/>
        <v/>
      </c>
      <c r="K82" s="25"/>
      <c r="L82" s="129"/>
      <c r="M82" s="130"/>
      <c r="N82" s="35"/>
      <c r="O82" s="34"/>
      <c r="P82" s="25"/>
      <c r="Q82" s="25"/>
      <c r="R82" s="34"/>
      <c r="S82" s="34"/>
      <c r="T82" s="25"/>
      <c r="U82" s="25"/>
      <c r="V82" s="36"/>
      <c r="W82" s="86"/>
      <c r="X82" s="127"/>
      <c r="Y82" s="71" t="str">
        <f>IF(C82="Trả lại đơn vụ","",IF(C82="Trả lại đơn việc","",IF((NETWORKDAYS(F82,G82,'Danh sách ngày nghỉ lễ'!$B$5:$B$25)-1-3)&gt;0,"Quá hạn"&amp;" "&amp;(NETWORKDAYS(F82,G82,'Danh sách ngày nghỉ lễ'!$B$5:$B$25)-1-3)&amp;" "&amp;"ngày","")))</f>
        <v/>
      </c>
      <c r="Z82" s="72" t="str">
        <f>IF(S82=0,"",IF(P82="Chuyển","",IF(P82="Nhập vào vụ khác","",IF(P82="BA",IF((S82-R82)&gt;10,"Quá hạn"&amp;" "&amp;(S82-R82-10)&amp;" "&amp;"ngày",""),IF((NETWORKDAYS(R82,S82,'Danh sách ngày nghỉ lễ'!$B$5:$B$25)-VLOOKUP(P82,'Thời hạn'!$A$17:$B$23,2,0))&gt;1,"Quá hạn"&amp;" "&amp;(NETWORKDAYS(R82,S82,'Danh sách ngày nghỉ lễ'!$B$5:$B$25)-1-VLOOKUP(P82,'Thời hạn'!$A$17:$B$23,2,0))&amp;" "&amp;"ngày","")))))</f>
        <v/>
      </c>
      <c r="AA82" s="23">
        <v>1</v>
      </c>
    </row>
    <row r="83" spans="1:27" s="24" customFormat="1" ht="15.6" x14ac:dyDescent="0.3">
      <c r="A83" s="24">
        <v>1</v>
      </c>
      <c r="B83" s="85"/>
      <c r="C83" s="33"/>
      <c r="D83" s="25"/>
      <c r="E83" s="25"/>
      <c r="F83" s="34"/>
      <c r="G83" s="34"/>
      <c r="H83" s="25"/>
      <c r="I83" s="70" t="str">
        <f>IF(C83="Trả lại đơn vụ","",IF(C83="Trả lại đơn việc","",IF(C83="Hòa giải thành","",IF(F83=0,"",EDATE(F83,VLOOKUP(C83,'Thời hạn'!$A$1:$B$10,2,0))+H83))))</f>
        <v/>
      </c>
      <c r="J83" s="59" t="str">
        <f t="shared" ca="1" si="1"/>
        <v/>
      </c>
      <c r="K83" s="25"/>
      <c r="L83" s="129"/>
      <c r="M83" s="130"/>
      <c r="N83" s="35"/>
      <c r="O83" s="34"/>
      <c r="P83" s="25"/>
      <c r="Q83" s="25"/>
      <c r="R83" s="34"/>
      <c r="S83" s="34"/>
      <c r="T83" s="25"/>
      <c r="U83" s="25"/>
      <c r="V83" s="36"/>
      <c r="W83" s="86"/>
      <c r="X83" s="127"/>
      <c r="Y83" s="71" t="str">
        <f>IF(C83="Trả lại đơn vụ","",IF(C83="Trả lại đơn việc","",IF((NETWORKDAYS(F83,G83,'Danh sách ngày nghỉ lễ'!$B$5:$B$25)-1-3)&gt;0,"Quá hạn"&amp;" "&amp;(NETWORKDAYS(F83,G83,'Danh sách ngày nghỉ lễ'!$B$5:$B$25)-1-3)&amp;" "&amp;"ngày","")))</f>
        <v/>
      </c>
      <c r="Z83" s="72" t="str">
        <f>IF(S83=0,"",IF(P83="Chuyển","",IF(P83="Nhập vào vụ khác","",IF(P83="BA",IF((S83-R83)&gt;10,"Quá hạn"&amp;" "&amp;(S83-R83-10)&amp;" "&amp;"ngày",""),IF((NETWORKDAYS(R83,S83,'Danh sách ngày nghỉ lễ'!$B$5:$B$25)-VLOOKUP(P83,'Thời hạn'!$A$17:$B$23,2,0))&gt;1,"Quá hạn"&amp;" "&amp;(NETWORKDAYS(R83,S83,'Danh sách ngày nghỉ lễ'!$B$5:$B$25)-1-VLOOKUP(P83,'Thời hạn'!$A$17:$B$23,2,0))&amp;" "&amp;"ngày","")))))</f>
        <v/>
      </c>
      <c r="AA83" s="23">
        <v>1</v>
      </c>
    </row>
    <row r="84" spans="1:27" s="24" customFormat="1" ht="15.6" x14ac:dyDescent="0.3">
      <c r="A84" s="24">
        <v>1</v>
      </c>
      <c r="B84" s="85"/>
      <c r="C84" s="33"/>
      <c r="D84" s="25"/>
      <c r="E84" s="25"/>
      <c r="F84" s="34"/>
      <c r="G84" s="34"/>
      <c r="H84" s="25"/>
      <c r="I84" s="70" t="str">
        <f>IF(C84="Trả lại đơn vụ","",IF(C84="Trả lại đơn việc","",IF(C84="Hòa giải thành","",IF(F84=0,"",EDATE(F84,VLOOKUP(C84,'Thời hạn'!$A$1:$B$10,2,0))+H84))))</f>
        <v/>
      </c>
      <c r="J84" s="59" t="str">
        <f t="shared" ca="1" si="1"/>
        <v/>
      </c>
      <c r="K84" s="25"/>
      <c r="L84" s="129"/>
      <c r="M84" s="130"/>
      <c r="N84" s="35"/>
      <c r="O84" s="34"/>
      <c r="P84" s="25"/>
      <c r="Q84" s="25"/>
      <c r="R84" s="34"/>
      <c r="S84" s="34"/>
      <c r="T84" s="25"/>
      <c r="U84" s="25"/>
      <c r="V84" s="36"/>
      <c r="W84" s="86"/>
      <c r="X84" s="127"/>
      <c r="Y84" s="71" t="str">
        <f>IF(C84="Trả lại đơn vụ","",IF(C84="Trả lại đơn việc","",IF((NETWORKDAYS(F84,G84,'Danh sách ngày nghỉ lễ'!$B$5:$B$25)-1-3)&gt;0,"Quá hạn"&amp;" "&amp;(NETWORKDAYS(F84,G84,'Danh sách ngày nghỉ lễ'!$B$5:$B$25)-1-3)&amp;" "&amp;"ngày","")))</f>
        <v/>
      </c>
      <c r="Z84" s="72" t="str">
        <f>IF(S84=0,"",IF(P84="Chuyển","",IF(P84="Nhập vào vụ khác","",IF(P84="BA",IF((S84-R84)&gt;10,"Quá hạn"&amp;" "&amp;(S84-R84-10)&amp;" "&amp;"ngày",""),IF((NETWORKDAYS(R84,S84,'Danh sách ngày nghỉ lễ'!$B$5:$B$25)-VLOOKUP(P84,'Thời hạn'!$A$17:$B$23,2,0))&gt;1,"Quá hạn"&amp;" "&amp;(NETWORKDAYS(R84,S84,'Danh sách ngày nghỉ lễ'!$B$5:$B$25)-1-VLOOKUP(P84,'Thời hạn'!$A$17:$B$23,2,0))&amp;" "&amp;"ngày","")))))</f>
        <v/>
      </c>
      <c r="AA84" s="23">
        <v>1</v>
      </c>
    </row>
    <row r="85" spans="1:27" s="24" customFormat="1" ht="15.6" x14ac:dyDescent="0.3">
      <c r="A85" s="24">
        <v>1</v>
      </c>
      <c r="B85" s="85"/>
      <c r="C85" s="33"/>
      <c r="D85" s="25"/>
      <c r="E85" s="25"/>
      <c r="F85" s="34"/>
      <c r="G85" s="34"/>
      <c r="H85" s="25"/>
      <c r="I85" s="70" t="str">
        <f>IF(C85="Trả lại đơn vụ","",IF(C85="Trả lại đơn việc","",IF(C85="Hòa giải thành","",IF(F85=0,"",EDATE(F85,VLOOKUP(C85,'Thời hạn'!$A$1:$B$10,2,0))+H85))))</f>
        <v/>
      </c>
      <c r="J85" s="59" t="str">
        <f t="shared" ca="1" si="1"/>
        <v/>
      </c>
      <c r="K85" s="25"/>
      <c r="L85" s="129"/>
      <c r="M85" s="130"/>
      <c r="N85" s="35"/>
      <c r="O85" s="34"/>
      <c r="P85" s="25"/>
      <c r="Q85" s="25"/>
      <c r="R85" s="34"/>
      <c r="S85" s="34"/>
      <c r="T85" s="25"/>
      <c r="U85" s="25"/>
      <c r="V85" s="36"/>
      <c r="W85" s="86"/>
      <c r="X85" s="127"/>
      <c r="Y85" s="71" t="str">
        <f>IF(C85="Trả lại đơn vụ","",IF(C85="Trả lại đơn việc","",IF((NETWORKDAYS(F85,G85,'Danh sách ngày nghỉ lễ'!$B$5:$B$25)-1-3)&gt;0,"Quá hạn"&amp;" "&amp;(NETWORKDAYS(F85,G85,'Danh sách ngày nghỉ lễ'!$B$5:$B$25)-1-3)&amp;" "&amp;"ngày","")))</f>
        <v/>
      </c>
      <c r="Z85" s="72" t="str">
        <f>IF(S85=0,"",IF(P85="Chuyển","",IF(P85="Nhập vào vụ khác","",IF(P85="BA",IF((S85-R85)&gt;10,"Quá hạn"&amp;" "&amp;(S85-R85-10)&amp;" "&amp;"ngày",""),IF((NETWORKDAYS(R85,S85,'Danh sách ngày nghỉ lễ'!$B$5:$B$25)-VLOOKUP(P85,'Thời hạn'!$A$17:$B$23,2,0))&gt;1,"Quá hạn"&amp;" "&amp;(NETWORKDAYS(R85,S85,'Danh sách ngày nghỉ lễ'!$B$5:$B$25)-1-VLOOKUP(P85,'Thời hạn'!$A$17:$B$23,2,0))&amp;" "&amp;"ngày","")))))</f>
        <v/>
      </c>
      <c r="AA85" s="23">
        <v>1</v>
      </c>
    </row>
    <row r="86" spans="1:27" s="24" customFormat="1" ht="15.6" x14ac:dyDescent="0.3">
      <c r="A86" s="24">
        <v>1</v>
      </c>
      <c r="B86" s="85"/>
      <c r="C86" s="33"/>
      <c r="D86" s="25"/>
      <c r="E86" s="25"/>
      <c r="F86" s="34"/>
      <c r="G86" s="34"/>
      <c r="H86" s="25"/>
      <c r="I86" s="70" t="str">
        <f>IF(C86="Trả lại đơn vụ","",IF(C86="Trả lại đơn việc","",IF(C86="Hòa giải thành","",IF(F86=0,"",EDATE(F86,VLOOKUP(C86,'Thời hạn'!$A$1:$B$10,2,0))+H86))))</f>
        <v/>
      </c>
      <c r="J86" s="59" t="str">
        <f t="shared" ca="1" si="1"/>
        <v/>
      </c>
      <c r="K86" s="25"/>
      <c r="L86" s="129"/>
      <c r="M86" s="130"/>
      <c r="N86" s="35"/>
      <c r="O86" s="34"/>
      <c r="P86" s="25"/>
      <c r="Q86" s="25"/>
      <c r="R86" s="34"/>
      <c r="S86" s="34"/>
      <c r="T86" s="25"/>
      <c r="U86" s="25"/>
      <c r="V86" s="36"/>
      <c r="W86" s="86"/>
      <c r="X86" s="127"/>
      <c r="Y86" s="71" t="str">
        <f>IF(C86="Trả lại đơn vụ","",IF(C86="Trả lại đơn việc","",IF((NETWORKDAYS(F86,G86,'Danh sách ngày nghỉ lễ'!$B$5:$B$25)-1-3)&gt;0,"Quá hạn"&amp;" "&amp;(NETWORKDAYS(F86,G86,'Danh sách ngày nghỉ lễ'!$B$5:$B$25)-1-3)&amp;" "&amp;"ngày","")))</f>
        <v/>
      </c>
      <c r="Z86" s="72" t="str">
        <f>IF(S86=0,"",IF(P86="Chuyển","",IF(P86="Nhập vào vụ khác","",IF(P86="BA",IF((S86-R86)&gt;10,"Quá hạn"&amp;" "&amp;(S86-R86-10)&amp;" "&amp;"ngày",""),IF((NETWORKDAYS(R86,S86,'Danh sách ngày nghỉ lễ'!$B$5:$B$25)-VLOOKUP(P86,'Thời hạn'!$A$17:$B$23,2,0))&gt;1,"Quá hạn"&amp;" "&amp;(NETWORKDAYS(R86,S86,'Danh sách ngày nghỉ lễ'!$B$5:$B$25)-1-VLOOKUP(P86,'Thời hạn'!$A$17:$B$23,2,0))&amp;" "&amp;"ngày","")))))</f>
        <v/>
      </c>
      <c r="AA86" s="23">
        <v>1</v>
      </c>
    </row>
    <row r="87" spans="1:27" s="24" customFormat="1" ht="15.6" x14ac:dyDescent="0.3">
      <c r="A87" s="24">
        <v>1</v>
      </c>
      <c r="B87" s="85"/>
      <c r="C87" s="33"/>
      <c r="D87" s="25"/>
      <c r="E87" s="25"/>
      <c r="F87" s="34"/>
      <c r="G87" s="34"/>
      <c r="H87" s="25"/>
      <c r="I87" s="70" t="str">
        <f>IF(C87="Trả lại đơn vụ","",IF(C87="Trả lại đơn việc","",IF(C87="Hòa giải thành","",IF(F87=0,"",EDATE(F87,VLOOKUP(C87,'Thời hạn'!$A$1:$B$10,2,0))+H87))))</f>
        <v/>
      </c>
      <c r="J87" s="59" t="str">
        <f t="shared" ca="1" si="1"/>
        <v/>
      </c>
      <c r="K87" s="25"/>
      <c r="L87" s="129"/>
      <c r="M87" s="130"/>
      <c r="N87" s="35"/>
      <c r="O87" s="34"/>
      <c r="P87" s="25"/>
      <c r="Q87" s="25"/>
      <c r="R87" s="34"/>
      <c r="S87" s="34"/>
      <c r="T87" s="25"/>
      <c r="U87" s="25"/>
      <c r="V87" s="36"/>
      <c r="W87" s="86"/>
      <c r="X87" s="127"/>
      <c r="Y87" s="71" t="str">
        <f>IF(C87="Trả lại đơn vụ","",IF(C87="Trả lại đơn việc","",IF((NETWORKDAYS(F87,G87,'Danh sách ngày nghỉ lễ'!$B$5:$B$25)-1-3)&gt;0,"Quá hạn"&amp;" "&amp;(NETWORKDAYS(F87,G87,'Danh sách ngày nghỉ lễ'!$B$5:$B$25)-1-3)&amp;" "&amp;"ngày","")))</f>
        <v/>
      </c>
      <c r="Z87" s="72" t="str">
        <f>IF(S87=0,"",IF(P87="Chuyển","",IF(P87="Nhập vào vụ khác","",IF(P87="BA",IF((S87-R87)&gt;10,"Quá hạn"&amp;" "&amp;(S87-R87-10)&amp;" "&amp;"ngày",""),IF((NETWORKDAYS(R87,S87,'Danh sách ngày nghỉ lễ'!$B$5:$B$25)-VLOOKUP(P87,'Thời hạn'!$A$17:$B$23,2,0))&gt;1,"Quá hạn"&amp;" "&amp;(NETWORKDAYS(R87,S87,'Danh sách ngày nghỉ lễ'!$B$5:$B$25)-1-VLOOKUP(P87,'Thời hạn'!$A$17:$B$23,2,0))&amp;" "&amp;"ngày","")))))</f>
        <v/>
      </c>
      <c r="AA87" s="23">
        <v>1</v>
      </c>
    </row>
    <row r="88" spans="1:27" s="24" customFormat="1" ht="15.6" x14ac:dyDescent="0.3">
      <c r="A88" s="24">
        <v>1</v>
      </c>
      <c r="B88" s="85"/>
      <c r="C88" s="33"/>
      <c r="D88" s="25"/>
      <c r="E88" s="25"/>
      <c r="F88" s="34"/>
      <c r="G88" s="34"/>
      <c r="H88" s="25"/>
      <c r="I88" s="70" t="str">
        <f>IF(C88="Trả lại đơn vụ","",IF(C88="Trả lại đơn việc","",IF(C88="Hòa giải thành","",IF(F88=0,"",EDATE(F88,VLOOKUP(C88,'Thời hạn'!$A$1:$B$10,2,0))+H88))))</f>
        <v/>
      </c>
      <c r="J88" s="59" t="str">
        <f t="shared" ca="1" si="1"/>
        <v/>
      </c>
      <c r="K88" s="25"/>
      <c r="L88" s="129"/>
      <c r="M88" s="130"/>
      <c r="N88" s="35"/>
      <c r="O88" s="34"/>
      <c r="P88" s="25"/>
      <c r="Q88" s="25"/>
      <c r="R88" s="34"/>
      <c r="S88" s="34"/>
      <c r="T88" s="25"/>
      <c r="U88" s="25"/>
      <c r="V88" s="36"/>
      <c r="W88" s="86"/>
      <c r="X88" s="127"/>
      <c r="Y88" s="71" t="str">
        <f>IF(C88="Trả lại đơn vụ","",IF(C88="Trả lại đơn việc","",IF((NETWORKDAYS(F88,G88,'Danh sách ngày nghỉ lễ'!$B$5:$B$25)-1-3)&gt;0,"Quá hạn"&amp;" "&amp;(NETWORKDAYS(F88,G88,'Danh sách ngày nghỉ lễ'!$B$5:$B$25)-1-3)&amp;" "&amp;"ngày","")))</f>
        <v/>
      </c>
      <c r="Z88" s="72" t="str">
        <f>IF(S88=0,"",IF(P88="Chuyển","",IF(P88="Nhập vào vụ khác","",IF(P88="BA",IF((S88-R88)&gt;10,"Quá hạn"&amp;" "&amp;(S88-R88-10)&amp;" "&amp;"ngày",""),IF((NETWORKDAYS(R88,S88,'Danh sách ngày nghỉ lễ'!$B$5:$B$25)-VLOOKUP(P88,'Thời hạn'!$A$17:$B$23,2,0))&gt;1,"Quá hạn"&amp;" "&amp;(NETWORKDAYS(R88,S88,'Danh sách ngày nghỉ lễ'!$B$5:$B$25)-1-VLOOKUP(P88,'Thời hạn'!$A$17:$B$23,2,0))&amp;" "&amp;"ngày","")))))</f>
        <v/>
      </c>
      <c r="AA88" s="23">
        <v>1</v>
      </c>
    </row>
    <row r="89" spans="1:27" s="24" customFormat="1" ht="15.6" x14ac:dyDescent="0.3">
      <c r="A89" s="24">
        <v>1</v>
      </c>
      <c r="B89" s="85"/>
      <c r="C89" s="33"/>
      <c r="D89" s="25"/>
      <c r="E89" s="25"/>
      <c r="F89" s="34"/>
      <c r="G89" s="34"/>
      <c r="H89" s="25"/>
      <c r="I89" s="70" t="str">
        <f>IF(C89="Trả lại đơn vụ","",IF(C89="Trả lại đơn việc","",IF(C89="Hòa giải thành","",IF(F89=0,"",EDATE(F89,VLOOKUP(C89,'Thời hạn'!$A$1:$B$10,2,0))+H89))))</f>
        <v/>
      </c>
      <c r="J89" s="59" t="str">
        <f t="shared" ca="1" si="1"/>
        <v/>
      </c>
      <c r="K89" s="25"/>
      <c r="L89" s="129"/>
      <c r="M89" s="130"/>
      <c r="N89" s="35"/>
      <c r="O89" s="34"/>
      <c r="P89" s="25"/>
      <c r="Q89" s="25"/>
      <c r="R89" s="34"/>
      <c r="S89" s="34"/>
      <c r="T89" s="25"/>
      <c r="U89" s="25"/>
      <c r="V89" s="36"/>
      <c r="W89" s="86"/>
      <c r="X89" s="127"/>
      <c r="Y89" s="71" t="str">
        <f>IF(C89="Trả lại đơn vụ","",IF(C89="Trả lại đơn việc","",IF((NETWORKDAYS(F89,G89,'Danh sách ngày nghỉ lễ'!$B$5:$B$25)-1-3)&gt;0,"Quá hạn"&amp;" "&amp;(NETWORKDAYS(F89,G89,'Danh sách ngày nghỉ lễ'!$B$5:$B$25)-1-3)&amp;" "&amp;"ngày","")))</f>
        <v/>
      </c>
      <c r="Z89" s="72" t="str">
        <f>IF(S89=0,"",IF(P89="Chuyển","",IF(P89="Nhập vào vụ khác","",IF(P89="BA",IF((S89-R89)&gt;10,"Quá hạn"&amp;" "&amp;(S89-R89-10)&amp;" "&amp;"ngày",""),IF((NETWORKDAYS(R89,S89,'Danh sách ngày nghỉ lễ'!$B$5:$B$25)-VLOOKUP(P89,'Thời hạn'!$A$17:$B$23,2,0))&gt;1,"Quá hạn"&amp;" "&amp;(NETWORKDAYS(R89,S89,'Danh sách ngày nghỉ lễ'!$B$5:$B$25)-1-VLOOKUP(P89,'Thời hạn'!$A$17:$B$23,2,0))&amp;" "&amp;"ngày","")))))</f>
        <v/>
      </c>
      <c r="AA89" s="23">
        <v>1</v>
      </c>
    </row>
    <row r="90" spans="1:27" s="24" customFormat="1" ht="15.6" x14ac:dyDescent="0.3">
      <c r="A90" s="24">
        <v>1</v>
      </c>
      <c r="B90" s="85"/>
      <c r="C90" s="33"/>
      <c r="D90" s="25"/>
      <c r="E90" s="25"/>
      <c r="F90" s="34"/>
      <c r="G90" s="34"/>
      <c r="H90" s="25"/>
      <c r="I90" s="70" t="str">
        <f>IF(C90="Trả lại đơn vụ","",IF(C90="Trả lại đơn việc","",IF(C90="Hòa giải thành","",IF(F90=0,"",EDATE(F90,VLOOKUP(C90,'Thời hạn'!$A$1:$B$10,2,0))+H90))))</f>
        <v/>
      </c>
      <c r="J90" s="59" t="str">
        <f t="shared" ca="1" si="1"/>
        <v/>
      </c>
      <c r="K90" s="25"/>
      <c r="L90" s="129"/>
      <c r="M90" s="130"/>
      <c r="N90" s="35"/>
      <c r="O90" s="34"/>
      <c r="P90" s="25"/>
      <c r="Q90" s="25"/>
      <c r="R90" s="34"/>
      <c r="S90" s="34"/>
      <c r="T90" s="25"/>
      <c r="U90" s="25"/>
      <c r="V90" s="36"/>
      <c r="W90" s="86"/>
      <c r="X90" s="127"/>
      <c r="Y90" s="71" t="str">
        <f>IF(C90="Trả lại đơn vụ","",IF(C90="Trả lại đơn việc","",IF((NETWORKDAYS(F90,G90,'Danh sách ngày nghỉ lễ'!$B$5:$B$25)-1-3)&gt;0,"Quá hạn"&amp;" "&amp;(NETWORKDAYS(F90,G90,'Danh sách ngày nghỉ lễ'!$B$5:$B$25)-1-3)&amp;" "&amp;"ngày","")))</f>
        <v/>
      </c>
      <c r="Z90" s="72" t="str">
        <f>IF(S90=0,"",IF(P90="Chuyển","",IF(P90="Nhập vào vụ khác","",IF(P90="BA",IF((S90-R90)&gt;10,"Quá hạn"&amp;" "&amp;(S90-R90-10)&amp;" "&amp;"ngày",""),IF((NETWORKDAYS(R90,S90,'Danh sách ngày nghỉ lễ'!$B$5:$B$25)-VLOOKUP(P90,'Thời hạn'!$A$17:$B$23,2,0))&gt;1,"Quá hạn"&amp;" "&amp;(NETWORKDAYS(R90,S90,'Danh sách ngày nghỉ lễ'!$B$5:$B$25)-1-VLOOKUP(P90,'Thời hạn'!$A$17:$B$23,2,0))&amp;" "&amp;"ngày","")))))</f>
        <v/>
      </c>
      <c r="AA90" s="23">
        <v>1</v>
      </c>
    </row>
    <row r="91" spans="1:27" s="24" customFormat="1" ht="15.6" x14ac:dyDescent="0.3">
      <c r="A91" s="24">
        <v>1</v>
      </c>
      <c r="B91" s="85"/>
      <c r="C91" s="33"/>
      <c r="D91" s="25"/>
      <c r="E91" s="25"/>
      <c r="F91" s="34"/>
      <c r="G91" s="34"/>
      <c r="H91" s="25"/>
      <c r="I91" s="70" t="str">
        <f>IF(C91="Trả lại đơn vụ","",IF(C91="Trả lại đơn việc","",IF(C91="Hòa giải thành","",IF(F91=0,"",EDATE(F91,VLOOKUP(C91,'Thời hạn'!$A$1:$B$10,2,0))+H91))))</f>
        <v/>
      </c>
      <c r="J91" s="59" t="str">
        <f t="shared" ca="1" si="1"/>
        <v/>
      </c>
      <c r="K91" s="25"/>
      <c r="L91" s="129"/>
      <c r="M91" s="130"/>
      <c r="N91" s="35"/>
      <c r="O91" s="34"/>
      <c r="P91" s="25"/>
      <c r="Q91" s="25"/>
      <c r="R91" s="34"/>
      <c r="S91" s="34"/>
      <c r="T91" s="25"/>
      <c r="U91" s="25"/>
      <c r="V91" s="36"/>
      <c r="W91" s="86"/>
      <c r="X91" s="127"/>
      <c r="Y91" s="71" t="str">
        <f>IF(C91="Trả lại đơn vụ","",IF(C91="Trả lại đơn việc","",IF((NETWORKDAYS(F91,G91,'Danh sách ngày nghỉ lễ'!$B$5:$B$25)-1-3)&gt;0,"Quá hạn"&amp;" "&amp;(NETWORKDAYS(F91,G91,'Danh sách ngày nghỉ lễ'!$B$5:$B$25)-1-3)&amp;" "&amp;"ngày","")))</f>
        <v/>
      </c>
      <c r="Z91" s="72" t="str">
        <f>IF(S91=0,"",IF(P91="Chuyển","",IF(P91="Nhập vào vụ khác","",IF(P91="BA",IF((S91-R91)&gt;10,"Quá hạn"&amp;" "&amp;(S91-R91-10)&amp;" "&amp;"ngày",""),IF((NETWORKDAYS(R91,S91,'Danh sách ngày nghỉ lễ'!$B$5:$B$25)-VLOOKUP(P91,'Thời hạn'!$A$17:$B$23,2,0))&gt;1,"Quá hạn"&amp;" "&amp;(NETWORKDAYS(R91,S91,'Danh sách ngày nghỉ lễ'!$B$5:$B$25)-1-VLOOKUP(P91,'Thời hạn'!$A$17:$B$23,2,0))&amp;" "&amp;"ngày","")))))</f>
        <v/>
      </c>
      <c r="AA91" s="23">
        <v>1</v>
      </c>
    </row>
    <row r="92" spans="1:27" s="24" customFormat="1" ht="15.6" x14ac:dyDescent="0.3">
      <c r="A92" s="24">
        <v>1</v>
      </c>
      <c r="B92" s="85"/>
      <c r="C92" s="33"/>
      <c r="D92" s="25"/>
      <c r="E92" s="25"/>
      <c r="F92" s="34"/>
      <c r="G92" s="34"/>
      <c r="H92" s="25"/>
      <c r="I92" s="70" t="str">
        <f>IF(C92="Trả lại đơn vụ","",IF(C92="Trả lại đơn việc","",IF(C92="Hòa giải thành","",IF(F92=0,"",EDATE(F92,VLOOKUP(C92,'Thời hạn'!$A$1:$B$10,2,0))+H92))))</f>
        <v/>
      </c>
      <c r="J92" s="59" t="str">
        <f t="shared" ca="1" si="1"/>
        <v/>
      </c>
      <c r="K92" s="25"/>
      <c r="L92" s="129"/>
      <c r="M92" s="130"/>
      <c r="N92" s="35"/>
      <c r="O92" s="34"/>
      <c r="P92" s="25"/>
      <c r="Q92" s="25"/>
      <c r="R92" s="34"/>
      <c r="S92" s="34"/>
      <c r="T92" s="25"/>
      <c r="U92" s="25"/>
      <c r="V92" s="36"/>
      <c r="W92" s="86"/>
      <c r="X92" s="127"/>
      <c r="Y92" s="71" t="str">
        <f>IF(C92="Trả lại đơn vụ","",IF(C92="Trả lại đơn việc","",IF((NETWORKDAYS(F92,G92,'Danh sách ngày nghỉ lễ'!$B$5:$B$25)-1-3)&gt;0,"Quá hạn"&amp;" "&amp;(NETWORKDAYS(F92,G92,'Danh sách ngày nghỉ lễ'!$B$5:$B$25)-1-3)&amp;" "&amp;"ngày","")))</f>
        <v/>
      </c>
      <c r="Z92" s="72" t="str">
        <f>IF(S92=0,"",IF(P92="Chuyển","",IF(P92="Nhập vào vụ khác","",IF(P92="BA",IF((S92-R92)&gt;10,"Quá hạn"&amp;" "&amp;(S92-R92-10)&amp;" "&amp;"ngày",""),IF((NETWORKDAYS(R92,S92,'Danh sách ngày nghỉ lễ'!$B$5:$B$25)-VLOOKUP(P92,'Thời hạn'!$A$17:$B$23,2,0))&gt;1,"Quá hạn"&amp;" "&amp;(NETWORKDAYS(R92,S92,'Danh sách ngày nghỉ lễ'!$B$5:$B$25)-1-VLOOKUP(P92,'Thời hạn'!$A$17:$B$23,2,0))&amp;" "&amp;"ngày","")))))</f>
        <v/>
      </c>
      <c r="AA92" s="23">
        <v>1</v>
      </c>
    </row>
    <row r="93" spans="1:27" s="24" customFormat="1" ht="15.6" x14ac:dyDescent="0.3">
      <c r="A93" s="24">
        <v>1</v>
      </c>
      <c r="B93" s="85"/>
      <c r="C93" s="33"/>
      <c r="D93" s="25"/>
      <c r="E93" s="25"/>
      <c r="F93" s="34"/>
      <c r="G93" s="34"/>
      <c r="H93" s="25"/>
      <c r="I93" s="70" t="str">
        <f>IF(C93="Trả lại đơn vụ","",IF(C93="Trả lại đơn việc","",IF(C93="Hòa giải thành","",IF(F93=0,"",EDATE(F93,VLOOKUP(C93,'Thời hạn'!$A$1:$B$10,2,0))+H93))))</f>
        <v/>
      </c>
      <c r="J93" s="59" t="str">
        <f t="shared" ca="1" si="1"/>
        <v/>
      </c>
      <c r="K93" s="25"/>
      <c r="L93" s="129"/>
      <c r="M93" s="130"/>
      <c r="N93" s="35"/>
      <c r="O93" s="34"/>
      <c r="P93" s="25"/>
      <c r="Q93" s="25"/>
      <c r="R93" s="34"/>
      <c r="S93" s="34"/>
      <c r="T93" s="25"/>
      <c r="U93" s="25"/>
      <c r="V93" s="36"/>
      <c r="W93" s="86"/>
      <c r="X93" s="127"/>
      <c r="Y93" s="71" t="str">
        <f>IF(C93="Trả lại đơn vụ","",IF(C93="Trả lại đơn việc","",IF((NETWORKDAYS(F93,G93,'Danh sách ngày nghỉ lễ'!$B$5:$B$25)-1-3)&gt;0,"Quá hạn"&amp;" "&amp;(NETWORKDAYS(F93,G93,'Danh sách ngày nghỉ lễ'!$B$5:$B$25)-1-3)&amp;" "&amp;"ngày","")))</f>
        <v/>
      </c>
      <c r="Z93" s="72" t="str">
        <f>IF(S93=0,"",IF(P93="Chuyển","",IF(P93="Nhập vào vụ khác","",IF(P93="BA",IF((S93-R93)&gt;10,"Quá hạn"&amp;" "&amp;(S93-R93-10)&amp;" "&amp;"ngày",""),IF((NETWORKDAYS(R93,S93,'Danh sách ngày nghỉ lễ'!$B$5:$B$25)-VLOOKUP(P93,'Thời hạn'!$A$17:$B$23,2,0))&gt;1,"Quá hạn"&amp;" "&amp;(NETWORKDAYS(R93,S93,'Danh sách ngày nghỉ lễ'!$B$5:$B$25)-1-VLOOKUP(P93,'Thời hạn'!$A$17:$B$23,2,0))&amp;" "&amp;"ngày","")))))</f>
        <v/>
      </c>
      <c r="AA93" s="23">
        <v>1</v>
      </c>
    </row>
    <row r="94" spans="1:27" s="24" customFormat="1" ht="15.6" x14ac:dyDescent="0.3">
      <c r="A94" s="24">
        <v>1</v>
      </c>
      <c r="B94" s="85"/>
      <c r="C94" s="33"/>
      <c r="D94" s="25"/>
      <c r="E94" s="25"/>
      <c r="F94" s="34"/>
      <c r="G94" s="34"/>
      <c r="H94" s="25"/>
      <c r="I94" s="70" t="str">
        <f>IF(C94="Trả lại đơn vụ","",IF(C94="Trả lại đơn việc","",IF(C94="Hòa giải thành","",IF(F94=0,"",EDATE(F94,VLOOKUP(C94,'Thời hạn'!$A$1:$B$10,2,0))+H94))))</f>
        <v/>
      </c>
      <c r="J94" s="59" t="str">
        <f t="shared" ca="1" si="1"/>
        <v/>
      </c>
      <c r="K94" s="25"/>
      <c r="L94" s="129"/>
      <c r="M94" s="130"/>
      <c r="N94" s="35"/>
      <c r="O94" s="34"/>
      <c r="P94" s="25"/>
      <c r="Q94" s="25"/>
      <c r="R94" s="34"/>
      <c r="S94" s="34"/>
      <c r="T94" s="25"/>
      <c r="U94" s="25"/>
      <c r="V94" s="36"/>
      <c r="W94" s="86"/>
      <c r="X94" s="127"/>
      <c r="Y94" s="71" t="str">
        <f>IF(C94="Trả lại đơn vụ","",IF(C94="Trả lại đơn việc","",IF((NETWORKDAYS(F94,G94,'Danh sách ngày nghỉ lễ'!$B$5:$B$25)-1-3)&gt;0,"Quá hạn"&amp;" "&amp;(NETWORKDAYS(F94,G94,'Danh sách ngày nghỉ lễ'!$B$5:$B$25)-1-3)&amp;" "&amp;"ngày","")))</f>
        <v/>
      </c>
      <c r="Z94" s="72" t="str">
        <f>IF(S94=0,"",IF(P94="Chuyển","",IF(P94="Nhập vào vụ khác","",IF(P94="BA",IF((S94-R94)&gt;10,"Quá hạn"&amp;" "&amp;(S94-R94-10)&amp;" "&amp;"ngày",""),IF((NETWORKDAYS(R94,S94,'Danh sách ngày nghỉ lễ'!$B$5:$B$25)-VLOOKUP(P94,'Thời hạn'!$A$17:$B$23,2,0))&gt;1,"Quá hạn"&amp;" "&amp;(NETWORKDAYS(R94,S94,'Danh sách ngày nghỉ lễ'!$B$5:$B$25)-1-VLOOKUP(P94,'Thời hạn'!$A$17:$B$23,2,0))&amp;" "&amp;"ngày","")))))</f>
        <v/>
      </c>
      <c r="AA94" s="23">
        <v>1</v>
      </c>
    </row>
    <row r="95" spans="1:27" s="24" customFormat="1" ht="15.6" x14ac:dyDescent="0.3">
      <c r="A95" s="24">
        <v>1</v>
      </c>
      <c r="B95" s="85"/>
      <c r="C95" s="33"/>
      <c r="D95" s="25"/>
      <c r="E95" s="25"/>
      <c r="F95" s="34"/>
      <c r="G95" s="34"/>
      <c r="H95" s="25"/>
      <c r="I95" s="70" t="str">
        <f>IF(C95="Trả lại đơn vụ","",IF(C95="Trả lại đơn việc","",IF(C95="Hòa giải thành","",IF(F95=0,"",EDATE(F95,VLOOKUP(C95,'Thời hạn'!$A$1:$B$10,2,0))+H95))))</f>
        <v/>
      </c>
      <c r="J95" s="59" t="str">
        <f t="shared" ca="1" si="1"/>
        <v/>
      </c>
      <c r="K95" s="25"/>
      <c r="L95" s="129"/>
      <c r="M95" s="130"/>
      <c r="N95" s="35"/>
      <c r="O95" s="34"/>
      <c r="P95" s="25"/>
      <c r="Q95" s="25"/>
      <c r="R95" s="34"/>
      <c r="S95" s="34"/>
      <c r="T95" s="25"/>
      <c r="U95" s="25"/>
      <c r="V95" s="36"/>
      <c r="W95" s="86"/>
      <c r="X95" s="127"/>
      <c r="Y95" s="71" t="str">
        <f>IF(C95="Trả lại đơn vụ","",IF(C95="Trả lại đơn việc","",IF((NETWORKDAYS(F95,G95,'Danh sách ngày nghỉ lễ'!$B$5:$B$25)-1-3)&gt;0,"Quá hạn"&amp;" "&amp;(NETWORKDAYS(F95,G95,'Danh sách ngày nghỉ lễ'!$B$5:$B$25)-1-3)&amp;" "&amp;"ngày","")))</f>
        <v/>
      </c>
      <c r="Z95" s="72" t="str">
        <f>IF(S95=0,"",IF(P95="Chuyển","",IF(P95="Nhập vào vụ khác","",IF(P95="BA",IF((S95-R95)&gt;10,"Quá hạn"&amp;" "&amp;(S95-R95-10)&amp;" "&amp;"ngày",""),IF((NETWORKDAYS(R95,S95,'Danh sách ngày nghỉ lễ'!$B$5:$B$25)-VLOOKUP(P95,'Thời hạn'!$A$17:$B$23,2,0))&gt;1,"Quá hạn"&amp;" "&amp;(NETWORKDAYS(R95,S95,'Danh sách ngày nghỉ lễ'!$B$5:$B$25)-1-VLOOKUP(P95,'Thời hạn'!$A$17:$B$23,2,0))&amp;" "&amp;"ngày","")))))</f>
        <v/>
      </c>
      <c r="AA95" s="23">
        <v>1</v>
      </c>
    </row>
    <row r="96" spans="1:27" s="24" customFormat="1" ht="15.6" x14ac:dyDescent="0.3">
      <c r="A96" s="24">
        <v>1</v>
      </c>
      <c r="B96" s="85"/>
      <c r="C96" s="33"/>
      <c r="D96" s="25"/>
      <c r="E96" s="25"/>
      <c r="F96" s="34"/>
      <c r="G96" s="34"/>
      <c r="H96" s="25"/>
      <c r="I96" s="70" t="str">
        <f>IF(C96="Trả lại đơn vụ","",IF(C96="Trả lại đơn việc","",IF(C96="Hòa giải thành","",IF(F96=0,"",EDATE(F96,VLOOKUP(C96,'Thời hạn'!$A$1:$B$10,2,0))+H96))))</f>
        <v/>
      </c>
      <c r="J96" s="59" t="str">
        <f t="shared" ca="1" si="1"/>
        <v/>
      </c>
      <c r="K96" s="25"/>
      <c r="L96" s="129"/>
      <c r="M96" s="130"/>
      <c r="N96" s="35"/>
      <c r="O96" s="34"/>
      <c r="P96" s="25"/>
      <c r="Q96" s="25"/>
      <c r="R96" s="34"/>
      <c r="S96" s="34"/>
      <c r="T96" s="25"/>
      <c r="U96" s="25"/>
      <c r="V96" s="36"/>
      <c r="W96" s="86"/>
      <c r="X96" s="127"/>
      <c r="Y96" s="71" t="str">
        <f>IF(C96="Trả lại đơn vụ","",IF(C96="Trả lại đơn việc","",IF((NETWORKDAYS(F96,G96,'Danh sách ngày nghỉ lễ'!$B$5:$B$25)-1-3)&gt;0,"Quá hạn"&amp;" "&amp;(NETWORKDAYS(F96,G96,'Danh sách ngày nghỉ lễ'!$B$5:$B$25)-1-3)&amp;" "&amp;"ngày","")))</f>
        <v/>
      </c>
      <c r="Z96" s="72" t="str">
        <f>IF(S96=0,"",IF(P96="Chuyển","",IF(P96="Nhập vào vụ khác","",IF(P96="BA",IF((S96-R96)&gt;10,"Quá hạn"&amp;" "&amp;(S96-R96-10)&amp;" "&amp;"ngày",""),IF((NETWORKDAYS(R96,S96,'Danh sách ngày nghỉ lễ'!$B$5:$B$25)-VLOOKUP(P96,'Thời hạn'!$A$17:$B$23,2,0))&gt;1,"Quá hạn"&amp;" "&amp;(NETWORKDAYS(R96,S96,'Danh sách ngày nghỉ lễ'!$B$5:$B$25)-1-VLOOKUP(P96,'Thời hạn'!$A$17:$B$23,2,0))&amp;" "&amp;"ngày","")))))</f>
        <v/>
      </c>
      <c r="AA96" s="23">
        <v>1</v>
      </c>
    </row>
    <row r="97" spans="1:27" s="24" customFormat="1" ht="15.6" x14ac:dyDescent="0.3">
      <c r="A97" s="24">
        <v>1</v>
      </c>
      <c r="B97" s="85"/>
      <c r="C97" s="33"/>
      <c r="D97" s="25"/>
      <c r="E97" s="25"/>
      <c r="F97" s="34"/>
      <c r="G97" s="34"/>
      <c r="H97" s="25"/>
      <c r="I97" s="70" t="str">
        <f>IF(C97="Trả lại đơn vụ","",IF(C97="Trả lại đơn việc","",IF(C97="Hòa giải thành","",IF(F97=0,"",EDATE(F97,VLOOKUP(C97,'Thời hạn'!$A$1:$B$10,2,0))+H97))))</f>
        <v/>
      </c>
      <c r="J97" s="59" t="str">
        <f t="shared" ca="1" si="1"/>
        <v/>
      </c>
      <c r="K97" s="25"/>
      <c r="L97" s="129"/>
      <c r="M97" s="130"/>
      <c r="N97" s="35"/>
      <c r="O97" s="34"/>
      <c r="P97" s="25"/>
      <c r="Q97" s="25"/>
      <c r="R97" s="34"/>
      <c r="S97" s="34"/>
      <c r="T97" s="25"/>
      <c r="U97" s="25"/>
      <c r="V97" s="36"/>
      <c r="W97" s="86"/>
      <c r="X97" s="127"/>
      <c r="Y97" s="71" t="str">
        <f>IF(C97="Trả lại đơn vụ","",IF(C97="Trả lại đơn việc","",IF((NETWORKDAYS(F97,G97,'Danh sách ngày nghỉ lễ'!$B$5:$B$25)-1-3)&gt;0,"Quá hạn"&amp;" "&amp;(NETWORKDAYS(F97,G97,'Danh sách ngày nghỉ lễ'!$B$5:$B$25)-1-3)&amp;" "&amp;"ngày","")))</f>
        <v/>
      </c>
      <c r="Z97" s="72" t="str">
        <f>IF(S97=0,"",IF(P97="Chuyển","",IF(P97="Nhập vào vụ khác","",IF(P97="BA",IF((S97-R97)&gt;10,"Quá hạn"&amp;" "&amp;(S97-R97-10)&amp;" "&amp;"ngày",""),IF((NETWORKDAYS(R97,S97,'Danh sách ngày nghỉ lễ'!$B$5:$B$25)-VLOOKUP(P97,'Thời hạn'!$A$17:$B$23,2,0))&gt;1,"Quá hạn"&amp;" "&amp;(NETWORKDAYS(R97,S97,'Danh sách ngày nghỉ lễ'!$B$5:$B$25)-1-VLOOKUP(P97,'Thời hạn'!$A$17:$B$23,2,0))&amp;" "&amp;"ngày","")))))</f>
        <v/>
      </c>
      <c r="AA97" s="23">
        <v>1</v>
      </c>
    </row>
    <row r="98" spans="1:27" s="24" customFormat="1" ht="15.6" x14ac:dyDescent="0.3">
      <c r="A98" s="24">
        <v>1</v>
      </c>
      <c r="B98" s="85"/>
      <c r="C98" s="33"/>
      <c r="D98" s="25"/>
      <c r="E98" s="25"/>
      <c r="F98" s="34"/>
      <c r="G98" s="34"/>
      <c r="H98" s="25"/>
      <c r="I98" s="70" t="str">
        <f>IF(C98="Trả lại đơn vụ","",IF(C98="Trả lại đơn việc","",IF(C98="Hòa giải thành","",IF(F98=0,"",EDATE(F98,VLOOKUP(C98,'Thời hạn'!$A$1:$B$10,2,0))+H98))))</f>
        <v/>
      </c>
      <c r="J98" s="59" t="str">
        <f t="shared" ca="1" si="1"/>
        <v/>
      </c>
      <c r="K98" s="25"/>
      <c r="L98" s="129"/>
      <c r="M98" s="130"/>
      <c r="N98" s="35"/>
      <c r="O98" s="34"/>
      <c r="P98" s="25"/>
      <c r="Q98" s="25"/>
      <c r="R98" s="34"/>
      <c r="S98" s="34"/>
      <c r="T98" s="25"/>
      <c r="U98" s="25"/>
      <c r="V98" s="36"/>
      <c r="W98" s="86"/>
      <c r="X98" s="127"/>
      <c r="Y98" s="71" t="str">
        <f>IF(C98="Trả lại đơn vụ","",IF(C98="Trả lại đơn việc","",IF((NETWORKDAYS(F98,G98,'Danh sách ngày nghỉ lễ'!$B$5:$B$25)-1-3)&gt;0,"Quá hạn"&amp;" "&amp;(NETWORKDAYS(F98,G98,'Danh sách ngày nghỉ lễ'!$B$5:$B$25)-1-3)&amp;" "&amp;"ngày","")))</f>
        <v/>
      </c>
      <c r="Z98" s="72" t="str">
        <f>IF(S98=0,"",IF(P98="Chuyển","",IF(P98="Nhập vào vụ khác","",IF(P98="BA",IF((S98-R98)&gt;10,"Quá hạn"&amp;" "&amp;(S98-R98-10)&amp;" "&amp;"ngày",""),IF((NETWORKDAYS(R98,S98,'Danh sách ngày nghỉ lễ'!$B$5:$B$25)-VLOOKUP(P98,'Thời hạn'!$A$17:$B$23,2,0))&gt;1,"Quá hạn"&amp;" "&amp;(NETWORKDAYS(R98,S98,'Danh sách ngày nghỉ lễ'!$B$5:$B$25)-1-VLOOKUP(P98,'Thời hạn'!$A$17:$B$23,2,0))&amp;" "&amp;"ngày","")))))</f>
        <v/>
      </c>
      <c r="AA98" s="23">
        <v>1</v>
      </c>
    </row>
    <row r="99" spans="1:27" s="24" customFormat="1" ht="15.6" x14ac:dyDescent="0.3">
      <c r="A99" s="24">
        <v>1</v>
      </c>
      <c r="B99" s="85"/>
      <c r="C99" s="33"/>
      <c r="D99" s="25"/>
      <c r="E99" s="25"/>
      <c r="F99" s="34"/>
      <c r="G99" s="34"/>
      <c r="H99" s="25"/>
      <c r="I99" s="70" t="str">
        <f>IF(C99="Trả lại đơn vụ","",IF(C99="Trả lại đơn việc","",IF(C99="Hòa giải thành","",IF(F99=0,"",EDATE(F99,VLOOKUP(C99,'Thời hạn'!$A$1:$B$10,2,0))+H99))))</f>
        <v/>
      </c>
      <c r="J99" s="59" t="str">
        <f t="shared" ca="1" si="1"/>
        <v/>
      </c>
      <c r="K99" s="25"/>
      <c r="L99" s="129"/>
      <c r="M99" s="130"/>
      <c r="N99" s="35"/>
      <c r="O99" s="34"/>
      <c r="P99" s="25"/>
      <c r="Q99" s="25"/>
      <c r="R99" s="34"/>
      <c r="S99" s="34"/>
      <c r="T99" s="25"/>
      <c r="U99" s="25"/>
      <c r="V99" s="36"/>
      <c r="W99" s="86"/>
      <c r="X99" s="127"/>
      <c r="Y99" s="71" t="str">
        <f>IF(C99="Trả lại đơn vụ","",IF(C99="Trả lại đơn việc","",IF((NETWORKDAYS(F99,G99,'Danh sách ngày nghỉ lễ'!$B$5:$B$25)-1-3)&gt;0,"Quá hạn"&amp;" "&amp;(NETWORKDAYS(F99,G99,'Danh sách ngày nghỉ lễ'!$B$5:$B$25)-1-3)&amp;" "&amp;"ngày","")))</f>
        <v/>
      </c>
      <c r="Z99" s="72" t="str">
        <f>IF(S99=0,"",IF(P99="Chuyển","",IF(P99="Nhập vào vụ khác","",IF(P99="BA",IF((S99-R99)&gt;10,"Quá hạn"&amp;" "&amp;(S99-R99-10)&amp;" "&amp;"ngày",""),IF((NETWORKDAYS(R99,S99,'Danh sách ngày nghỉ lễ'!$B$5:$B$25)-VLOOKUP(P99,'Thời hạn'!$A$17:$B$23,2,0))&gt;1,"Quá hạn"&amp;" "&amp;(NETWORKDAYS(R99,S99,'Danh sách ngày nghỉ lễ'!$B$5:$B$25)-1-VLOOKUP(P99,'Thời hạn'!$A$17:$B$23,2,0))&amp;" "&amp;"ngày","")))))</f>
        <v/>
      </c>
      <c r="AA99" s="23">
        <v>1</v>
      </c>
    </row>
    <row r="100" spans="1:27" s="24" customFormat="1" ht="15.6" x14ac:dyDescent="0.3">
      <c r="A100" s="24">
        <v>1</v>
      </c>
      <c r="B100" s="85"/>
      <c r="C100" s="33"/>
      <c r="D100" s="25"/>
      <c r="E100" s="25"/>
      <c r="F100" s="34"/>
      <c r="G100" s="34"/>
      <c r="H100" s="25"/>
      <c r="I100" s="70" t="str">
        <f>IF(C100="Trả lại đơn vụ","",IF(C100="Trả lại đơn việc","",IF(C100="Hòa giải thành","",IF(F100=0,"",EDATE(F100,VLOOKUP(C100,'Thời hạn'!$A$1:$B$10,2,0))+H100))))</f>
        <v/>
      </c>
      <c r="J100" s="59" t="str">
        <f t="shared" ca="1" si="1"/>
        <v/>
      </c>
      <c r="K100" s="25"/>
      <c r="L100" s="129"/>
      <c r="M100" s="130"/>
      <c r="N100" s="35"/>
      <c r="O100" s="34"/>
      <c r="P100" s="25"/>
      <c r="Q100" s="25"/>
      <c r="R100" s="34"/>
      <c r="S100" s="34"/>
      <c r="T100" s="25"/>
      <c r="U100" s="25"/>
      <c r="V100" s="36"/>
      <c r="W100" s="86"/>
      <c r="X100" s="127"/>
      <c r="Y100" s="71" t="str">
        <f>IF(C100="Trả lại đơn vụ","",IF(C100="Trả lại đơn việc","",IF((NETWORKDAYS(F100,G100,'Danh sách ngày nghỉ lễ'!$B$5:$B$25)-1-3)&gt;0,"Quá hạn"&amp;" "&amp;(NETWORKDAYS(F100,G100,'Danh sách ngày nghỉ lễ'!$B$5:$B$25)-1-3)&amp;" "&amp;"ngày","")))</f>
        <v/>
      </c>
      <c r="Z100" s="72" t="str">
        <f>IF(S100=0,"",IF(P100="Chuyển","",IF(P100="Nhập vào vụ khác","",IF(P100="BA",IF((S100-R100)&gt;10,"Quá hạn"&amp;" "&amp;(S100-R100-10)&amp;" "&amp;"ngày",""),IF((NETWORKDAYS(R100,S100,'Danh sách ngày nghỉ lễ'!$B$5:$B$25)-VLOOKUP(P100,'Thời hạn'!$A$17:$B$23,2,0))&gt;1,"Quá hạn"&amp;" "&amp;(NETWORKDAYS(R100,S100,'Danh sách ngày nghỉ lễ'!$B$5:$B$25)-1-VLOOKUP(P100,'Thời hạn'!$A$17:$B$23,2,0))&amp;" "&amp;"ngày","")))))</f>
        <v/>
      </c>
      <c r="AA100" s="23">
        <v>1</v>
      </c>
    </row>
    <row r="101" spans="1:27" s="24" customFormat="1" ht="15.6" x14ac:dyDescent="0.3">
      <c r="A101" s="24">
        <v>1</v>
      </c>
      <c r="B101" s="85"/>
      <c r="C101" s="33"/>
      <c r="D101" s="25"/>
      <c r="E101" s="25"/>
      <c r="F101" s="34"/>
      <c r="G101" s="34"/>
      <c r="H101" s="25"/>
      <c r="I101" s="70" t="str">
        <f>IF(C101="Trả lại đơn vụ","",IF(C101="Trả lại đơn việc","",IF(C101="Hòa giải thành","",IF(F101=0,"",EDATE(F101,VLOOKUP(C101,'Thời hạn'!$A$1:$B$10,2,0))+H101))))</f>
        <v/>
      </c>
      <c r="J101" s="59" t="str">
        <f t="shared" ca="1" si="1"/>
        <v/>
      </c>
      <c r="K101" s="25"/>
      <c r="L101" s="129"/>
      <c r="M101" s="130"/>
      <c r="N101" s="35"/>
      <c r="O101" s="34"/>
      <c r="P101" s="25"/>
      <c r="Q101" s="25"/>
      <c r="R101" s="34"/>
      <c r="S101" s="34"/>
      <c r="T101" s="25"/>
      <c r="U101" s="25"/>
      <c r="V101" s="36"/>
      <c r="W101" s="86"/>
      <c r="X101" s="127"/>
      <c r="Y101" s="71" t="str">
        <f>IF(C101="Trả lại đơn vụ","",IF(C101="Trả lại đơn việc","",IF((NETWORKDAYS(F101,G101,'Danh sách ngày nghỉ lễ'!$B$5:$B$25)-1-3)&gt;0,"Quá hạn"&amp;" "&amp;(NETWORKDAYS(F101,G101,'Danh sách ngày nghỉ lễ'!$B$5:$B$25)-1-3)&amp;" "&amp;"ngày","")))</f>
        <v/>
      </c>
      <c r="Z101" s="72" t="str">
        <f>IF(S101=0,"",IF(P101="Chuyển","",IF(P101="Nhập vào vụ khác","",IF(P101="BA",IF((S101-R101)&gt;10,"Quá hạn"&amp;" "&amp;(S101-R101-10)&amp;" "&amp;"ngày",""),IF((NETWORKDAYS(R101,S101,'Danh sách ngày nghỉ lễ'!$B$5:$B$25)-VLOOKUP(P101,'Thời hạn'!$A$17:$B$23,2,0))&gt;1,"Quá hạn"&amp;" "&amp;(NETWORKDAYS(R101,S101,'Danh sách ngày nghỉ lễ'!$B$5:$B$25)-1-VLOOKUP(P101,'Thời hạn'!$A$17:$B$23,2,0))&amp;" "&amp;"ngày","")))))</f>
        <v/>
      </c>
      <c r="AA101" s="23">
        <v>1</v>
      </c>
    </row>
    <row r="102" spans="1:27" s="24" customFormat="1" ht="15.6" x14ac:dyDescent="0.3">
      <c r="A102" s="24">
        <v>1</v>
      </c>
      <c r="B102" s="85"/>
      <c r="C102" s="33"/>
      <c r="D102" s="25"/>
      <c r="E102" s="25"/>
      <c r="F102" s="34"/>
      <c r="G102" s="34"/>
      <c r="H102" s="25"/>
      <c r="I102" s="70" t="str">
        <f>IF(C102="Trả lại đơn vụ","",IF(C102="Trả lại đơn việc","",IF(C102="Hòa giải thành","",IF(F102=0,"",EDATE(F102,VLOOKUP(C102,'Thời hạn'!$A$1:$B$10,2,0))+H102))))</f>
        <v/>
      </c>
      <c r="J102" s="59" t="str">
        <f t="shared" ca="1" si="1"/>
        <v/>
      </c>
      <c r="K102" s="25"/>
      <c r="L102" s="129"/>
      <c r="M102" s="130"/>
      <c r="N102" s="35"/>
      <c r="O102" s="34"/>
      <c r="P102" s="25"/>
      <c r="Q102" s="25"/>
      <c r="R102" s="34"/>
      <c r="S102" s="34"/>
      <c r="T102" s="25"/>
      <c r="U102" s="25"/>
      <c r="V102" s="36"/>
      <c r="W102" s="86"/>
      <c r="X102" s="127"/>
      <c r="Y102" s="71" t="str">
        <f>IF(C102="Trả lại đơn vụ","",IF(C102="Trả lại đơn việc","",IF((NETWORKDAYS(F102,G102,'Danh sách ngày nghỉ lễ'!$B$5:$B$25)-1-3)&gt;0,"Quá hạn"&amp;" "&amp;(NETWORKDAYS(F102,G102,'Danh sách ngày nghỉ lễ'!$B$5:$B$25)-1-3)&amp;" "&amp;"ngày","")))</f>
        <v/>
      </c>
      <c r="Z102" s="72" t="str">
        <f>IF(S102=0,"",IF(P102="Chuyển","",IF(P102="Nhập vào vụ khác","",IF(P102="BA",IF((S102-R102)&gt;10,"Quá hạn"&amp;" "&amp;(S102-R102-10)&amp;" "&amp;"ngày",""),IF((NETWORKDAYS(R102,S102,'Danh sách ngày nghỉ lễ'!$B$5:$B$25)-VLOOKUP(P102,'Thời hạn'!$A$17:$B$23,2,0))&gt;1,"Quá hạn"&amp;" "&amp;(NETWORKDAYS(R102,S102,'Danh sách ngày nghỉ lễ'!$B$5:$B$25)-1-VLOOKUP(P102,'Thời hạn'!$A$17:$B$23,2,0))&amp;" "&amp;"ngày","")))))</f>
        <v/>
      </c>
      <c r="AA102" s="23">
        <v>1</v>
      </c>
    </row>
    <row r="103" spans="1:27" s="24" customFormat="1" ht="15.6" x14ac:dyDescent="0.3">
      <c r="A103" s="24">
        <v>1</v>
      </c>
      <c r="B103" s="85"/>
      <c r="C103" s="33"/>
      <c r="D103" s="25"/>
      <c r="E103" s="25"/>
      <c r="F103" s="34"/>
      <c r="G103" s="34"/>
      <c r="H103" s="25"/>
      <c r="I103" s="70" t="str">
        <f>IF(C103="Trả lại đơn vụ","",IF(C103="Trả lại đơn việc","",IF(C103="Hòa giải thành","",IF(F103=0,"",EDATE(F103,VLOOKUP(C103,'Thời hạn'!$A$1:$B$10,2,0))+H103))))</f>
        <v/>
      </c>
      <c r="J103" s="59" t="str">
        <f t="shared" ca="1" si="1"/>
        <v/>
      </c>
      <c r="K103" s="25"/>
      <c r="L103" s="129"/>
      <c r="M103" s="130"/>
      <c r="N103" s="35"/>
      <c r="O103" s="34"/>
      <c r="P103" s="25"/>
      <c r="Q103" s="25"/>
      <c r="R103" s="34"/>
      <c r="S103" s="34"/>
      <c r="T103" s="25"/>
      <c r="U103" s="25"/>
      <c r="V103" s="36"/>
      <c r="W103" s="86"/>
      <c r="X103" s="127"/>
      <c r="Y103" s="71" t="str">
        <f>IF(C103="Trả lại đơn vụ","",IF(C103="Trả lại đơn việc","",IF((NETWORKDAYS(F103,G103,'Danh sách ngày nghỉ lễ'!$B$5:$B$25)-1-3)&gt;0,"Quá hạn"&amp;" "&amp;(NETWORKDAYS(F103,G103,'Danh sách ngày nghỉ lễ'!$B$5:$B$25)-1-3)&amp;" "&amp;"ngày","")))</f>
        <v/>
      </c>
      <c r="Z103" s="72" t="str">
        <f>IF(S103=0,"",IF(P103="Chuyển","",IF(P103="Nhập vào vụ khác","",IF(P103="BA",IF((S103-R103)&gt;10,"Quá hạn"&amp;" "&amp;(S103-R103-10)&amp;" "&amp;"ngày",""),IF((NETWORKDAYS(R103,S103,'Danh sách ngày nghỉ lễ'!$B$5:$B$25)-VLOOKUP(P103,'Thời hạn'!$A$17:$B$23,2,0))&gt;1,"Quá hạn"&amp;" "&amp;(NETWORKDAYS(R103,S103,'Danh sách ngày nghỉ lễ'!$B$5:$B$25)-1-VLOOKUP(P103,'Thời hạn'!$A$17:$B$23,2,0))&amp;" "&amp;"ngày","")))))</f>
        <v/>
      </c>
      <c r="AA103" s="23">
        <v>1</v>
      </c>
    </row>
    <row r="104" spans="1:27" s="24" customFormat="1" ht="15.6" x14ac:dyDescent="0.3">
      <c r="A104" s="24">
        <v>1</v>
      </c>
      <c r="B104" s="85"/>
      <c r="C104" s="33"/>
      <c r="D104" s="25"/>
      <c r="E104" s="25"/>
      <c r="F104" s="34"/>
      <c r="G104" s="34"/>
      <c r="H104" s="25"/>
      <c r="I104" s="70" t="str">
        <f>IF(C104="Trả lại đơn vụ","",IF(C104="Trả lại đơn việc","",IF(C104="Hòa giải thành","",IF(F104=0,"",EDATE(F104,VLOOKUP(C104,'Thời hạn'!$A$1:$B$10,2,0))+H104))))</f>
        <v/>
      </c>
      <c r="J104" s="59" t="str">
        <f t="shared" ca="1" si="1"/>
        <v/>
      </c>
      <c r="K104" s="25"/>
      <c r="L104" s="129"/>
      <c r="M104" s="130"/>
      <c r="N104" s="35"/>
      <c r="O104" s="34"/>
      <c r="P104" s="25"/>
      <c r="Q104" s="25"/>
      <c r="R104" s="34"/>
      <c r="S104" s="34"/>
      <c r="T104" s="25"/>
      <c r="U104" s="25"/>
      <c r="V104" s="36"/>
      <c r="W104" s="86"/>
      <c r="X104" s="127"/>
      <c r="Y104" s="71" t="str">
        <f>IF(C104="Trả lại đơn vụ","",IF(C104="Trả lại đơn việc","",IF((NETWORKDAYS(F104,G104,'Danh sách ngày nghỉ lễ'!$B$5:$B$25)-1-3)&gt;0,"Quá hạn"&amp;" "&amp;(NETWORKDAYS(F104,G104,'Danh sách ngày nghỉ lễ'!$B$5:$B$25)-1-3)&amp;" "&amp;"ngày","")))</f>
        <v/>
      </c>
      <c r="Z104" s="72" t="str">
        <f>IF(S104=0,"",IF(P104="Chuyển","",IF(P104="Nhập vào vụ khác","",IF(P104="BA",IF((S104-R104)&gt;10,"Quá hạn"&amp;" "&amp;(S104-R104-10)&amp;" "&amp;"ngày",""),IF((NETWORKDAYS(R104,S104,'Danh sách ngày nghỉ lễ'!$B$5:$B$25)-VLOOKUP(P104,'Thời hạn'!$A$17:$B$23,2,0))&gt;1,"Quá hạn"&amp;" "&amp;(NETWORKDAYS(R104,S104,'Danh sách ngày nghỉ lễ'!$B$5:$B$25)-1-VLOOKUP(P104,'Thời hạn'!$A$17:$B$23,2,0))&amp;" "&amp;"ngày","")))))</f>
        <v/>
      </c>
      <c r="AA104" s="23">
        <v>1</v>
      </c>
    </row>
    <row r="105" spans="1:27" s="24" customFormat="1" ht="15.6" x14ac:dyDescent="0.3">
      <c r="A105" s="24">
        <v>1</v>
      </c>
      <c r="B105" s="85"/>
      <c r="C105" s="33"/>
      <c r="D105" s="25"/>
      <c r="E105" s="25"/>
      <c r="F105" s="34"/>
      <c r="G105" s="34"/>
      <c r="H105" s="25"/>
      <c r="I105" s="70" t="str">
        <f>IF(C105="Trả lại đơn vụ","",IF(C105="Trả lại đơn việc","",IF(C105="Hòa giải thành","",IF(F105=0,"",EDATE(F105,VLOOKUP(C105,'Thời hạn'!$A$1:$B$10,2,0))+H105))))</f>
        <v/>
      </c>
      <c r="J105" s="59" t="str">
        <f t="shared" ca="1" si="1"/>
        <v/>
      </c>
      <c r="K105" s="25"/>
      <c r="L105" s="129"/>
      <c r="M105" s="130"/>
      <c r="N105" s="35"/>
      <c r="O105" s="34"/>
      <c r="P105" s="25"/>
      <c r="Q105" s="25"/>
      <c r="R105" s="34"/>
      <c r="S105" s="34"/>
      <c r="T105" s="25"/>
      <c r="U105" s="25"/>
      <c r="V105" s="36"/>
      <c r="W105" s="86"/>
      <c r="X105" s="127"/>
      <c r="Y105" s="71" t="str">
        <f>IF(C105="Trả lại đơn vụ","",IF(C105="Trả lại đơn việc","",IF((NETWORKDAYS(F105,G105,'Danh sách ngày nghỉ lễ'!$B$5:$B$25)-1-3)&gt;0,"Quá hạn"&amp;" "&amp;(NETWORKDAYS(F105,G105,'Danh sách ngày nghỉ lễ'!$B$5:$B$25)-1-3)&amp;" "&amp;"ngày","")))</f>
        <v/>
      </c>
      <c r="Z105" s="72" t="str">
        <f>IF(S105=0,"",IF(P105="Chuyển","",IF(P105="Nhập vào vụ khác","",IF(P105="BA",IF((S105-R105)&gt;10,"Quá hạn"&amp;" "&amp;(S105-R105-10)&amp;" "&amp;"ngày",""),IF((NETWORKDAYS(R105,S105,'Danh sách ngày nghỉ lễ'!$B$5:$B$25)-VLOOKUP(P105,'Thời hạn'!$A$17:$B$23,2,0))&gt;1,"Quá hạn"&amp;" "&amp;(NETWORKDAYS(R105,S105,'Danh sách ngày nghỉ lễ'!$B$5:$B$25)-1-VLOOKUP(P105,'Thời hạn'!$A$17:$B$23,2,0))&amp;" "&amp;"ngày","")))))</f>
        <v/>
      </c>
      <c r="AA105" s="23">
        <v>1</v>
      </c>
    </row>
    <row r="106" spans="1:27" s="24" customFormat="1" ht="15.6" x14ac:dyDescent="0.3">
      <c r="A106" s="24">
        <v>1</v>
      </c>
      <c r="B106" s="85"/>
      <c r="C106" s="33"/>
      <c r="D106" s="25"/>
      <c r="E106" s="25"/>
      <c r="F106" s="34"/>
      <c r="G106" s="34"/>
      <c r="H106" s="25"/>
      <c r="I106" s="70" t="str">
        <f>IF(C106="Trả lại đơn vụ","",IF(C106="Trả lại đơn việc","",IF(C106="Hòa giải thành","",IF(F106=0,"",EDATE(F106,VLOOKUP(C106,'Thời hạn'!$A$1:$B$10,2,0))+H106))))</f>
        <v/>
      </c>
      <c r="J106" s="59" t="str">
        <f t="shared" ca="1" si="1"/>
        <v/>
      </c>
      <c r="K106" s="25"/>
      <c r="L106" s="129"/>
      <c r="M106" s="130"/>
      <c r="N106" s="35"/>
      <c r="O106" s="34"/>
      <c r="P106" s="25"/>
      <c r="Q106" s="25"/>
      <c r="R106" s="34"/>
      <c r="S106" s="34"/>
      <c r="T106" s="25"/>
      <c r="U106" s="25"/>
      <c r="V106" s="36"/>
      <c r="W106" s="86"/>
      <c r="X106" s="127"/>
      <c r="Y106" s="71" t="str">
        <f>IF(C106="Trả lại đơn vụ","",IF(C106="Trả lại đơn việc","",IF((NETWORKDAYS(F106,G106,'Danh sách ngày nghỉ lễ'!$B$5:$B$25)-1-3)&gt;0,"Quá hạn"&amp;" "&amp;(NETWORKDAYS(F106,G106,'Danh sách ngày nghỉ lễ'!$B$5:$B$25)-1-3)&amp;" "&amp;"ngày","")))</f>
        <v/>
      </c>
      <c r="Z106" s="72" t="str">
        <f>IF(S106=0,"",IF(P106="Chuyển","",IF(P106="Nhập vào vụ khác","",IF(P106="BA",IF((S106-R106)&gt;10,"Quá hạn"&amp;" "&amp;(S106-R106-10)&amp;" "&amp;"ngày",""),IF((NETWORKDAYS(R106,S106,'Danh sách ngày nghỉ lễ'!$B$5:$B$25)-VLOOKUP(P106,'Thời hạn'!$A$17:$B$23,2,0))&gt;1,"Quá hạn"&amp;" "&amp;(NETWORKDAYS(R106,S106,'Danh sách ngày nghỉ lễ'!$B$5:$B$25)-1-VLOOKUP(P106,'Thời hạn'!$A$17:$B$23,2,0))&amp;" "&amp;"ngày","")))))</f>
        <v/>
      </c>
      <c r="AA106" s="23">
        <v>1</v>
      </c>
    </row>
    <row r="107" spans="1:27" s="24" customFormat="1" ht="15.6" x14ac:dyDescent="0.3">
      <c r="A107" s="24">
        <v>1</v>
      </c>
      <c r="B107" s="85"/>
      <c r="C107" s="33"/>
      <c r="D107" s="25"/>
      <c r="E107" s="25"/>
      <c r="F107" s="34"/>
      <c r="G107" s="34"/>
      <c r="H107" s="25"/>
      <c r="I107" s="70" t="str">
        <f>IF(C107="Trả lại đơn vụ","",IF(C107="Trả lại đơn việc","",IF(C107="Hòa giải thành","",IF(F107=0,"",EDATE(F107,VLOOKUP(C107,'Thời hạn'!$A$1:$B$10,2,0))+H107))))</f>
        <v/>
      </c>
      <c r="J107" s="59" t="str">
        <f t="shared" ca="1" si="1"/>
        <v/>
      </c>
      <c r="K107" s="25"/>
      <c r="L107" s="129"/>
      <c r="M107" s="130"/>
      <c r="N107" s="35"/>
      <c r="O107" s="34"/>
      <c r="P107" s="25"/>
      <c r="Q107" s="25"/>
      <c r="R107" s="34"/>
      <c r="S107" s="34"/>
      <c r="T107" s="25"/>
      <c r="U107" s="25"/>
      <c r="V107" s="36"/>
      <c r="W107" s="86"/>
      <c r="X107" s="127"/>
      <c r="Y107" s="71" t="str">
        <f>IF(C107="Trả lại đơn vụ","",IF(C107="Trả lại đơn việc","",IF((NETWORKDAYS(F107,G107,'Danh sách ngày nghỉ lễ'!$B$5:$B$25)-1-3)&gt;0,"Quá hạn"&amp;" "&amp;(NETWORKDAYS(F107,G107,'Danh sách ngày nghỉ lễ'!$B$5:$B$25)-1-3)&amp;" "&amp;"ngày","")))</f>
        <v/>
      </c>
      <c r="Z107" s="72" t="str">
        <f>IF(S107=0,"",IF(P107="Chuyển","",IF(P107="Nhập vào vụ khác","",IF(P107="BA",IF((S107-R107)&gt;10,"Quá hạn"&amp;" "&amp;(S107-R107-10)&amp;" "&amp;"ngày",""),IF((NETWORKDAYS(R107,S107,'Danh sách ngày nghỉ lễ'!$B$5:$B$25)-VLOOKUP(P107,'Thời hạn'!$A$17:$B$23,2,0))&gt;1,"Quá hạn"&amp;" "&amp;(NETWORKDAYS(R107,S107,'Danh sách ngày nghỉ lễ'!$B$5:$B$25)-1-VLOOKUP(P107,'Thời hạn'!$A$17:$B$23,2,0))&amp;" "&amp;"ngày","")))))</f>
        <v/>
      </c>
      <c r="AA107" s="23">
        <v>1</v>
      </c>
    </row>
    <row r="108" spans="1:27" s="24" customFormat="1" ht="15.6" x14ac:dyDescent="0.3">
      <c r="A108" s="24">
        <v>1</v>
      </c>
      <c r="B108" s="85"/>
      <c r="C108" s="33"/>
      <c r="D108" s="25"/>
      <c r="E108" s="25"/>
      <c r="F108" s="34"/>
      <c r="G108" s="34"/>
      <c r="H108" s="25"/>
      <c r="I108" s="70" t="str">
        <f>IF(C108="Trả lại đơn vụ","",IF(C108="Trả lại đơn việc","",IF(C108="Hòa giải thành","",IF(F108=0,"",EDATE(F108,VLOOKUP(C108,'Thời hạn'!$A$1:$B$10,2,0))+H108))))</f>
        <v/>
      </c>
      <c r="J108" s="59" t="str">
        <f t="shared" ca="1" si="1"/>
        <v/>
      </c>
      <c r="K108" s="25"/>
      <c r="L108" s="129"/>
      <c r="M108" s="130"/>
      <c r="N108" s="35"/>
      <c r="O108" s="34"/>
      <c r="P108" s="25"/>
      <c r="Q108" s="25"/>
      <c r="R108" s="34"/>
      <c r="S108" s="34"/>
      <c r="T108" s="25"/>
      <c r="U108" s="25"/>
      <c r="V108" s="36"/>
      <c r="W108" s="86"/>
      <c r="X108" s="127"/>
      <c r="Y108" s="71" t="str">
        <f>IF(C108="Trả lại đơn vụ","",IF(C108="Trả lại đơn việc","",IF((NETWORKDAYS(F108,G108,'Danh sách ngày nghỉ lễ'!$B$5:$B$25)-1-3)&gt;0,"Quá hạn"&amp;" "&amp;(NETWORKDAYS(F108,G108,'Danh sách ngày nghỉ lễ'!$B$5:$B$25)-1-3)&amp;" "&amp;"ngày","")))</f>
        <v/>
      </c>
      <c r="Z108" s="72" t="str">
        <f>IF(S108=0,"",IF(P108="Chuyển","",IF(P108="Nhập vào vụ khác","",IF(P108="BA",IF((S108-R108)&gt;10,"Quá hạn"&amp;" "&amp;(S108-R108-10)&amp;" "&amp;"ngày",""),IF((NETWORKDAYS(R108,S108,'Danh sách ngày nghỉ lễ'!$B$5:$B$25)-VLOOKUP(P108,'Thời hạn'!$A$17:$B$23,2,0))&gt;1,"Quá hạn"&amp;" "&amp;(NETWORKDAYS(R108,S108,'Danh sách ngày nghỉ lễ'!$B$5:$B$25)-1-VLOOKUP(P108,'Thời hạn'!$A$17:$B$23,2,0))&amp;" "&amp;"ngày","")))))</f>
        <v/>
      </c>
      <c r="AA108" s="23">
        <v>1</v>
      </c>
    </row>
    <row r="109" spans="1:27" s="24" customFormat="1" ht="15.6" x14ac:dyDescent="0.3">
      <c r="A109" s="24">
        <v>1</v>
      </c>
      <c r="B109" s="85"/>
      <c r="C109" s="33"/>
      <c r="D109" s="25"/>
      <c r="E109" s="25"/>
      <c r="F109" s="34"/>
      <c r="G109" s="34"/>
      <c r="H109" s="25"/>
      <c r="I109" s="70" t="str">
        <f>IF(C109="Trả lại đơn vụ","",IF(C109="Trả lại đơn việc","",IF(C109="Hòa giải thành","",IF(F109=0,"",EDATE(F109,VLOOKUP(C109,'Thời hạn'!$A$1:$B$10,2,0))+H109))))</f>
        <v/>
      </c>
      <c r="J109" s="59" t="str">
        <f t="shared" ca="1" si="1"/>
        <v/>
      </c>
      <c r="K109" s="25"/>
      <c r="L109" s="129"/>
      <c r="M109" s="130"/>
      <c r="N109" s="35"/>
      <c r="O109" s="34"/>
      <c r="P109" s="25"/>
      <c r="Q109" s="25"/>
      <c r="R109" s="34"/>
      <c r="S109" s="34"/>
      <c r="T109" s="25"/>
      <c r="U109" s="25"/>
      <c r="V109" s="36"/>
      <c r="W109" s="86"/>
      <c r="X109" s="127"/>
      <c r="Y109" s="71" t="str">
        <f>IF(C109="Trả lại đơn vụ","",IF(C109="Trả lại đơn việc","",IF((NETWORKDAYS(F109,G109,'Danh sách ngày nghỉ lễ'!$B$5:$B$25)-1-3)&gt;0,"Quá hạn"&amp;" "&amp;(NETWORKDAYS(F109,G109,'Danh sách ngày nghỉ lễ'!$B$5:$B$25)-1-3)&amp;" "&amp;"ngày","")))</f>
        <v/>
      </c>
      <c r="Z109" s="72" t="str">
        <f>IF(S109=0,"",IF(P109="Chuyển","",IF(P109="Nhập vào vụ khác","",IF(P109="BA",IF((S109-R109)&gt;10,"Quá hạn"&amp;" "&amp;(S109-R109-10)&amp;" "&amp;"ngày",""),IF((NETWORKDAYS(R109,S109,'Danh sách ngày nghỉ lễ'!$B$5:$B$25)-VLOOKUP(P109,'Thời hạn'!$A$17:$B$23,2,0))&gt;1,"Quá hạn"&amp;" "&amp;(NETWORKDAYS(R109,S109,'Danh sách ngày nghỉ lễ'!$B$5:$B$25)-1-VLOOKUP(P109,'Thời hạn'!$A$17:$B$23,2,0))&amp;" "&amp;"ngày","")))))</f>
        <v/>
      </c>
      <c r="AA109" s="23">
        <v>1</v>
      </c>
    </row>
    <row r="110" spans="1:27" s="24" customFormat="1" ht="15.6" x14ac:dyDescent="0.3">
      <c r="A110" s="24">
        <v>1</v>
      </c>
      <c r="B110" s="85"/>
      <c r="C110" s="33"/>
      <c r="D110" s="25"/>
      <c r="E110" s="25"/>
      <c r="F110" s="34"/>
      <c r="G110" s="34"/>
      <c r="H110" s="25"/>
      <c r="I110" s="70" t="str">
        <f>IF(C110="Trả lại đơn vụ","",IF(C110="Trả lại đơn việc","",IF(C110="Hòa giải thành","",IF(F110=0,"",EDATE(F110,VLOOKUP(C110,'Thời hạn'!$A$1:$B$10,2,0))+H110))))</f>
        <v/>
      </c>
      <c r="J110" s="59" t="str">
        <f t="shared" ca="1" si="1"/>
        <v/>
      </c>
      <c r="K110" s="25"/>
      <c r="L110" s="129"/>
      <c r="M110" s="130"/>
      <c r="N110" s="35"/>
      <c r="O110" s="34"/>
      <c r="P110" s="25"/>
      <c r="Q110" s="25"/>
      <c r="R110" s="34"/>
      <c r="S110" s="34"/>
      <c r="T110" s="25"/>
      <c r="U110" s="25"/>
      <c r="V110" s="36"/>
      <c r="W110" s="86"/>
      <c r="X110" s="127"/>
      <c r="Y110" s="71" t="str">
        <f>IF(C110="Trả lại đơn vụ","",IF(C110="Trả lại đơn việc","",IF((NETWORKDAYS(F110,G110,'Danh sách ngày nghỉ lễ'!$B$5:$B$25)-1-3)&gt;0,"Quá hạn"&amp;" "&amp;(NETWORKDAYS(F110,G110,'Danh sách ngày nghỉ lễ'!$B$5:$B$25)-1-3)&amp;" "&amp;"ngày","")))</f>
        <v/>
      </c>
      <c r="Z110" s="72" t="str">
        <f>IF(S110=0,"",IF(P110="Chuyển","",IF(P110="Nhập vào vụ khác","",IF(P110="BA",IF((S110-R110)&gt;10,"Quá hạn"&amp;" "&amp;(S110-R110-10)&amp;" "&amp;"ngày",""),IF((NETWORKDAYS(R110,S110,'Danh sách ngày nghỉ lễ'!$B$5:$B$25)-VLOOKUP(P110,'Thời hạn'!$A$17:$B$23,2,0))&gt;1,"Quá hạn"&amp;" "&amp;(NETWORKDAYS(R110,S110,'Danh sách ngày nghỉ lễ'!$B$5:$B$25)-1-VLOOKUP(P110,'Thời hạn'!$A$17:$B$23,2,0))&amp;" "&amp;"ngày","")))))</f>
        <v/>
      </c>
      <c r="AA110" s="23">
        <v>1</v>
      </c>
    </row>
    <row r="111" spans="1:27" s="24" customFormat="1" ht="15.6" x14ac:dyDescent="0.3">
      <c r="A111" s="24">
        <v>1</v>
      </c>
      <c r="B111" s="85"/>
      <c r="C111" s="33"/>
      <c r="D111" s="25"/>
      <c r="E111" s="25"/>
      <c r="F111" s="34"/>
      <c r="G111" s="34"/>
      <c r="H111" s="25"/>
      <c r="I111" s="70" t="str">
        <f>IF(C111="Trả lại đơn vụ","",IF(C111="Trả lại đơn việc","",IF(C111="Hòa giải thành","",IF(F111=0,"",EDATE(F111,VLOOKUP(C111,'Thời hạn'!$A$1:$B$10,2,0))+H111))))</f>
        <v/>
      </c>
      <c r="J111" s="59" t="str">
        <f t="shared" ca="1" si="1"/>
        <v/>
      </c>
      <c r="K111" s="25"/>
      <c r="L111" s="129"/>
      <c r="M111" s="130"/>
      <c r="N111" s="35"/>
      <c r="O111" s="34"/>
      <c r="P111" s="25"/>
      <c r="Q111" s="25"/>
      <c r="R111" s="34"/>
      <c r="S111" s="34"/>
      <c r="T111" s="25"/>
      <c r="U111" s="25"/>
      <c r="V111" s="36"/>
      <c r="W111" s="86"/>
      <c r="X111" s="127"/>
      <c r="Y111" s="71" t="str">
        <f>IF(C111="Trả lại đơn vụ","",IF(C111="Trả lại đơn việc","",IF((NETWORKDAYS(F111,G111,'Danh sách ngày nghỉ lễ'!$B$5:$B$25)-1-3)&gt;0,"Quá hạn"&amp;" "&amp;(NETWORKDAYS(F111,G111,'Danh sách ngày nghỉ lễ'!$B$5:$B$25)-1-3)&amp;" "&amp;"ngày","")))</f>
        <v/>
      </c>
      <c r="Z111" s="72" t="str">
        <f>IF(S111=0,"",IF(P111="Chuyển","",IF(P111="Nhập vào vụ khác","",IF(P111="BA",IF((S111-R111)&gt;10,"Quá hạn"&amp;" "&amp;(S111-R111-10)&amp;" "&amp;"ngày",""),IF((NETWORKDAYS(R111,S111,'Danh sách ngày nghỉ lễ'!$B$5:$B$25)-VLOOKUP(P111,'Thời hạn'!$A$17:$B$23,2,0))&gt;1,"Quá hạn"&amp;" "&amp;(NETWORKDAYS(R111,S111,'Danh sách ngày nghỉ lễ'!$B$5:$B$25)-1-VLOOKUP(P111,'Thời hạn'!$A$17:$B$23,2,0))&amp;" "&amp;"ngày","")))))</f>
        <v/>
      </c>
      <c r="AA111" s="23">
        <v>1</v>
      </c>
    </row>
    <row r="112" spans="1:27" s="24" customFormat="1" ht="15.6" x14ac:dyDescent="0.3">
      <c r="A112" s="24">
        <v>1</v>
      </c>
      <c r="B112" s="85"/>
      <c r="C112" s="33"/>
      <c r="D112" s="25"/>
      <c r="E112" s="25"/>
      <c r="F112" s="34"/>
      <c r="G112" s="34"/>
      <c r="H112" s="25"/>
      <c r="I112" s="70" t="str">
        <f>IF(C112="Trả lại đơn vụ","",IF(C112="Trả lại đơn việc","",IF(C112="Hòa giải thành","",IF(F112=0,"",EDATE(F112,VLOOKUP(C112,'Thời hạn'!$A$1:$B$10,2,0))+H112))))</f>
        <v/>
      </c>
      <c r="J112" s="59" t="str">
        <f t="shared" ca="1" si="1"/>
        <v/>
      </c>
      <c r="K112" s="25"/>
      <c r="L112" s="129"/>
      <c r="M112" s="130"/>
      <c r="N112" s="35"/>
      <c r="O112" s="34"/>
      <c r="P112" s="25"/>
      <c r="Q112" s="25"/>
      <c r="R112" s="34"/>
      <c r="S112" s="34"/>
      <c r="T112" s="25"/>
      <c r="U112" s="25"/>
      <c r="V112" s="36"/>
      <c r="W112" s="86"/>
      <c r="X112" s="127"/>
      <c r="Y112" s="71" t="str">
        <f>IF(C112="Trả lại đơn vụ","",IF(C112="Trả lại đơn việc","",IF((NETWORKDAYS(F112,G112,'Danh sách ngày nghỉ lễ'!$B$5:$B$25)-1-3)&gt;0,"Quá hạn"&amp;" "&amp;(NETWORKDAYS(F112,G112,'Danh sách ngày nghỉ lễ'!$B$5:$B$25)-1-3)&amp;" "&amp;"ngày","")))</f>
        <v/>
      </c>
      <c r="Z112" s="72" t="str">
        <f>IF(S112=0,"",IF(P112="Chuyển","",IF(P112="Nhập vào vụ khác","",IF(P112="BA",IF((S112-R112)&gt;10,"Quá hạn"&amp;" "&amp;(S112-R112-10)&amp;" "&amp;"ngày",""),IF((NETWORKDAYS(R112,S112,'Danh sách ngày nghỉ lễ'!$B$5:$B$25)-VLOOKUP(P112,'Thời hạn'!$A$17:$B$23,2,0))&gt;1,"Quá hạn"&amp;" "&amp;(NETWORKDAYS(R112,S112,'Danh sách ngày nghỉ lễ'!$B$5:$B$25)-1-VLOOKUP(P112,'Thời hạn'!$A$17:$B$23,2,0))&amp;" "&amp;"ngày","")))))</f>
        <v/>
      </c>
      <c r="AA112" s="23">
        <v>1</v>
      </c>
    </row>
    <row r="113" spans="1:27" s="24" customFormat="1" ht="15.6" x14ac:dyDescent="0.3">
      <c r="A113" s="24">
        <v>1</v>
      </c>
      <c r="B113" s="85"/>
      <c r="C113" s="33"/>
      <c r="D113" s="25"/>
      <c r="E113" s="25"/>
      <c r="F113" s="34"/>
      <c r="G113" s="34"/>
      <c r="H113" s="25"/>
      <c r="I113" s="70" t="str">
        <f>IF(C113="Trả lại đơn vụ","",IF(C113="Trả lại đơn việc","",IF(C113="Hòa giải thành","",IF(F113=0,"",EDATE(F113,VLOOKUP(C113,'Thời hạn'!$A$1:$B$10,2,0))+H113))))</f>
        <v/>
      </c>
      <c r="J113" s="59" t="str">
        <f t="shared" ca="1" si="1"/>
        <v/>
      </c>
      <c r="K113" s="25"/>
      <c r="L113" s="129"/>
      <c r="M113" s="130"/>
      <c r="N113" s="35"/>
      <c r="O113" s="34"/>
      <c r="P113" s="25"/>
      <c r="Q113" s="25"/>
      <c r="R113" s="34"/>
      <c r="S113" s="34"/>
      <c r="T113" s="25"/>
      <c r="U113" s="25"/>
      <c r="V113" s="36"/>
      <c r="W113" s="86"/>
      <c r="X113" s="127"/>
      <c r="Y113" s="71" t="str">
        <f>IF(C113="Trả lại đơn vụ","",IF(C113="Trả lại đơn việc","",IF((NETWORKDAYS(F113,G113,'Danh sách ngày nghỉ lễ'!$B$5:$B$25)-1-3)&gt;0,"Quá hạn"&amp;" "&amp;(NETWORKDAYS(F113,G113,'Danh sách ngày nghỉ lễ'!$B$5:$B$25)-1-3)&amp;" "&amp;"ngày","")))</f>
        <v/>
      </c>
      <c r="Z113" s="72" t="str">
        <f>IF(S113=0,"",IF(P113="Chuyển","",IF(P113="Nhập vào vụ khác","",IF(P113="BA",IF((S113-R113)&gt;10,"Quá hạn"&amp;" "&amp;(S113-R113-10)&amp;" "&amp;"ngày",""),IF((NETWORKDAYS(R113,S113,'Danh sách ngày nghỉ lễ'!$B$5:$B$25)-VLOOKUP(P113,'Thời hạn'!$A$17:$B$23,2,0))&gt;1,"Quá hạn"&amp;" "&amp;(NETWORKDAYS(R113,S113,'Danh sách ngày nghỉ lễ'!$B$5:$B$25)-1-VLOOKUP(P113,'Thời hạn'!$A$17:$B$23,2,0))&amp;" "&amp;"ngày","")))))</f>
        <v/>
      </c>
      <c r="AA113" s="23">
        <v>1</v>
      </c>
    </row>
    <row r="114" spans="1:27" s="24" customFormat="1" ht="15.6" x14ac:dyDescent="0.3">
      <c r="A114" s="24">
        <v>1</v>
      </c>
      <c r="B114" s="85"/>
      <c r="C114" s="33"/>
      <c r="D114" s="25"/>
      <c r="E114" s="25"/>
      <c r="F114" s="34"/>
      <c r="G114" s="34"/>
      <c r="H114" s="25"/>
      <c r="I114" s="70" t="str">
        <f>IF(C114="Trả lại đơn vụ","",IF(C114="Trả lại đơn việc","",IF(C114="Hòa giải thành","",IF(F114=0,"",EDATE(F114,VLOOKUP(C114,'Thời hạn'!$A$1:$B$10,2,0))+H114))))</f>
        <v/>
      </c>
      <c r="J114" s="59" t="str">
        <f t="shared" ca="1" si="1"/>
        <v/>
      </c>
      <c r="K114" s="25"/>
      <c r="L114" s="129"/>
      <c r="M114" s="130"/>
      <c r="N114" s="35"/>
      <c r="O114" s="34"/>
      <c r="P114" s="25"/>
      <c r="Q114" s="25"/>
      <c r="R114" s="34"/>
      <c r="S114" s="34"/>
      <c r="T114" s="25"/>
      <c r="U114" s="25"/>
      <c r="V114" s="36"/>
      <c r="W114" s="86"/>
      <c r="X114" s="127"/>
      <c r="Y114" s="71" t="str">
        <f>IF(C114="Trả lại đơn vụ","",IF(C114="Trả lại đơn việc","",IF((NETWORKDAYS(F114,G114,'Danh sách ngày nghỉ lễ'!$B$5:$B$25)-1-3)&gt;0,"Quá hạn"&amp;" "&amp;(NETWORKDAYS(F114,G114,'Danh sách ngày nghỉ lễ'!$B$5:$B$25)-1-3)&amp;" "&amp;"ngày","")))</f>
        <v/>
      </c>
      <c r="Z114" s="72" t="str">
        <f>IF(S114=0,"",IF(P114="Chuyển","",IF(P114="Nhập vào vụ khác","",IF(P114="BA",IF((S114-R114)&gt;10,"Quá hạn"&amp;" "&amp;(S114-R114-10)&amp;" "&amp;"ngày",""),IF((NETWORKDAYS(R114,S114,'Danh sách ngày nghỉ lễ'!$B$5:$B$25)-VLOOKUP(P114,'Thời hạn'!$A$17:$B$23,2,0))&gt;1,"Quá hạn"&amp;" "&amp;(NETWORKDAYS(R114,S114,'Danh sách ngày nghỉ lễ'!$B$5:$B$25)-1-VLOOKUP(P114,'Thời hạn'!$A$17:$B$23,2,0))&amp;" "&amp;"ngày","")))))</f>
        <v/>
      </c>
      <c r="AA114" s="23">
        <v>1</v>
      </c>
    </row>
    <row r="115" spans="1:27" s="24" customFormat="1" ht="15.6" x14ac:dyDescent="0.3">
      <c r="A115" s="24">
        <v>1</v>
      </c>
      <c r="B115" s="85"/>
      <c r="C115" s="33"/>
      <c r="D115" s="25"/>
      <c r="E115" s="25"/>
      <c r="F115" s="34"/>
      <c r="G115" s="34"/>
      <c r="H115" s="25"/>
      <c r="I115" s="70" t="str">
        <f>IF(C115="Trả lại đơn vụ","",IF(C115="Trả lại đơn việc","",IF(C115="Hòa giải thành","",IF(F115=0,"",EDATE(F115,VLOOKUP(C115,'Thời hạn'!$A$1:$B$10,2,0))+H115))))</f>
        <v/>
      </c>
      <c r="J115" s="59" t="str">
        <f t="shared" ca="1" si="1"/>
        <v/>
      </c>
      <c r="K115" s="25"/>
      <c r="L115" s="129"/>
      <c r="M115" s="130"/>
      <c r="N115" s="35"/>
      <c r="O115" s="34"/>
      <c r="P115" s="25"/>
      <c r="Q115" s="25"/>
      <c r="R115" s="34"/>
      <c r="S115" s="34"/>
      <c r="T115" s="25"/>
      <c r="U115" s="25"/>
      <c r="V115" s="36"/>
      <c r="W115" s="86"/>
      <c r="X115" s="127"/>
      <c r="Y115" s="71" t="str">
        <f>IF(C115="Trả lại đơn vụ","",IF(C115="Trả lại đơn việc","",IF((NETWORKDAYS(F115,G115,'Danh sách ngày nghỉ lễ'!$B$5:$B$25)-1-3)&gt;0,"Quá hạn"&amp;" "&amp;(NETWORKDAYS(F115,G115,'Danh sách ngày nghỉ lễ'!$B$5:$B$25)-1-3)&amp;" "&amp;"ngày","")))</f>
        <v/>
      </c>
      <c r="Z115" s="72" t="str">
        <f>IF(S115=0,"",IF(P115="Chuyển","",IF(P115="Nhập vào vụ khác","",IF(P115="BA",IF((S115-R115)&gt;10,"Quá hạn"&amp;" "&amp;(S115-R115-10)&amp;" "&amp;"ngày",""),IF((NETWORKDAYS(R115,S115,'Danh sách ngày nghỉ lễ'!$B$5:$B$25)-VLOOKUP(P115,'Thời hạn'!$A$17:$B$23,2,0))&gt;1,"Quá hạn"&amp;" "&amp;(NETWORKDAYS(R115,S115,'Danh sách ngày nghỉ lễ'!$B$5:$B$25)-1-VLOOKUP(P115,'Thời hạn'!$A$17:$B$23,2,0))&amp;" "&amp;"ngày","")))))</f>
        <v/>
      </c>
      <c r="AA115" s="23">
        <v>1</v>
      </c>
    </row>
    <row r="116" spans="1:27" s="24" customFormat="1" ht="15.6" x14ac:dyDescent="0.3">
      <c r="A116" s="24">
        <v>1</v>
      </c>
      <c r="B116" s="85"/>
      <c r="C116" s="33"/>
      <c r="D116" s="25"/>
      <c r="E116" s="25"/>
      <c r="F116" s="34"/>
      <c r="G116" s="34"/>
      <c r="H116" s="25"/>
      <c r="I116" s="70" t="str">
        <f>IF(C116="Trả lại đơn vụ","",IF(C116="Trả lại đơn việc","",IF(C116="Hòa giải thành","",IF(F116=0,"",EDATE(F116,VLOOKUP(C116,'Thời hạn'!$A$1:$B$10,2,0))+H116))))</f>
        <v/>
      </c>
      <c r="J116" s="59" t="str">
        <f t="shared" ca="1" si="1"/>
        <v/>
      </c>
      <c r="K116" s="25"/>
      <c r="L116" s="129"/>
      <c r="M116" s="130"/>
      <c r="N116" s="35"/>
      <c r="O116" s="34"/>
      <c r="P116" s="25"/>
      <c r="Q116" s="25"/>
      <c r="R116" s="34"/>
      <c r="S116" s="34"/>
      <c r="T116" s="25"/>
      <c r="U116" s="25"/>
      <c r="V116" s="36"/>
      <c r="W116" s="86"/>
      <c r="X116" s="127"/>
      <c r="Y116" s="71" t="str">
        <f>IF(C116="Trả lại đơn vụ","",IF(C116="Trả lại đơn việc","",IF((NETWORKDAYS(F116,G116,'Danh sách ngày nghỉ lễ'!$B$5:$B$25)-1-3)&gt;0,"Quá hạn"&amp;" "&amp;(NETWORKDAYS(F116,G116,'Danh sách ngày nghỉ lễ'!$B$5:$B$25)-1-3)&amp;" "&amp;"ngày","")))</f>
        <v/>
      </c>
      <c r="Z116" s="72" t="str">
        <f>IF(S116=0,"",IF(P116="Chuyển","",IF(P116="Nhập vào vụ khác","",IF(P116="BA",IF((S116-R116)&gt;10,"Quá hạn"&amp;" "&amp;(S116-R116-10)&amp;" "&amp;"ngày",""),IF((NETWORKDAYS(R116,S116,'Danh sách ngày nghỉ lễ'!$B$5:$B$25)-VLOOKUP(P116,'Thời hạn'!$A$17:$B$23,2,0))&gt;1,"Quá hạn"&amp;" "&amp;(NETWORKDAYS(R116,S116,'Danh sách ngày nghỉ lễ'!$B$5:$B$25)-1-VLOOKUP(P116,'Thời hạn'!$A$17:$B$23,2,0))&amp;" "&amp;"ngày","")))))</f>
        <v/>
      </c>
      <c r="AA116" s="23">
        <v>1</v>
      </c>
    </row>
    <row r="117" spans="1:27" s="24" customFormat="1" ht="15.6" x14ac:dyDescent="0.3">
      <c r="A117" s="24">
        <v>1</v>
      </c>
      <c r="B117" s="85"/>
      <c r="C117" s="33"/>
      <c r="D117" s="25"/>
      <c r="E117" s="25"/>
      <c r="F117" s="34"/>
      <c r="G117" s="34"/>
      <c r="H117" s="25"/>
      <c r="I117" s="70" t="str">
        <f>IF(C117="Trả lại đơn vụ","",IF(C117="Trả lại đơn việc","",IF(C117="Hòa giải thành","",IF(F117=0,"",EDATE(F117,VLOOKUP(C117,'Thời hạn'!$A$1:$B$10,2,0))+H117))))</f>
        <v/>
      </c>
      <c r="J117" s="59" t="str">
        <f t="shared" ca="1" si="1"/>
        <v/>
      </c>
      <c r="K117" s="25"/>
      <c r="L117" s="129"/>
      <c r="M117" s="130"/>
      <c r="N117" s="35"/>
      <c r="O117" s="34"/>
      <c r="P117" s="25"/>
      <c r="Q117" s="25"/>
      <c r="R117" s="34"/>
      <c r="S117" s="34"/>
      <c r="T117" s="25"/>
      <c r="U117" s="25"/>
      <c r="V117" s="36"/>
      <c r="W117" s="86"/>
      <c r="X117" s="127"/>
      <c r="Y117" s="71" t="str">
        <f>IF(C117="Trả lại đơn vụ","",IF(C117="Trả lại đơn việc","",IF((NETWORKDAYS(F117,G117,'Danh sách ngày nghỉ lễ'!$B$5:$B$25)-1-3)&gt;0,"Quá hạn"&amp;" "&amp;(NETWORKDAYS(F117,G117,'Danh sách ngày nghỉ lễ'!$B$5:$B$25)-1-3)&amp;" "&amp;"ngày","")))</f>
        <v/>
      </c>
      <c r="Z117" s="72" t="str">
        <f>IF(S117=0,"",IF(P117="Chuyển","",IF(P117="Nhập vào vụ khác","",IF(P117="BA",IF((S117-R117)&gt;10,"Quá hạn"&amp;" "&amp;(S117-R117-10)&amp;" "&amp;"ngày",""),IF((NETWORKDAYS(R117,S117,'Danh sách ngày nghỉ lễ'!$B$5:$B$25)-VLOOKUP(P117,'Thời hạn'!$A$17:$B$23,2,0))&gt;1,"Quá hạn"&amp;" "&amp;(NETWORKDAYS(R117,S117,'Danh sách ngày nghỉ lễ'!$B$5:$B$25)-1-VLOOKUP(P117,'Thời hạn'!$A$17:$B$23,2,0))&amp;" "&amp;"ngày","")))))</f>
        <v/>
      </c>
      <c r="AA117" s="23">
        <v>1</v>
      </c>
    </row>
    <row r="118" spans="1:27" s="24" customFormat="1" ht="15.6" x14ac:dyDescent="0.3">
      <c r="A118" s="24">
        <v>1</v>
      </c>
      <c r="B118" s="85"/>
      <c r="C118" s="33"/>
      <c r="D118" s="25"/>
      <c r="E118" s="25"/>
      <c r="F118" s="34"/>
      <c r="G118" s="34"/>
      <c r="H118" s="25"/>
      <c r="I118" s="70" t="str">
        <f>IF(C118="Trả lại đơn vụ","",IF(C118="Trả lại đơn việc","",IF(C118="Hòa giải thành","",IF(F118=0,"",EDATE(F118,VLOOKUP(C118,'Thời hạn'!$A$1:$B$10,2,0))+H118))))</f>
        <v/>
      </c>
      <c r="J118" s="59" t="str">
        <f t="shared" ca="1" si="1"/>
        <v/>
      </c>
      <c r="K118" s="25"/>
      <c r="L118" s="129"/>
      <c r="M118" s="130"/>
      <c r="N118" s="35"/>
      <c r="O118" s="34"/>
      <c r="P118" s="25"/>
      <c r="Q118" s="25"/>
      <c r="R118" s="34"/>
      <c r="S118" s="34"/>
      <c r="T118" s="25"/>
      <c r="U118" s="25"/>
      <c r="V118" s="36"/>
      <c r="W118" s="86"/>
      <c r="X118" s="127"/>
      <c r="Y118" s="71" t="str">
        <f>IF(C118="Trả lại đơn vụ","",IF(C118="Trả lại đơn việc","",IF((NETWORKDAYS(F118,G118,'Danh sách ngày nghỉ lễ'!$B$5:$B$25)-1-3)&gt;0,"Quá hạn"&amp;" "&amp;(NETWORKDAYS(F118,G118,'Danh sách ngày nghỉ lễ'!$B$5:$B$25)-1-3)&amp;" "&amp;"ngày","")))</f>
        <v/>
      </c>
      <c r="Z118" s="72" t="str">
        <f>IF(S118=0,"",IF(P118="Chuyển","",IF(P118="Nhập vào vụ khác","",IF(P118="BA",IF((S118-R118)&gt;10,"Quá hạn"&amp;" "&amp;(S118-R118-10)&amp;" "&amp;"ngày",""),IF((NETWORKDAYS(R118,S118,'Danh sách ngày nghỉ lễ'!$B$5:$B$25)-VLOOKUP(P118,'Thời hạn'!$A$17:$B$23,2,0))&gt;1,"Quá hạn"&amp;" "&amp;(NETWORKDAYS(R118,S118,'Danh sách ngày nghỉ lễ'!$B$5:$B$25)-1-VLOOKUP(P118,'Thời hạn'!$A$17:$B$23,2,0))&amp;" "&amp;"ngày","")))))</f>
        <v/>
      </c>
      <c r="AA118" s="23">
        <v>1</v>
      </c>
    </row>
    <row r="119" spans="1:27" s="24" customFormat="1" ht="15.6" x14ac:dyDescent="0.3">
      <c r="A119" s="24">
        <v>1</v>
      </c>
      <c r="B119" s="85"/>
      <c r="C119" s="33"/>
      <c r="D119" s="25"/>
      <c r="E119" s="25"/>
      <c r="F119" s="34"/>
      <c r="G119" s="34"/>
      <c r="H119" s="25"/>
      <c r="I119" s="70" t="str">
        <f>IF(C119="Trả lại đơn vụ","",IF(C119="Trả lại đơn việc","",IF(C119="Hòa giải thành","",IF(F119=0,"",EDATE(F119,VLOOKUP(C119,'Thời hạn'!$A$1:$B$10,2,0))+H119))))</f>
        <v/>
      </c>
      <c r="J119" s="59" t="str">
        <f t="shared" ca="1" si="1"/>
        <v/>
      </c>
      <c r="K119" s="25"/>
      <c r="L119" s="129"/>
      <c r="M119" s="130"/>
      <c r="N119" s="35"/>
      <c r="O119" s="34"/>
      <c r="P119" s="25"/>
      <c r="Q119" s="25"/>
      <c r="R119" s="34"/>
      <c r="S119" s="34"/>
      <c r="T119" s="25"/>
      <c r="U119" s="25"/>
      <c r="V119" s="36"/>
      <c r="W119" s="86"/>
      <c r="X119" s="127"/>
      <c r="Y119" s="71" t="str">
        <f>IF(C119="Trả lại đơn vụ","",IF(C119="Trả lại đơn việc","",IF((NETWORKDAYS(F119,G119,'Danh sách ngày nghỉ lễ'!$B$5:$B$25)-1-3)&gt;0,"Quá hạn"&amp;" "&amp;(NETWORKDAYS(F119,G119,'Danh sách ngày nghỉ lễ'!$B$5:$B$25)-1-3)&amp;" "&amp;"ngày","")))</f>
        <v/>
      </c>
      <c r="Z119" s="72" t="str">
        <f>IF(S119=0,"",IF(P119="Chuyển","",IF(P119="Nhập vào vụ khác","",IF(P119="BA",IF((S119-R119)&gt;10,"Quá hạn"&amp;" "&amp;(S119-R119-10)&amp;" "&amp;"ngày",""),IF((NETWORKDAYS(R119,S119,'Danh sách ngày nghỉ lễ'!$B$5:$B$25)-VLOOKUP(P119,'Thời hạn'!$A$17:$B$23,2,0))&gt;1,"Quá hạn"&amp;" "&amp;(NETWORKDAYS(R119,S119,'Danh sách ngày nghỉ lễ'!$B$5:$B$25)-1-VLOOKUP(P119,'Thời hạn'!$A$17:$B$23,2,0))&amp;" "&amp;"ngày","")))))</f>
        <v/>
      </c>
      <c r="AA119" s="23">
        <v>1</v>
      </c>
    </row>
    <row r="120" spans="1:27" s="24" customFormat="1" ht="15.6" x14ac:dyDescent="0.3">
      <c r="A120" s="24">
        <v>1</v>
      </c>
      <c r="B120" s="85"/>
      <c r="C120" s="33"/>
      <c r="D120" s="25"/>
      <c r="E120" s="25"/>
      <c r="F120" s="34"/>
      <c r="G120" s="34"/>
      <c r="H120" s="25"/>
      <c r="I120" s="70" t="str">
        <f>IF(C120="Trả lại đơn vụ","",IF(C120="Trả lại đơn việc","",IF(C120="Hòa giải thành","",IF(F120=0,"",EDATE(F120,VLOOKUP(C120,'Thời hạn'!$A$1:$B$10,2,0))+H120))))</f>
        <v/>
      </c>
      <c r="J120" s="59" t="str">
        <f t="shared" ca="1" si="1"/>
        <v/>
      </c>
      <c r="K120" s="25"/>
      <c r="L120" s="129"/>
      <c r="M120" s="130"/>
      <c r="N120" s="35"/>
      <c r="O120" s="34"/>
      <c r="P120" s="25"/>
      <c r="Q120" s="25"/>
      <c r="R120" s="34"/>
      <c r="S120" s="34"/>
      <c r="T120" s="25"/>
      <c r="U120" s="25"/>
      <c r="V120" s="36"/>
      <c r="W120" s="86"/>
      <c r="X120" s="127"/>
      <c r="Y120" s="71" t="str">
        <f>IF(C120="Trả lại đơn vụ","",IF(C120="Trả lại đơn việc","",IF((NETWORKDAYS(F120,G120,'Danh sách ngày nghỉ lễ'!$B$5:$B$25)-1-3)&gt;0,"Quá hạn"&amp;" "&amp;(NETWORKDAYS(F120,G120,'Danh sách ngày nghỉ lễ'!$B$5:$B$25)-1-3)&amp;" "&amp;"ngày","")))</f>
        <v/>
      </c>
      <c r="Z120" s="72" t="str">
        <f>IF(S120=0,"",IF(P120="Chuyển","",IF(P120="Nhập vào vụ khác","",IF(P120="BA",IF((S120-R120)&gt;10,"Quá hạn"&amp;" "&amp;(S120-R120-10)&amp;" "&amp;"ngày",""),IF((NETWORKDAYS(R120,S120,'Danh sách ngày nghỉ lễ'!$B$5:$B$25)-VLOOKUP(P120,'Thời hạn'!$A$17:$B$23,2,0))&gt;1,"Quá hạn"&amp;" "&amp;(NETWORKDAYS(R120,S120,'Danh sách ngày nghỉ lễ'!$B$5:$B$25)-1-VLOOKUP(P120,'Thời hạn'!$A$17:$B$23,2,0))&amp;" "&amp;"ngày","")))))</f>
        <v/>
      </c>
      <c r="AA120" s="23">
        <v>1</v>
      </c>
    </row>
    <row r="121" spans="1:27" s="24" customFormat="1" ht="15.6" x14ac:dyDescent="0.3">
      <c r="A121" s="24">
        <v>1</v>
      </c>
      <c r="B121" s="85"/>
      <c r="C121" s="33"/>
      <c r="D121" s="25"/>
      <c r="E121" s="25"/>
      <c r="F121" s="34"/>
      <c r="G121" s="34"/>
      <c r="H121" s="25"/>
      <c r="I121" s="70" t="str">
        <f>IF(C121="Trả lại đơn vụ","",IF(C121="Trả lại đơn việc","",IF(C121="Hòa giải thành","",IF(F121=0,"",EDATE(F121,VLOOKUP(C121,'Thời hạn'!$A$1:$B$10,2,0))+H121))))</f>
        <v/>
      </c>
      <c r="J121" s="59" t="str">
        <f t="shared" ca="1" si="1"/>
        <v/>
      </c>
      <c r="K121" s="25"/>
      <c r="L121" s="129"/>
      <c r="M121" s="130"/>
      <c r="N121" s="35"/>
      <c r="O121" s="34"/>
      <c r="P121" s="25"/>
      <c r="Q121" s="25"/>
      <c r="R121" s="34"/>
      <c r="S121" s="34"/>
      <c r="T121" s="25"/>
      <c r="U121" s="25"/>
      <c r="V121" s="36"/>
      <c r="W121" s="86"/>
      <c r="X121" s="127"/>
      <c r="Y121" s="71" t="str">
        <f>IF(C121="Trả lại đơn vụ","",IF(C121="Trả lại đơn việc","",IF((NETWORKDAYS(F121,G121,'Danh sách ngày nghỉ lễ'!$B$5:$B$25)-1-3)&gt;0,"Quá hạn"&amp;" "&amp;(NETWORKDAYS(F121,G121,'Danh sách ngày nghỉ lễ'!$B$5:$B$25)-1-3)&amp;" "&amp;"ngày","")))</f>
        <v/>
      </c>
      <c r="Z121" s="72" t="str">
        <f>IF(S121=0,"",IF(P121="Chuyển","",IF(P121="Nhập vào vụ khác","",IF(P121="BA",IF((S121-R121)&gt;10,"Quá hạn"&amp;" "&amp;(S121-R121-10)&amp;" "&amp;"ngày",""),IF((NETWORKDAYS(R121,S121,'Danh sách ngày nghỉ lễ'!$B$5:$B$25)-VLOOKUP(P121,'Thời hạn'!$A$17:$B$23,2,0))&gt;1,"Quá hạn"&amp;" "&amp;(NETWORKDAYS(R121,S121,'Danh sách ngày nghỉ lễ'!$B$5:$B$25)-1-VLOOKUP(P121,'Thời hạn'!$A$17:$B$23,2,0))&amp;" "&amp;"ngày","")))))</f>
        <v/>
      </c>
      <c r="AA121" s="23">
        <v>1</v>
      </c>
    </row>
    <row r="122" spans="1:27" s="24" customFormat="1" ht="15.6" x14ac:dyDescent="0.3">
      <c r="A122" s="24">
        <v>1</v>
      </c>
      <c r="B122" s="85"/>
      <c r="C122" s="33"/>
      <c r="D122" s="25"/>
      <c r="E122" s="25"/>
      <c r="F122" s="34"/>
      <c r="G122" s="34"/>
      <c r="H122" s="25"/>
      <c r="I122" s="70" t="str">
        <f>IF(C122="Trả lại đơn vụ","",IF(C122="Trả lại đơn việc","",IF(C122="Hòa giải thành","",IF(F122=0,"",EDATE(F122,VLOOKUP(C122,'Thời hạn'!$A$1:$B$10,2,0))+H122))))</f>
        <v/>
      </c>
      <c r="J122" s="59" t="str">
        <f t="shared" ca="1" si="1"/>
        <v/>
      </c>
      <c r="K122" s="25"/>
      <c r="L122" s="129"/>
      <c r="M122" s="130"/>
      <c r="N122" s="35"/>
      <c r="O122" s="34"/>
      <c r="P122" s="25"/>
      <c r="Q122" s="25"/>
      <c r="R122" s="34"/>
      <c r="S122" s="34"/>
      <c r="T122" s="25"/>
      <c r="U122" s="25"/>
      <c r="V122" s="36"/>
      <c r="W122" s="86"/>
      <c r="X122" s="127"/>
      <c r="Y122" s="71" t="str">
        <f>IF(C122="Trả lại đơn vụ","",IF(C122="Trả lại đơn việc","",IF((NETWORKDAYS(F122,G122,'Danh sách ngày nghỉ lễ'!$B$5:$B$25)-1-3)&gt;0,"Quá hạn"&amp;" "&amp;(NETWORKDAYS(F122,G122,'Danh sách ngày nghỉ lễ'!$B$5:$B$25)-1-3)&amp;" "&amp;"ngày","")))</f>
        <v/>
      </c>
      <c r="Z122" s="72" t="str">
        <f>IF(S122=0,"",IF(P122="Chuyển","",IF(P122="Nhập vào vụ khác","",IF(P122="BA",IF((S122-R122)&gt;10,"Quá hạn"&amp;" "&amp;(S122-R122-10)&amp;" "&amp;"ngày",""),IF((NETWORKDAYS(R122,S122,'Danh sách ngày nghỉ lễ'!$B$5:$B$25)-VLOOKUP(P122,'Thời hạn'!$A$17:$B$23,2,0))&gt;1,"Quá hạn"&amp;" "&amp;(NETWORKDAYS(R122,S122,'Danh sách ngày nghỉ lễ'!$B$5:$B$25)-1-VLOOKUP(P122,'Thời hạn'!$A$17:$B$23,2,0))&amp;" "&amp;"ngày","")))))</f>
        <v/>
      </c>
      <c r="AA122" s="23">
        <v>1</v>
      </c>
    </row>
    <row r="123" spans="1:27" s="24" customFormat="1" ht="15.6" x14ac:dyDescent="0.3">
      <c r="A123" s="24">
        <v>1</v>
      </c>
      <c r="B123" s="85"/>
      <c r="C123" s="33"/>
      <c r="D123" s="25"/>
      <c r="E123" s="25"/>
      <c r="F123" s="34"/>
      <c r="G123" s="34"/>
      <c r="H123" s="25"/>
      <c r="I123" s="70" t="str">
        <f>IF(C123="Trả lại đơn vụ","",IF(C123="Trả lại đơn việc","",IF(C123="Hòa giải thành","",IF(F123=0,"",EDATE(F123,VLOOKUP(C123,'Thời hạn'!$A$1:$B$10,2,0))+H123))))</f>
        <v/>
      </c>
      <c r="J123" s="59" t="str">
        <f t="shared" ca="1" si="1"/>
        <v/>
      </c>
      <c r="K123" s="25"/>
      <c r="L123" s="129"/>
      <c r="M123" s="130"/>
      <c r="N123" s="35"/>
      <c r="O123" s="34"/>
      <c r="P123" s="25"/>
      <c r="Q123" s="25"/>
      <c r="R123" s="34"/>
      <c r="S123" s="34"/>
      <c r="T123" s="25"/>
      <c r="U123" s="25"/>
      <c r="V123" s="36"/>
      <c r="W123" s="86"/>
      <c r="X123" s="127"/>
      <c r="Y123" s="71" t="str">
        <f>IF(C123="Trả lại đơn vụ","",IF(C123="Trả lại đơn việc","",IF((NETWORKDAYS(F123,G123,'Danh sách ngày nghỉ lễ'!$B$5:$B$25)-1-3)&gt;0,"Quá hạn"&amp;" "&amp;(NETWORKDAYS(F123,G123,'Danh sách ngày nghỉ lễ'!$B$5:$B$25)-1-3)&amp;" "&amp;"ngày","")))</f>
        <v/>
      </c>
      <c r="Z123" s="72" t="str">
        <f>IF(S123=0,"",IF(P123="Chuyển","",IF(P123="Nhập vào vụ khác","",IF(P123="BA",IF((S123-R123)&gt;10,"Quá hạn"&amp;" "&amp;(S123-R123-10)&amp;" "&amp;"ngày",""),IF((NETWORKDAYS(R123,S123,'Danh sách ngày nghỉ lễ'!$B$5:$B$25)-VLOOKUP(P123,'Thời hạn'!$A$17:$B$23,2,0))&gt;1,"Quá hạn"&amp;" "&amp;(NETWORKDAYS(R123,S123,'Danh sách ngày nghỉ lễ'!$B$5:$B$25)-1-VLOOKUP(P123,'Thời hạn'!$A$17:$B$23,2,0))&amp;" "&amp;"ngày","")))))</f>
        <v/>
      </c>
      <c r="AA123" s="23">
        <v>1</v>
      </c>
    </row>
    <row r="124" spans="1:27" s="24" customFormat="1" ht="15.6" x14ac:dyDescent="0.3">
      <c r="A124" s="24">
        <v>1</v>
      </c>
      <c r="B124" s="85"/>
      <c r="C124" s="33"/>
      <c r="D124" s="25"/>
      <c r="E124" s="25"/>
      <c r="F124" s="34"/>
      <c r="G124" s="34"/>
      <c r="H124" s="25"/>
      <c r="I124" s="70" t="str">
        <f>IF(C124="Trả lại đơn vụ","",IF(C124="Trả lại đơn việc","",IF(C124="Hòa giải thành","",IF(F124=0,"",EDATE(F124,VLOOKUP(C124,'Thời hạn'!$A$1:$B$10,2,0))+H124))))</f>
        <v/>
      </c>
      <c r="J124" s="59" t="str">
        <f t="shared" ca="1" si="1"/>
        <v/>
      </c>
      <c r="K124" s="25"/>
      <c r="L124" s="129"/>
      <c r="M124" s="130"/>
      <c r="N124" s="35"/>
      <c r="O124" s="34"/>
      <c r="P124" s="25"/>
      <c r="Q124" s="25"/>
      <c r="R124" s="34"/>
      <c r="S124" s="34"/>
      <c r="T124" s="25"/>
      <c r="U124" s="25"/>
      <c r="V124" s="36"/>
      <c r="W124" s="86"/>
      <c r="X124" s="127"/>
      <c r="Y124" s="71" t="str">
        <f>IF(C124="Trả lại đơn vụ","",IF(C124="Trả lại đơn việc","",IF((NETWORKDAYS(F124,G124,'Danh sách ngày nghỉ lễ'!$B$5:$B$25)-1-3)&gt;0,"Quá hạn"&amp;" "&amp;(NETWORKDAYS(F124,G124,'Danh sách ngày nghỉ lễ'!$B$5:$B$25)-1-3)&amp;" "&amp;"ngày","")))</f>
        <v/>
      </c>
      <c r="Z124" s="72" t="str">
        <f>IF(S124=0,"",IF(P124="Chuyển","",IF(P124="Nhập vào vụ khác","",IF(P124="BA",IF((S124-R124)&gt;10,"Quá hạn"&amp;" "&amp;(S124-R124-10)&amp;" "&amp;"ngày",""),IF((NETWORKDAYS(R124,S124,'Danh sách ngày nghỉ lễ'!$B$5:$B$25)-VLOOKUP(P124,'Thời hạn'!$A$17:$B$23,2,0))&gt;1,"Quá hạn"&amp;" "&amp;(NETWORKDAYS(R124,S124,'Danh sách ngày nghỉ lễ'!$B$5:$B$25)-1-VLOOKUP(P124,'Thời hạn'!$A$17:$B$23,2,0))&amp;" "&amp;"ngày","")))))</f>
        <v/>
      </c>
      <c r="AA124" s="23">
        <v>1</v>
      </c>
    </row>
    <row r="125" spans="1:27" s="24" customFormat="1" ht="15.6" x14ac:dyDescent="0.3">
      <c r="A125" s="24">
        <v>1</v>
      </c>
      <c r="B125" s="85"/>
      <c r="C125" s="33"/>
      <c r="D125" s="25"/>
      <c r="E125" s="25"/>
      <c r="F125" s="34"/>
      <c r="G125" s="34"/>
      <c r="H125" s="25"/>
      <c r="I125" s="70" t="str">
        <f>IF(C125="Trả lại đơn vụ","",IF(C125="Trả lại đơn việc","",IF(C125="Hòa giải thành","",IF(F125=0,"",EDATE(F125,VLOOKUP(C125,'Thời hạn'!$A$1:$B$10,2,0))+H125))))</f>
        <v/>
      </c>
      <c r="J125" s="59" t="str">
        <f t="shared" ca="1" si="1"/>
        <v/>
      </c>
      <c r="K125" s="25"/>
      <c r="L125" s="129"/>
      <c r="M125" s="130"/>
      <c r="N125" s="35"/>
      <c r="O125" s="34"/>
      <c r="P125" s="25"/>
      <c r="Q125" s="25"/>
      <c r="R125" s="34"/>
      <c r="S125" s="34"/>
      <c r="T125" s="25"/>
      <c r="U125" s="25"/>
      <c r="V125" s="36"/>
      <c r="W125" s="86"/>
      <c r="X125" s="127"/>
      <c r="Y125" s="71" t="str">
        <f>IF(C125="Trả lại đơn vụ","",IF(C125="Trả lại đơn việc","",IF((NETWORKDAYS(F125,G125,'Danh sách ngày nghỉ lễ'!$B$5:$B$25)-1-3)&gt;0,"Quá hạn"&amp;" "&amp;(NETWORKDAYS(F125,G125,'Danh sách ngày nghỉ lễ'!$B$5:$B$25)-1-3)&amp;" "&amp;"ngày","")))</f>
        <v/>
      </c>
      <c r="Z125" s="72" t="str">
        <f>IF(S125=0,"",IF(P125="Chuyển","",IF(P125="Nhập vào vụ khác","",IF(P125="BA",IF((S125-R125)&gt;10,"Quá hạn"&amp;" "&amp;(S125-R125-10)&amp;" "&amp;"ngày",""),IF((NETWORKDAYS(R125,S125,'Danh sách ngày nghỉ lễ'!$B$5:$B$25)-VLOOKUP(P125,'Thời hạn'!$A$17:$B$23,2,0))&gt;1,"Quá hạn"&amp;" "&amp;(NETWORKDAYS(R125,S125,'Danh sách ngày nghỉ lễ'!$B$5:$B$25)-1-VLOOKUP(P125,'Thời hạn'!$A$17:$B$23,2,0))&amp;" "&amp;"ngày","")))))</f>
        <v/>
      </c>
      <c r="AA125" s="23">
        <v>1</v>
      </c>
    </row>
    <row r="126" spans="1:27" s="24" customFormat="1" ht="15.6" x14ac:dyDescent="0.3">
      <c r="A126" s="24">
        <v>1</v>
      </c>
      <c r="B126" s="85"/>
      <c r="C126" s="33"/>
      <c r="D126" s="25"/>
      <c r="E126" s="25"/>
      <c r="F126" s="34"/>
      <c r="G126" s="34"/>
      <c r="H126" s="25"/>
      <c r="I126" s="70" t="str">
        <f>IF(C126="Trả lại đơn vụ","",IF(C126="Trả lại đơn việc","",IF(C126="Hòa giải thành","",IF(F126=0,"",EDATE(F126,VLOOKUP(C126,'Thời hạn'!$A$1:$B$10,2,0))+H126))))</f>
        <v/>
      </c>
      <c r="J126" s="59" t="str">
        <f t="shared" ca="1" si="1"/>
        <v/>
      </c>
      <c r="K126" s="25"/>
      <c r="L126" s="129"/>
      <c r="M126" s="130"/>
      <c r="N126" s="35"/>
      <c r="O126" s="34"/>
      <c r="P126" s="25"/>
      <c r="Q126" s="25"/>
      <c r="R126" s="34"/>
      <c r="S126" s="34"/>
      <c r="T126" s="25"/>
      <c r="U126" s="25"/>
      <c r="V126" s="36"/>
      <c r="W126" s="86"/>
      <c r="X126" s="127"/>
      <c r="Y126" s="71" t="str">
        <f>IF(C126="Trả lại đơn vụ","",IF(C126="Trả lại đơn việc","",IF((NETWORKDAYS(F126,G126,'Danh sách ngày nghỉ lễ'!$B$5:$B$25)-1-3)&gt;0,"Quá hạn"&amp;" "&amp;(NETWORKDAYS(F126,G126,'Danh sách ngày nghỉ lễ'!$B$5:$B$25)-1-3)&amp;" "&amp;"ngày","")))</f>
        <v/>
      </c>
      <c r="Z126" s="72" t="str">
        <f>IF(S126=0,"",IF(P126="Chuyển","",IF(P126="Nhập vào vụ khác","",IF(P126="BA",IF((S126-R126)&gt;10,"Quá hạn"&amp;" "&amp;(S126-R126-10)&amp;" "&amp;"ngày",""),IF((NETWORKDAYS(R126,S126,'Danh sách ngày nghỉ lễ'!$B$5:$B$25)-VLOOKUP(P126,'Thời hạn'!$A$17:$B$23,2,0))&gt;1,"Quá hạn"&amp;" "&amp;(NETWORKDAYS(R126,S126,'Danh sách ngày nghỉ lễ'!$B$5:$B$25)-1-VLOOKUP(P126,'Thời hạn'!$A$17:$B$23,2,0))&amp;" "&amp;"ngày","")))))</f>
        <v/>
      </c>
      <c r="AA126" s="23">
        <v>1</v>
      </c>
    </row>
    <row r="127" spans="1:27" s="24" customFormat="1" ht="15.6" x14ac:dyDescent="0.3">
      <c r="A127" s="24">
        <v>1</v>
      </c>
      <c r="B127" s="85"/>
      <c r="C127" s="33"/>
      <c r="D127" s="25"/>
      <c r="E127" s="25"/>
      <c r="F127" s="34"/>
      <c r="G127" s="34"/>
      <c r="H127" s="25"/>
      <c r="I127" s="70" t="str">
        <f>IF(C127="Trả lại đơn vụ","",IF(C127="Trả lại đơn việc","",IF(C127="Hòa giải thành","",IF(F127=0,"",EDATE(F127,VLOOKUP(C127,'Thời hạn'!$A$1:$B$10,2,0))+H127))))</f>
        <v/>
      </c>
      <c r="J127" s="59" t="str">
        <f t="shared" ca="1" si="1"/>
        <v/>
      </c>
      <c r="K127" s="25"/>
      <c r="L127" s="129"/>
      <c r="M127" s="130"/>
      <c r="N127" s="35"/>
      <c r="O127" s="34"/>
      <c r="P127" s="25"/>
      <c r="Q127" s="25"/>
      <c r="R127" s="34"/>
      <c r="S127" s="34"/>
      <c r="T127" s="25"/>
      <c r="U127" s="25"/>
      <c r="V127" s="36"/>
      <c r="W127" s="86"/>
      <c r="X127" s="127"/>
      <c r="Y127" s="71" t="str">
        <f>IF(C127="Trả lại đơn vụ","",IF(C127="Trả lại đơn việc","",IF((NETWORKDAYS(F127,G127,'Danh sách ngày nghỉ lễ'!$B$5:$B$25)-1-3)&gt;0,"Quá hạn"&amp;" "&amp;(NETWORKDAYS(F127,G127,'Danh sách ngày nghỉ lễ'!$B$5:$B$25)-1-3)&amp;" "&amp;"ngày","")))</f>
        <v/>
      </c>
      <c r="Z127" s="72" t="str">
        <f>IF(S127=0,"",IF(P127="Chuyển","",IF(P127="Nhập vào vụ khác","",IF(P127="BA",IF((S127-R127)&gt;10,"Quá hạn"&amp;" "&amp;(S127-R127-10)&amp;" "&amp;"ngày",""),IF((NETWORKDAYS(R127,S127,'Danh sách ngày nghỉ lễ'!$B$5:$B$25)-VLOOKUP(P127,'Thời hạn'!$A$17:$B$23,2,0))&gt;1,"Quá hạn"&amp;" "&amp;(NETWORKDAYS(R127,S127,'Danh sách ngày nghỉ lễ'!$B$5:$B$25)-1-VLOOKUP(P127,'Thời hạn'!$A$17:$B$23,2,0))&amp;" "&amp;"ngày","")))))</f>
        <v/>
      </c>
      <c r="AA127" s="23">
        <v>1</v>
      </c>
    </row>
    <row r="128" spans="1:27" s="24" customFormat="1" ht="15.6" x14ac:dyDescent="0.3">
      <c r="A128" s="24">
        <v>1</v>
      </c>
      <c r="B128" s="85"/>
      <c r="C128" s="33"/>
      <c r="D128" s="25"/>
      <c r="E128" s="25"/>
      <c r="F128" s="34"/>
      <c r="G128" s="34"/>
      <c r="H128" s="25"/>
      <c r="I128" s="70" t="str">
        <f>IF(C128="Trả lại đơn vụ","",IF(C128="Trả lại đơn việc","",IF(C128="Hòa giải thành","",IF(F128=0,"",EDATE(F128,VLOOKUP(C128,'Thời hạn'!$A$1:$B$10,2,0))+H128))))</f>
        <v/>
      </c>
      <c r="J128" s="59" t="str">
        <f t="shared" ca="1" si="1"/>
        <v/>
      </c>
      <c r="K128" s="25"/>
      <c r="L128" s="129"/>
      <c r="M128" s="130"/>
      <c r="N128" s="35"/>
      <c r="O128" s="34"/>
      <c r="P128" s="25"/>
      <c r="Q128" s="25"/>
      <c r="R128" s="34"/>
      <c r="S128" s="34"/>
      <c r="T128" s="25"/>
      <c r="U128" s="25"/>
      <c r="V128" s="36"/>
      <c r="W128" s="86"/>
      <c r="X128" s="127"/>
      <c r="Y128" s="71" t="str">
        <f>IF(C128="Trả lại đơn vụ","",IF(C128="Trả lại đơn việc","",IF((NETWORKDAYS(F128,G128,'Danh sách ngày nghỉ lễ'!$B$5:$B$25)-1-3)&gt;0,"Quá hạn"&amp;" "&amp;(NETWORKDAYS(F128,G128,'Danh sách ngày nghỉ lễ'!$B$5:$B$25)-1-3)&amp;" "&amp;"ngày","")))</f>
        <v/>
      </c>
      <c r="Z128" s="72" t="str">
        <f>IF(S128=0,"",IF(P128="Chuyển","",IF(P128="Nhập vào vụ khác","",IF(P128="BA",IF((S128-R128)&gt;10,"Quá hạn"&amp;" "&amp;(S128-R128-10)&amp;" "&amp;"ngày",""),IF((NETWORKDAYS(R128,S128,'Danh sách ngày nghỉ lễ'!$B$5:$B$25)-VLOOKUP(P128,'Thời hạn'!$A$17:$B$23,2,0))&gt;1,"Quá hạn"&amp;" "&amp;(NETWORKDAYS(R128,S128,'Danh sách ngày nghỉ lễ'!$B$5:$B$25)-1-VLOOKUP(P128,'Thời hạn'!$A$17:$B$23,2,0))&amp;" "&amp;"ngày","")))))</f>
        <v/>
      </c>
      <c r="AA128" s="23">
        <v>1</v>
      </c>
    </row>
    <row r="129" spans="1:27" s="24" customFormat="1" ht="15.6" x14ac:dyDescent="0.3">
      <c r="A129" s="24">
        <v>1</v>
      </c>
      <c r="B129" s="85"/>
      <c r="C129" s="33"/>
      <c r="D129" s="25"/>
      <c r="E129" s="25"/>
      <c r="F129" s="34"/>
      <c r="G129" s="34"/>
      <c r="H129" s="25"/>
      <c r="I129" s="70" t="str">
        <f>IF(C129="Trả lại đơn vụ","",IF(C129="Trả lại đơn việc","",IF(C129="Hòa giải thành","",IF(F129=0,"",EDATE(F129,VLOOKUP(C129,'Thời hạn'!$A$1:$B$10,2,0))+H129))))</f>
        <v/>
      </c>
      <c r="J129" s="59" t="str">
        <f t="shared" ca="1" si="1"/>
        <v/>
      </c>
      <c r="K129" s="25"/>
      <c r="L129" s="129"/>
      <c r="M129" s="130"/>
      <c r="N129" s="35"/>
      <c r="O129" s="34"/>
      <c r="P129" s="25"/>
      <c r="Q129" s="25"/>
      <c r="R129" s="34"/>
      <c r="S129" s="34"/>
      <c r="T129" s="25"/>
      <c r="U129" s="25"/>
      <c r="V129" s="36"/>
      <c r="W129" s="86"/>
      <c r="X129" s="127"/>
      <c r="Y129" s="71" t="str">
        <f>IF(C129="Trả lại đơn vụ","",IF(C129="Trả lại đơn việc","",IF((NETWORKDAYS(F129,G129,'Danh sách ngày nghỉ lễ'!$B$5:$B$25)-1-3)&gt;0,"Quá hạn"&amp;" "&amp;(NETWORKDAYS(F129,G129,'Danh sách ngày nghỉ lễ'!$B$5:$B$25)-1-3)&amp;" "&amp;"ngày","")))</f>
        <v/>
      </c>
      <c r="Z129" s="72" t="str">
        <f>IF(S129=0,"",IF(P129="Chuyển","",IF(P129="Nhập vào vụ khác","",IF(P129="BA",IF((S129-R129)&gt;10,"Quá hạn"&amp;" "&amp;(S129-R129-10)&amp;" "&amp;"ngày",""),IF((NETWORKDAYS(R129,S129,'Danh sách ngày nghỉ lễ'!$B$5:$B$25)-VLOOKUP(P129,'Thời hạn'!$A$17:$B$23,2,0))&gt;1,"Quá hạn"&amp;" "&amp;(NETWORKDAYS(R129,S129,'Danh sách ngày nghỉ lễ'!$B$5:$B$25)-1-VLOOKUP(P129,'Thời hạn'!$A$17:$B$23,2,0))&amp;" "&amp;"ngày","")))))</f>
        <v/>
      </c>
      <c r="AA129" s="23">
        <v>1</v>
      </c>
    </row>
    <row r="130" spans="1:27" s="24" customFormat="1" ht="15.6" x14ac:dyDescent="0.3">
      <c r="A130" s="24">
        <v>1</v>
      </c>
      <c r="B130" s="85"/>
      <c r="C130" s="33"/>
      <c r="D130" s="25"/>
      <c r="E130" s="25"/>
      <c r="F130" s="34"/>
      <c r="G130" s="34"/>
      <c r="H130" s="25"/>
      <c r="I130" s="70" t="str">
        <f>IF(C130="Trả lại đơn vụ","",IF(C130="Trả lại đơn việc","",IF(C130="Hòa giải thành","",IF(F130=0,"",EDATE(F130,VLOOKUP(C130,'Thời hạn'!$A$1:$B$10,2,0))+H130))))</f>
        <v/>
      </c>
      <c r="J130" s="59" t="str">
        <f t="shared" ca="1" si="1"/>
        <v/>
      </c>
      <c r="K130" s="25"/>
      <c r="L130" s="129"/>
      <c r="M130" s="130"/>
      <c r="N130" s="35"/>
      <c r="O130" s="34"/>
      <c r="P130" s="25"/>
      <c r="Q130" s="25"/>
      <c r="R130" s="34"/>
      <c r="S130" s="34"/>
      <c r="T130" s="25"/>
      <c r="U130" s="25"/>
      <c r="V130" s="36"/>
      <c r="W130" s="86"/>
      <c r="X130" s="127"/>
      <c r="Y130" s="71" t="str">
        <f>IF(C130="Trả lại đơn vụ","",IF(C130="Trả lại đơn việc","",IF((NETWORKDAYS(F130,G130,'Danh sách ngày nghỉ lễ'!$B$5:$B$25)-1-3)&gt;0,"Quá hạn"&amp;" "&amp;(NETWORKDAYS(F130,G130,'Danh sách ngày nghỉ lễ'!$B$5:$B$25)-1-3)&amp;" "&amp;"ngày","")))</f>
        <v/>
      </c>
      <c r="Z130" s="72" t="str">
        <f>IF(S130=0,"",IF(P130="Chuyển","",IF(P130="Nhập vào vụ khác","",IF(P130="BA",IF((S130-R130)&gt;10,"Quá hạn"&amp;" "&amp;(S130-R130-10)&amp;" "&amp;"ngày",""),IF((NETWORKDAYS(R130,S130,'Danh sách ngày nghỉ lễ'!$B$5:$B$25)-VLOOKUP(P130,'Thời hạn'!$A$17:$B$23,2,0))&gt;1,"Quá hạn"&amp;" "&amp;(NETWORKDAYS(R130,S130,'Danh sách ngày nghỉ lễ'!$B$5:$B$25)-1-VLOOKUP(P130,'Thời hạn'!$A$17:$B$23,2,0))&amp;" "&amp;"ngày","")))))</f>
        <v/>
      </c>
      <c r="AA130" s="23">
        <v>1</v>
      </c>
    </row>
    <row r="131" spans="1:27" s="24" customFormat="1" ht="15.6" x14ac:dyDescent="0.3">
      <c r="A131" s="24">
        <v>1</v>
      </c>
      <c r="B131" s="85"/>
      <c r="C131" s="33"/>
      <c r="D131" s="25"/>
      <c r="E131" s="25"/>
      <c r="F131" s="34"/>
      <c r="G131" s="34"/>
      <c r="H131" s="25"/>
      <c r="I131" s="70" t="str">
        <f>IF(C131="Trả lại đơn vụ","",IF(C131="Trả lại đơn việc","",IF(C131="Hòa giải thành","",IF(F131=0,"",EDATE(F131,VLOOKUP(C131,'Thời hạn'!$A$1:$B$10,2,0))+H131))))</f>
        <v/>
      </c>
      <c r="J131" s="59" t="str">
        <f t="shared" ca="1" si="1"/>
        <v/>
      </c>
      <c r="K131" s="25"/>
      <c r="L131" s="129"/>
      <c r="M131" s="130"/>
      <c r="N131" s="35"/>
      <c r="O131" s="34"/>
      <c r="P131" s="25"/>
      <c r="Q131" s="25"/>
      <c r="R131" s="34"/>
      <c r="S131" s="34"/>
      <c r="T131" s="25"/>
      <c r="U131" s="25"/>
      <c r="V131" s="36"/>
      <c r="W131" s="86"/>
      <c r="X131" s="127"/>
      <c r="Y131" s="71" t="str">
        <f>IF(C131="Trả lại đơn vụ","",IF(C131="Trả lại đơn việc","",IF((NETWORKDAYS(F131,G131,'Danh sách ngày nghỉ lễ'!$B$5:$B$25)-1-3)&gt;0,"Quá hạn"&amp;" "&amp;(NETWORKDAYS(F131,G131,'Danh sách ngày nghỉ lễ'!$B$5:$B$25)-1-3)&amp;" "&amp;"ngày","")))</f>
        <v/>
      </c>
      <c r="Z131" s="72" t="str">
        <f>IF(S131=0,"",IF(P131="Chuyển","",IF(P131="Nhập vào vụ khác","",IF(P131="BA",IF((S131-R131)&gt;10,"Quá hạn"&amp;" "&amp;(S131-R131-10)&amp;" "&amp;"ngày",""),IF((NETWORKDAYS(R131,S131,'Danh sách ngày nghỉ lễ'!$B$5:$B$25)-VLOOKUP(P131,'Thời hạn'!$A$17:$B$23,2,0))&gt;1,"Quá hạn"&amp;" "&amp;(NETWORKDAYS(R131,S131,'Danh sách ngày nghỉ lễ'!$B$5:$B$25)-1-VLOOKUP(P131,'Thời hạn'!$A$17:$B$23,2,0))&amp;" "&amp;"ngày","")))))</f>
        <v/>
      </c>
      <c r="AA131" s="23">
        <v>1</v>
      </c>
    </row>
    <row r="132" spans="1:27" s="24" customFormat="1" ht="15.6" x14ac:dyDescent="0.3">
      <c r="A132" s="24">
        <v>1</v>
      </c>
      <c r="B132" s="85"/>
      <c r="C132" s="33"/>
      <c r="D132" s="25"/>
      <c r="E132" s="25"/>
      <c r="F132" s="34"/>
      <c r="G132" s="34"/>
      <c r="H132" s="25"/>
      <c r="I132" s="70" t="str">
        <f>IF(C132="Trả lại đơn vụ","",IF(C132="Trả lại đơn việc","",IF(C132="Hòa giải thành","",IF(F132=0,"",EDATE(F132,VLOOKUP(C132,'Thời hạn'!$A$1:$B$10,2,0))+H132))))</f>
        <v/>
      </c>
      <c r="J132" s="59" t="str">
        <f t="shared" ca="1" si="1"/>
        <v/>
      </c>
      <c r="K132" s="25"/>
      <c r="L132" s="129"/>
      <c r="M132" s="130"/>
      <c r="N132" s="35"/>
      <c r="O132" s="34"/>
      <c r="P132" s="25"/>
      <c r="Q132" s="25"/>
      <c r="R132" s="34"/>
      <c r="S132" s="34"/>
      <c r="T132" s="25"/>
      <c r="U132" s="25"/>
      <c r="V132" s="36"/>
      <c r="W132" s="86"/>
      <c r="X132" s="127"/>
      <c r="Y132" s="71" t="str">
        <f>IF(C132="Trả lại đơn vụ","",IF(C132="Trả lại đơn việc","",IF((NETWORKDAYS(F132,G132,'Danh sách ngày nghỉ lễ'!$B$5:$B$25)-1-3)&gt;0,"Quá hạn"&amp;" "&amp;(NETWORKDAYS(F132,G132,'Danh sách ngày nghỉ lễ'!$B$5:$B$25)-1-3)&amp;" "&amp;"ngày","")))</f>
        <v/>
      </c>
      <c r="Z132" s="72" t="str">
        <f>IF(S132=0,"",IF(P132="Chuyển","",IF(P132="Nhập vào vụ khác","",IF(P132="BA",IF((S132-R132)&gt;10,"Quá hạn"&amp;" "&amp;(S132-R132-10)&amp;" "&amp;"ngày",""),IF((NETWORKDAYS(R132,S132,'Danh sách ngày nghỉ lễ'!$B$5:$B$25)-VLOOKUP(P132,'Thời hạn'!$A$17:$B$23,2,0))&gt;1,"Quá hạn"&amp;" "&amp;(NETWORKDAYS(R132,S132,'Danh sách ngày nghỉ lễ'!$B$5:$B$25)-1-VLOOKUP(P132,'Thời hạn'!$A$17:$B$23,2,0))&amp;" "&amp;"ngày","")))))</f>
        <v/>
      </c>
      <c r="AA132" s="23">
        <v>1</v>
      </c>
    </row>
    <row r="133" spans="1:27" s="24" customFormat="1" ht="15.6" x14ac:dyDescent="0.3">
      <c r="A133" s="24">
        <v>1</v>
      </c>
      <c r="B133" s="85"/>
      <c r="C133" s="33"/>
      <c r="D133" s="25"/>
      <c r="E133" s="25"/>
      <c r="F133" s="34"/>
      <c r="G133" s="34"/>
      <c r="H133" s="25"/>
      <c r="I133" s="70" t="str">
        <f>IF(C133="Trả lại đơn vụ","",IF(C133="Trả lại đơn việc","",IF(C133="Hòa giải thành","",IF(F133=0,"",EDATE(F133,VLOOKUP(C133,'Thời hạn'!$A$1:$B$10,2,0))+H133))))</f>
        <v/>
      </c>
      <c r="J133" s="59" t="str">
        <f t="shared" ca="1" si="1"/>
        <v/>
      </c>
      <c r="K133" s="25"/>
      <c r="L133" s="129"/>
      <c r="M133" s="130"/>
      <c r="N133" s="35"/>
      <c r="O133" s="34"/>
      <c r="P133" s="25"/>
      <c r="Q133" s="25"/>
      <c r="R133" s="34"/>
      <c r="S133" s="34"/>
      <c r="T133" s="25"/>
      <c r="U133" s="25"/>
      <c r="V133" s="36"/>
      <c r="W133" s="86"/>
      <c r="X133" s="127"/>
      <c r="Y133" s="71" t="str">
        <f>IF(C133="Trả lại đơn vụ","",IF(C133="Trả lại đơn việc","",IF((NETWORKDAYS(F133,G133,'Danh sách ngày nghỉ lễ'!$B$5:$B$25)-1-3)&gt;0,"Quá hạn"&amp;" "&amp;(NETWORKDAYS(F133,G133,'Danh sách ngày nghỉ lễ'!$B$5:$B$25)-1-3)&amp;" "&amp;"ngày","")))</f>
        <v/>
      </c>
      <c r="Z133" s="72" t="str">
        <f>IF(S133=0,"",IF(P133="Chuyển","",IF(P133="Nhập vào vụ khác","",IF(P133="BA",IF((S133-R133)&gt;10,"Quá hạn"&amp;" "&amp;(S133-R133-10)&amp;" "&amp;"ngày",""),IF((NETWORKDAYS(R133,S133,'Danh sách ngày nghỉ lễ'!$B$5:$B$25)-VLOOKUP(P133,'Thời hạn'!$A$17:$B$23,2,0))&gt;1,"Quá hạn"&amp;" "&amp;(NETWORKDAYS(R133,S133,'Danh sách ngày nghỉ lễ'!$B$5:$B$25)-1-VLOOKUP(P133,'Thời hạn'!$A$17:$B$23,2,0))&amp;" "&amp;"ngày","")))))</f>
        <v/>
      </c>
      <c r="AA133" s="23">
        <v>1</v>
      </c>
    </row>
    <row r="134" spans="1:27" s="24" customFormat="1" ht="15.6" x14ac:dyDescent="0.3">
      <c r="A134" s="24">
        <v>1</v>
      </c>
      <c r="B134" s="85"/>
      <c r="C134" s="33"/>
      <c r="D134" s="25"/>
      <c r="E134" s="25"/>
      <c r="F134" s="34"/>
      <c r="G134" s="34"/>
      <c r="H134" s="25"/>
      <c r="I134" s="70" t="str">
        <f>IF(C134="Trả lại đơn vụ","",IF(C134="Trả lại đơn việc","",IF(C134="Hòa giải thành","",IF(F134=0,"",EDATE(F134,VLOOKUP(C134,'Thời hạn'!$A$1:$B$10,2,0))+H134))))</f>
        <v/>
      </c>
      <c r="J134" s="59" t="str">
        <f t="shared" ca="1" si="1"/>
        <v/>
      </c>
      <c r="K134" s="25"/>
      <c r="L134" s="129"/>
      <c r="M134" s="130"/>
      <c r="N134" s="35"/>
      <c r="O134" s="34"/>
      <c r="P134" s="25"/>
      <c r="Q134" s="25"/>
      <c r="R134" s="34"/>
      <c r="S134" s="34"/>
      <c r="T134" s="25"/>
      <c r="U134" s="25"/>
      <c r="V134" s="36"/>
      <c r="W134" s="86"/>
      <c r="X134" s="127"/>
      <c r="Y134" s="71" t="str">
        <f>IF(C134="Trả lại đơn vụ","",IF(C134="Trả lại đơn việc","",IF((NETWORKDAYS(F134,G134,'Danh sách ngày nghỉ lễ'!$B$5:$B$25)-1-3)&gt;0,"Quá hạn"&amp;" "&amp;(NETWORKDAYS(F134,G134,'Danh sách ngày nghỉ lễ'!$B$5:$B$25)-1-3)&amp;" "&amp;"ngày","")))</f>
        <v/>
      </c>
      <c r="Z134" s="72" t="str">
        <f>IF(S134=0,"",IF(P134="Chuyển","",IF(P134="Nhập vào vụ khác","",IF(P134="BA",IF((S134-R134)&gt;10,"Quá hạn"&amp;" "&amp;(S134-R134-10)&amp;" "&amp;"ngày",""),IF((NETWORKDAYS(R134,S134,'Danh sách ngày nghỉ lễ'!$B$5:$B$25)-VLOOKUP(P134,'Thời hạn'!$A$17:$B$23,2,0))&gt;1,"Quá hạn"&amp;" "&amp;(NETWORKDAYS(R134,S134,'Danh sách ngày nghỉ lễ'!$B$5:$B$25)-1-VLOOKUP(P134,'Thời hạn'!$A$17:$B$23,2,0))&amp;" "&amp;"ngày","")))))</f>
        <v/>
      </c>
      <c r="AA134" s="23">
        <v>1</v>
      </c>
    </row>
    <row r="135" spans="1:27" s="24" customFormat="1" ht="15.6" x14ac:dyDescent="0.3">
      <c r="A135" s="24">
        <v>1</v>
      </c>
      <c r="B135" s="85"/>
      <c r="C135" s="33"/>
      <c r="D135" s="25"/>
      <c r="E135" s="25"/>
      <c r="F135" s="34"/>
      <c r="G135" s="34"/>
      <c r="H135" s="25"/>
      <c r="I135" s="70" t="str">
        <f>IF(C135="Trả lại đơn vụ","",IF(C135="Trả lại đơn việc","",IF(C135="Hòa giải thành","",IF(F135=0,"",EDATE(F135,VLOOKUP(C135,'Thời hạn'!$A$1:$B$10,2,0))+H135))))</f>
        <v/>
      </c>
      <c r="J135" s="59" t="str">
        <f t="shared" ca="1" si="1"/>
        <v/>
      </c>
      <c r="K135" s="25"/>
      <c r="L135" s="129"/>
      <c r="M135" s="130"/>
      <c r="N135" s="35"/>
      <c r="O135" s="34"/>
      <c r="P135" s="25"/>
      <c r="Q135" s="25"/>
      <c r="R135" s="34"/>
      <c r="S135" s="34"/>
      <c r="T135" s="25"/>
      <c r="U135" s="25"/>
      <c r="V135" s="36"/>
      <c r="W135" s="86"/>
      <c r="X135" s="127"/>
      <c r="Y135" s="71" t="str">
        <f>IF(C135="Trả lại đơn vụ","",IF(C135="Trả lại đơn việc","",IF((NETWORKDAYS(F135,G135,'Danh sách ngày nghỉ lễ'!$B$5:$B$25)-1-3)&gt;0,"Quá hạn"&amp;" "&amp;(NETWORKDAYS(F135,G135,'Danh sách ngày nghỉ lễ'!$B$5:$B$25)-1-3)&amp;" "&amp;"ngày","")))</f>
        <v/>
      </c>
      <c r="Z135" s="72" t="str">
        <f>IF(S135=0,"",IF(P135="Chuyển","",IF(P135="Nhập vào vụ khác","",IF(P135="BA",IF((S135-R135)&gt;10,"Quá hạn"&amp;" "&amp;(S135-R135-10)&amp;" "&amp;"ngày",""),IF((NETWORKDAYS(R135,S135,'Danh sách ngày nghỉ lễ'!$B$5:$B$25)-VLOOKUP(P135,'Thời hạn'!$A$17:$B$23,2,0))&gt;1,"Quá hạn"&amp;" "&amp;(NETWORKDAYS(R135,S135,'Danh sách ngày nghỉ lễ'!$B$5:$B$25)-1-VLOOKUP(P135,'Thời hạn'!$A$17:$B$23,2,0))&amp;" "&amp;"ngày","")))))</f>
        <v/>
      </c>
      <c r="AA135" s="23">
        <v>1</v>
      </c>
    </row>
    <row r="136" spans="1:27" s="24" customFormat="1" ht="15.6" x14ac:dyDescent="0.3">
      <c r="A136" s="24">
        <v>1</v>
      </c>
      <c r="B136" s="85"/>
      <c r="C136" s="33"/>
      <c r="D136" s="25"/>
      <c r="E136" s="25"/>
      <c r="F136" s="34"/>
      <c r="G136" s="34"/>
      <c r="H136" s="25"/>
      <c r="I136" s="70" t="str">
        <f>IF(C136="Trả lại đơn vụ","",IF(C136="Trả lại đơn việc","",IF(C136="Hòa giải thành","",IF(F136=0,"",EDATE(F136,VLOOKUP(C136,'Thời hạn'!$A$1:$B$10,2,0))+H136))))</f>
        <v/>
      </c>
      <c r="J136" s="59" t="str">
        <f t="shared" ca="1" si="1"/>
        <v/>
      </c>
      <c r="K136" s="25"/>
      <c r="L136" s="129"/>
      <c r="M136" s="130"/>
      <c r="N136" s="35"/>
      <c r="O136" s="34"/>
      <c r="P136" s="25"/>
      <c r="Q136" s="25"/>
      <c r="R136" s="34"/>
      <c r="S136" s="34"/>
      <c r="T136" s="25"/>
      <c r="U136" s="25"/>
      <c r="V136" s="36"/>
      <c r="W136" s="86"/>
      <c r="X136" s="127"/>
      <c r="Y136" s="71" t="str">
        <f>IF(C136="Trả lại đơn vụ","",IF(C136="Trả lại đơn việc","",IF((NETWORKDAYS(F136,G136,'Danh sách ngày nghỉ lễ'!$B$5:$B$25)-1-3)&gt;0,"Quá hạn"&amp;" "&amp;(NETWORKDAYS(F136,G136,'Danh sách ngày nghỉ lễ'!$B$5:$B$25)-1-3)&amp;" "&amp;"ngày","")))</f>
        <v/>
      </c>
      <c r="Z136" s="72" t="str">
        <f>IF(S136=0,"",IF(P136="Chuyển","",IF(P136="Nhập vào vụ khác","",IF(P136="BA",IF((S136-R136)&gt;10,"Quá hạn"&amp;" "&amp;(S136-R136-10)&amp;" "&amp;"ngày",""),IF((NETWORKDAYS(R136,S136,'Danh sách ngày nghỉ lễ'!$B$5:$B$25)-VLOOKUP(P136,'Thời hạn'!$A$17:$B$23,2,0))&gt;1,"Quá hạn"&amp;" "&amp;(NETWORKDAYS(R136,S136,'Danh sách ngày nghỉ lễ'!$B$5:$B$25)-1-VLOOKUP(P136,'Thời hạn'!$A$17:$B$23,2,0))&amp;" "&amp;"ngày","")))))</f>
        <v/>
      </c>
      <c r="AA136" s="23">
        <v>1</v>
      </c>
    </row>
    <row r="137" spans="1:27" s="24" customFormat="1" ht="15.6" x14ac:dyDescent="0.3">
      <c r="A137" s="24">
        <v>1</v>
      </c>
      <c r="B137" s="85"/>
      <c r="C137" s="33"/>
      <c r="D137" s="25"/>
      <c r="E137" s="25"/>
      <c r="F137" s="34"/>
      <c r="G137" s="34"/>
      <c r="H137" s="25"/>
      <c r="I137" s="70" t="str">
        <f>IF(C137="Trả lại đơn vụ","",IF(C137="Trả lại đơn việc","",IF(C137="Hòa giải thành","",IF(F137=0,"",EDATE(F137,VLOOKUP(C137,'Thời hạn'!$A$1:$B$10,2,0))+H137))))</f>
        <v/>
      </c>
      <c r="J137" s="59" t="str">
        <f t="shared" ca="1" si="1"/>
        <v/>
      </c>
      <c r="K137" s="25"/>
      <c r="L137" s="129"/>
      <c r="M137" s="130"/>
      <c r="N137" s="35"/>
      <c r="O137" s="34"/>
      <c r="P137" s="25"/>
      <c r="Q137" s="25"/>
      <c r="R137" s="34"/>
      <c r="S137" s="34"/>
      <c r="T137" s="25"/>
      <c r="U137" s="25"/>
      <c r="V137" s="36"/>
      <c r="W137" s="86"/>
      <c r="X137" s="127"/>
      <c r="Y137" s="71" t="str">
        <f>IF(C137="Trả lại đơn vụ","",IF(C137="Trả lại đơn việc","",IF((NETWORKDAYS(F137,G137,'Danh sách ngày nghỉ lễ'!$B$5:$B$25)-1-3)&gt;0,"Quá hạn"&amp;" "&amp;(NETWORKDAYS(F137,G137,'Danh sách ngày nghỉ lễ'!$B$5:$B$25)-1-3)&amp;" "&amp;"ngày","")))</f>
        <v/>
      </c>
      <c r="Z137" s="72" t="str">
        <f>IF(S137=0,"",IF(P137="Chuyển","",IF(P137="Nhập vào vụ khác","",IF(P137="BA",IF((S137-R137)&gt;10,"Quá hạn"&amp;" "&amp;(S137-R137-10)&amp;" "&amp;"ngày",""),IF((NETWORKDAYS(R137,S137,'Danh sách ngày nghỉ lễ'!$B$5:$B$25)-VLOOKUP(P137,'Thời hạn'!$A$17:$B$23,2,0))&gt;1,"Quá hạn"&amp;" "&amp;(NETWORKDAYS(R137,S137,'Danh sách ngày nghỉ lễ'!$B$5:$B$25)-1-VLOOKUP(P137,'Thời hạn'!$A$17:$B$23,2,0))&amp;" "&amp;"ngày","")))))</f>
        <v/>
      </c>
      <c r="AA137" s="23">
        <v>1</v>
      </c>
    </row>
    <row r="138" spans="1:27" s="24" customFormat="1" ht="15.6" x14ac:dyDescent="0.3">
      <c r="A138" s="24">
        <v>1</v>
      </c>
      <c r="B138" s="85"/>
      <c r="C138" s="33"/>
      <c r="D138" s="25"/>
      <c r="E138" s="25"/>
      <c r="F138" s="34"/>
      <c r="G138" s="34"/>
      <c r="H138" s="25"/>
      <c r="I138" s="70" t="str">
        <f>IF(C138="Trả lại đơn vụ","",IF(C138="Trả lại đơn việc","",IF(C138="Hòa giải thành","",IF(F138=0,"",EDATE(F138,VLOOKUP(C138,'Thời hạn'!$A$1:$B$10,2,0))+H138))))</f>
        <v/>
      </c>
      <c r="J138" s="59" t="str">
        <f t="shared" ca="1" si="1"/>
        <v/>
      </c>
      <c r="K138" s="25"/>
      <c r="L138" s="129"/>
      <c r="M138" s="130"/>
      <c r="N138" s="35"/>
      <c r="O138" s="34"/>
      <c r="P138" s="25"/>
      <c r="Q138" s="25"/>
      <c r="R138" s="34"/>
      <c r="S138" s="34"/>
      <c r="T138" s="25"/>
      <c r="U138" s="25"/>
      <c r="V138" s="36"/>
      <c r="W138" s="86"/>
      <c r="X138" s="127"/>
      <c r="Y138" s="71" t="str">
        <f>IF(C138="Trả lại đơn vụ","",IF(C138="Trả lại đơn việc","",IF((NETWORKDAYS(F138,G138,'Danh sách ngày nghỉ lễ'!$B$5:$B$25)-1-3)&gt;0,"Quá hạn"&amp;" "&amp;(NETWORKDAYS(F138,G138,'Danh sách ngày nghỉ lễ'!$B$5:$B$25)-1-3)&amp;" "&amp;"ngày","")))</f>
        <v/>
      </c>
      <c r="Z138" s="72" t="str">
        <f>IF(S138=0,"",IF(P138="Chuyển","",IF(P138="Nhập vào vụ khác","",IF(P138="BA",IF((S138-R138)&gt;10,"Quá hạn"&amp;" "&amp;(S138-R138-10)&amp;" "&amp;"ngày",""),IF((NETWORKDAYS(R138,S138,'Danh sách ngày nghỉ lễ'!$B$5:$B$25)-VLOOKUP(P138,'Thời hạn'!$A$17:$B$23,2,0))&gt;1,"Quá hạn"&amp;" "&amp;(NETWORKDAYS(R138,S138,'Danh sách ngày nghỉ lễ'!$B$5:$B$25)-1-VLOOKUP(P138,'Thời hạn'!$A$17:$B$23,2,0))&amp;" "&amp;"ngày","")))))</f>
        <v/>
      </c>
      <c r="AA138" s="23">
        <v>1</v>
      </c>
    </row>
    <row r="139" spans="1:27" s="24" customFormat="1" ht="15.6" x14ac:dyDescent="0.3">
      <c r="A139" s="24">
        <v>1</v>
      </c>
      <c r="B139" s="85"/>
      <c r="C139" s="33"/>
      <c r="D139" s="25"/>
      <c r="E139" s="25"/>
      <c r="F139" s="34"/>
      <c r="G139" s="34"/>
      <c r="H139" s="25"/>
      <c r="I139" s="70" t="str">
        <f>IF(C139="Trả lại đơn vụ","",IF(C139="Trả lại đơn việc","",IF(C139="Hòa giải thành","",IF(F139=0,"",EDATE(F139,VLOOKUP(C139,'Thời hạn'!$A$1:$B$10,2,0))+H139))))</f>
        <v/>
      </c>
      <c r="J139" s="59" t="str">
        <f t="shared" ref="J139:J202" ca="1" si="2">IF(C139="Trả lại đơn vụ","",IF(C139="Trả lại đơn việc","",IF(C139="Hòa giải thành","",IF(N139=0,IF(P139=0,IF(F139=0,"",I139-TODAY()+1),""),""))))</f>
        <v/>
      </c>
      <c r="K139" s="25"/>
      <c r="L139" s="129"/>
      <c r="M139" s="130"/>
      <c r="N139" s="35"/>
      <c r="O139" s="34"/>
      <c r="P139" s="25"/>
      <c r="Q139" s="25"/>
      <c r="R139" s="34"/>
      <c r="S139" s="34"/>
      <c r="T139" s="25"/>
      <c r="U139" s="25"/>
      <c r="V139" s="36"/>
      <c r="W139" s="86"/>
      <c r="X139" s="127"/>
      <c r="Y139" s="71" t="str">
        <f>IF(C139="Trả lại đơn vụ","",IF(C139="Trả lại đơn việc","",IF((NETWORKDAYS(F139,G139,'Danh sách ngày nghỉ lễ'!$B$5:$B$25)-1-3)&gt;0,"Quá hạn"&amp;" "&amp;(NETWORKDAYS(F139,G139,'Danh sách ngày nghỉ lễ'!$B$5:$B$25)-1-3)&amp;" "&amp;"ngày","")))</f>
        <v/>
      </c>
      <c r="Z139" s="72" t="str">
        <f>IF(S139=0,"",IF(P139="Chuyển","",IF(P139="Nhập vào vụ khác","",IF(P139="BA",IF((S139-R139)&gt;10,"Quá hạn"&amp;" "&amp;(S139-R139-10)&amp;" "&amp;"ngày",""),IF((NETWORKDAYS(R139,S139,'Danh sách ngày nghỉ lễ'!$B$5:$B$25)-VLOOKUP(P139,'Thời hạn'!$A$17:$B$23,2,0))&gt;1,"Quá hạn"&amp;" "&amp;(NETWORKDAYS(R139,S139,'Danh sách ngày nghỉ lễ'!$B$5:$B$25)-1-VLOOKUP(P139,'Thời hạn'!$A$17:$B$23,2,0))&amp;" "&amp;"ngày","")))))</f>
        <v/>
      </c>
      <c r="AA139" s="23">
        <v>1</v>
      </c>
    </row>
    <row r="140" spans="1:27" s="24" customFormat="1" ht="15.6" x14ac:dyDescent="0.3">
      <c r="A140" s="24">
        <v>1</v>
      </c>
      <c r="B140" s="85"/>
      <c r="C140" s="33"/>
      <c r="D140" s="25"/>
      <c r="E140" s="25"/>
      <c r="F140" s="34"/>
      <c r="G140" s="34"/>
      <c r="H140" s="25"/>
      <c r="I140" s="70" t="str">
        <f>IF(C140="Trả lại đơn vụ","",IF(C140="Trả lại đơn việc","",IF(C140="Hòa giải thành","",IF(F140=0,"",EDATE(F140,VLOOKUP(C140,'Thời hạn'!$A$1:$B$10,2,0))+H140))))</f>
        <v/>
      </c>
      <c r="J140" s="59" t="str">
        <f t="shared" ca="1" si="2"/>
        <v/>
      </c>
      <c r="K140" s="25"/>
      <c r="L140" s="129"/>
      <c r="M140" s="130"/>
      <c r="N140" s="35"/>
      <c r="O140" s="34"/>
      <c r="P140" s="25"/>
      <c r="Q140" s="25"/>
      <c r="R140" s="34"/>
      <c r="S140" s="34"/>
      <c r="T140" s="25"/>
      <c r="U140" s="25"/>
      <c r="V140" s="36"/>
      <c r="W140" s="86"/>
      <c r="X140" s="127"/>
      <c r="Y140" s="71" t="str">
        <f>IF(C140="Trả lại đơn vụ","",IF(C140="Trả lại đơn việc","",IF((NETWORKDAYS(F140,G140,'Danh sách ngày nghỉ lễ'!$B$5:$B$25)-1-3)&gt;0,"Quá hạn"&amp;" "&amp;(NETWORKDAYS(F140,G140,'Danh sách ngày nghỉ lễ'!$B$5:$B$25)-1-3)&amp;" "&amp;"ngày","")))</f>
        <v/>
      </c>
      <c r="Z140" s="72" t="str">
        <f>IF(S140=0,"",IF(P140="Chuyển","",IF(P140="Nhập vào vụ khác","",IF(P140="BA",IF((S140-R140)&gt;10,"Quá hạn"&amp;" "&amp;(S140-R140-10)&amp;" "&amp;"ngày",""),IF((NETWORKDAYS(R140,S140,'Danh sách ngày nghỉ lễ'!$B$5:$B$25)-VLOOKUP(P140,'Thời hạn'!$A$17:$B$23,2,0))&gt;1,"Quá hạn"&amp;" "&amp;(NETWORKDAYS(R140,S140,'Danh sách ngày nghỉ lễ'!$B$5:$B$25)-1-VLOOKUP(P140,'Thời hạn'!$A$17:$B$23,2,0))&amp;" "&amp;"ngày","")))))</f>
        <v/>
      </c>
      <c r="AA140" s="23">
        <v>1</v>
      </c>
    </row>
    <row r="141" spans="1:27" s="24" customFormat="1" ht="15.6" x14ac:dyDescent="0.3">
      <c r="A141" s="24">
        <v>1</v>
      </c>
      <c r="B141" s="85"/>
      <c r="C141" s="33"/>
      <c r="D141" s="25"/>
      <c r="E141" s="25"/>
      <c r="F141" s="34"/>
      <c r="G141" s="34"/>
      <c r="H141" s="25"/>
      <c r="I141" s="70" t="str">
        <f>IF(C141="Trả lại đơn vụ","",IF(C141="Trả lại đơn việc","",IF(C141="Hòa giải thành","",IF(F141=0,"",EDATE(F141,VLOOKUP(C141,'Thời hạn'!$A$1:$B$10,2,0))+H141))))</f>
        <v/>
      </c>
      <c r="J141" s="59" t="str">
        <f t="shared" ca="1" si="2"/>
        <v/>
      </c>
      <c r="K141" s="25"/>
      <c r="L141" s="129"/>
      <c r="M141" s="130"/>
      <c r="N141" s="35"/>
      <c r="O141" s="34"/>
      <c r="P141" s="25"/>
      <c r="Q141" s="25"/>
      <c r="R141" s="34"/>
      <c r="S141" s="34"/>
      <c r="T141" s="25"/>
      <c r="U141" s="25"/>
      <c r="V141" s="36"/>
      <c r="W141" s="86"/>
      <c r="X141" s="127"/>
      <c r="Y141" s="71" t="str">
        <f>IF(C141="Trả lại đơn vụ","",IF(C141="Trả lại đơn việc","",IF((NETWORKDAYS(F141,G141,'Danh sách ngày nghỉ lễ'!$B$5:$B$25)-1-3)&gt;0,"Quá hạn"&amp;" "&amp;(NETWORKDAYS(F141,G141,'Danh sách ngày nghỉ lễ'!$B$5:$B$25)-1-3)&amp;" "&amp;"ngày","")))</f>
        <v/>
      </c>
      <c r="Z141" s="72" t="str">
        <f>IF(S141=0,"",IF(P141="Chuyển","",IF(P141="Nhập vào vụ khác","",IF(P141="BA",IF((S141-R141)&gt;10,"Quá hạn"&amp;" "&amp;(S141-R141-10)&amp;" "&amp;"ngày",""),IF((NETWORKDAYS(R141,S141,'Danh sách ngày nghỉ lễ'!$B$5:$B$25)-VLOOKUP(P141,'Thời hạn'!$A$17:$B$23,2,0))&gt;1,"Quá hạn"&amp;" "&amp;(NETWORKDAYS(R141,S141,'Danh sách ngày nghỉ lễ'!$B$5:$B$25)-1-VLOOKUP(P141,'Thời hạn'!$A$17:$B$23,2,0))&amp;" "&amp;"ngày","")))))</f>
        <v/>
      </c>
      <c r="AA141" s="23">
        <v>1</v>
      </c>
    </row>
    <row r="142" spans="1:27" s="24" customFormat="1" ht="15.6" x14ac:dyDescent="0.3">
      <c r="A142" s="24">
        <v>1</v>
      </c>
      <c r="B142" s="85"/>
      <c r="C142" s="33"/>
      <c r="D142" s="25"/>
      <c r="E142" s="25"/>
      <c r="F142" s="34"/>
      <c r="G142" s="34"/>
      <c r="H142" s="25"/>
      <c r="I142" s="70" t="str">
        <f>IF(C142="Trả lại đơn vụ","",IF(C142="Trả lại đơn việc","",IF(C142="Hòa giải thành","",IF(F142=0,"",EDATE(F142,VLOOKUP(C142,'Thời hạn'!$A$1:$B$10,2,0))+H142))))</f>
        <v/>
      </c>
      <c r="J142" s="59" t="str">
        <f t="shared" ca="1" si="2"/>
        <v/>
      </c>
      <c r="K142" s="25"/>
      <c r="L142" s="129"/>
      <c r="M142" s="130"/>
      <c r="N142" s="35"/>
      <c r="O142" s="34"/>
      <c r="P142" s="25"/>
      <c r="Q142" s="25"/>
      <c r="R142" s="34"/>
      <c r="S142" s="34"/>
      <c r="T142" s="25"/>
      <c r="U142" s="25"/>
      <c r="V142" s="36"/>
      <c r="W142" s="86"/>
      <c r="X142" s="127"/>
      <c r="Y142" s="71" t="str">
        <f>IF(C142="Trả lại đơn vụ","",IF(C142="Trả lại đơn việc","",IF((NETWORKDAYS(F142,G142,'Danh sách ngày nghỉ lễ'!$B$5:$B$25)-1-3)&gt;0,"Quá hạn"&amp;" "&amp;(NETWORKDAYS(F142,G142,'Danh sách ngày nghỉ lễ'!$B$5:$B$25)-1-3)&amp;" "&amp;"ngày","")))</f>
        <v/>
      </c>
      <c r="Z142" s="72" t="str">
        <f>IF(S142=0,"",IF(P142="Chuyển","",IF(P142="Nhập vào vụ khác","",IF(P142="BA",IF((S142-R142)&gt;10,"Quá hạn"&amp;" "&amp;(S142-R142-10)&amp;" "&amp;"ngày",""),IF((NETWORKDAYS(R142,S142,'Danh sách ngày nghỉ lễ'!$B$5:$B$25)-VLOOKUP(P142,'Thời hạn'!$A$17:$B$23,2,0))&gt;1,"Quá hạn"&amp;" "&amp;(NETWORKDAYS(R142,S142,'Danh sách ngày nghỉ lễ'!$B$5:$B$25)-1-VLOOKUP(P142,'Thời hạn'!$A$17:$B$23,2,0))&amp;" "&amp;"ngày","")))))</f>
        <v/>
      </c>
      <c r="AA142" s="23">
        <v>1</v>
      </c>
    </row>
    <row r="143" spans="1:27" s="24" customFormat="1" ht="15.6" x14ac:dyDescent="0.3">
      <c r="A143" s="24">
        <v>1</v>
      </c>
      <c r="B143" s="85"/>
      <c r="C143" s="33"/>
      <c r="D143" s="25"/>
      <c r="E143" s="25"/>
      <c r="F143" s="34"/>
      <c r="G143" s="34"/>
      <c r="H143" s="25"/>
      <c r="I143" s="70" t="str">
        <f>IF(C143="Trả lại đơn vụ","",IF(C143="Trả lại đơn việc","",IF(C143="Hòa giải thành","",IF(F143=0,"",EDATE(F143,VLOOKUP(C143,'Thời hạn'!$A$1:$B$10,2,0))+H143))))</f>
        <v/>
      </c>
      <c r="J143" s="59" t="str">
        <f t="shared" ca="1" si="2"/>
        <v/>
      </c>
      <c r="K143" s="25"/>
      <c r="L143" s="129"/>
      <c r="M143" s="130"/>
      <c r="N143" s="35"/>
      <c r="O143" s="34"/>
      <c r="P143" s="25"/>
      <c r="Q143" s="25"/>
      <c r="R143" s="34"/>
      <c r="S143" s="34"/>
      <c r="T143" s="25"/>
      <c r="U143" s="25"/>
      <c r="V143" s="36"/>
      <c r="W143" s="86"/>
      <c r="X143" s="127"/>
      <c r="Y143" s="71" t="str">
        <f>IF(C143="Trả lại đơn vụ","",IF(C143="Trả lại đơn việc","",IF((NETWORKDAYS(F143,G143,'Danh sách ngày nghỉ lễ'!$B$5:$B$25)-1-3)&gt;0,"Quá hạn"&amp;" "&amp;(NETWORKDAYS(F143,G143,'Danh sách ngày nghỉ lễ'!$B$5:$B$25)-1-3)&amp;" "&amp;"ngày","")))</f>
        <v/>
      </c>
      <c r="Z143" s="72" t="str">
        <f>IF(S143=0,"",IF(P143="Chuyển","",IF(P143="Nhập vào vụ khác","",IF(P143="BA",IF((S143-R143)&gt;10,"Quá hạn"&amp;" "&amp;(S143-R143-10)&amp;" "&amp;"ngày",""),IF((NETWORKDAYS(R143,S143,'Danh sách ngày nghỉ lễ'!$B$5:$B$25)-VLOOKUP(P143,'Thời hạn'!$A$17:$B$23,2,0))&gt;1,"Quá hạn"&amp;" "&amp;(NETWORKDAYS(R143,S143,'Danh sách ngày nghỉ lễ'!$B$5:$B$25)-1-VLOOKUP(P143,'Thời hạn'!$A$17:$B$23,2,0))&amp;" "&amp;"ngày","")))))</f>
        <v/>
      </c>
      <c r="AA143" s="23">
        <v>1</v>
      </c>
    </row>
    <row r="144" spans="1:27" s="24" customFormat="1" ht="15.6" x14ac:dyDescent="0.3">
      <c r="A144" s="24">
        <v>1</v>
      </c>
      <c r="B144" s="85"/>
      <c r="C144" s="33"/>
      <c r="D144" s="25"/>
      <c r="E144" s="25"/>
      <c r="F144" s="34"/>
      <c r="G144" s="34"/>
      <c r="H144" s="25"/>
      <c r="I144" s="70" t="str">
        <f>IF(C144="Trả lại đơn vụ","",IF(C144="Trả lại đơn việc","",IF(C144="Hòa giải thành","",IF(F144=0,"",EDATE(F144,VLOOKUP(C144,'Thời hạn'!$A$1:$B$10,2,0))+H144))))</f>
        <v/>
      </c>
      <c r="J144" s="59" t="str">
        <f t="shared" ca="1" si="2"/>
        <v/>
      </c>
      <c r="K144" s="25"/>
      <c r="L144" s="129"/>
      <c r="M144" s="130"/>
      <c r="N144" s="35"/>
      <c r="O144" s="34"/>
      <c r="P144" s="25"/>
      <c r="Q144" s="25"/>
      <c r="R144" s="34"/>
      <c r="S144" s="34"/>
      <c r="T144" s="25"/>
      <c r="U144" s="25"/>
      <c r="V144" s="36"/>
      <c r="W144" s="86"/>
      <c r="X144" s="127"/>
      <c r="Y144" s="71" t="str">
        <f>IF(C144="Trả lại đơn vụ","",IF(C144="Trả lại đơn việc","",IF((NETWORKDAYS(F144,G144,'Danh sách ngày nghỉ lễ'!$B$5:$B$25)-1-3)&gt;0,"Quá hạn"&amp;" "&amp;(NETWORKDAYS(F144,G144,'Danh sách ngày nghỉ lễ'!$B$5:$B$25)-1-3)&amp;" "&amp;"ngày","")))</f>
        <v/>
      </c>
      <c r="Z144" s="72" t="str">
        <f>IF(S144=0,"",IF(P144="Chuyển","",IF(P144="Nhập vào vụ khác","",IF(P144="BA",IF((S144-R144)&gt;10,"Quá hạn"&amp;" "&amp;(S144-R144-10)&amp;" "&amp;"ngày",""),IF((NETWORKDAYS(R144,S144,'Danh sách ngày nghỉ lễ'!$B$5:$B$25)-VLOOKUP(P144,'Thời hạn'!$A$17:$B$23,2,0))&gt;1,"Quá hạn"&amp;" "&amp;(NETWORKDAYS(R144,S144,'Danh sách ngày nghỉ lễ'!$B$5:$B$25)-1-VLOOKUP(P144,'Thời hạn'!$A$17:$B$23,2,0))&amp;" "&amp;"ngày","")))))</f>
        <v/>
      </c>
      <c r="AA144" s="23">
        <v>1</v>
      </c>
    </row>
    <row r="145" spans="1:27" s="24" customFormat="1" ht="15.6" x14ac:dyDescent="0.3">
      <c r="A145" s="24">
        <v>1</v>
      </c>
      <c r="B145" s="85"/>
      <c r="C145" s="33"/>
      <c r="D145" s="25"/>
      <c r="E145" s="25"/>
      <c r="F145" s="34"/>
      <c r="G145" s="34"/>
      <c r="H145" s="25"/>
      <c r="I145" s="70" t="str">
        <f>IF(C145="Trả lại đơn vụ","",IF(C145="Trả lại đơn việc","",IF(C145="Hòa giải thành","",IF(F145=0,"",EDATE(F145,VLOOKUP(C145,'Thời hạn'!$A$1:$B$10,2,0))+H145))))</f>
        <v/>
      </c>
      <c r="J145" s="59" t="str">
        <f t="shared" ca="1" si="2"/>
        <v/>
      </c>
      <c r="K145" s="25"/>
      <c r="L145" s="129"/>
      <c r="M145" s="130"/>
      <c r="N145" s="35"/>
      <c r="O145" s="34"/>
      <c r="P145" s="25"/>
      <c r="Q145" s="25"/>
      <c r="R145" s="34"/>
      <c r="S145" s="34"/>
      <c r="T145" s="25"/>
      <c r="U145" s="25"/>
      <c r="V145" s="36"/>
      <c r="W145" s="86"/>
      <c r="X145" s="127"/>
      <c r="Y145" s="71" t="str">
        <f>IF(C145="Trả lại đơn vụ","",IF(C145="Trả lại đơn việc","",IF((NETWORKDAYS(F145,G145,'Danh sách ngày nghỉ lễ'!$B$5:$B$25)-1-3)&gt;0,"Quá hạn"&amp;" "&amp;(NETWORKDAYS(F145,G145,'Danh sách ngày nghỉ lễ'!$B$5:$B$25)-1-3)&amp;" "&amp;"ngày","")))</f>
        <v/>
      </c>
      <c r="Z145" s="72" t="str">
        <f>IF(S145=0,"",IF(P145="Chuyển","",IF(P145="Nhập vào vụ khác","",IF(P145="BA",IF((S145-R145)&gt;10,"Quá hạn"&amp;" "&amp;(S145-R145-10)&amp;" "&amp;"ngày",""),IF((NETWORKDAYS(R145,S145,'Danh sách ngày nghỉ lễ'!$B$5:$B$25)-VLOOKUP(P145,'Thời hạn'!$A$17:$B$23,2,0))&gt;1,"Quá hạn"&amp;" "&amp;(NETWORKDAYS(R145,S145,'Danh sách ngày nghỉ lễ'!$B$5:$B$25)-1-VLOOKUP(P145,'Thời hạn'!$A$17:$B$23,2,0))&amp;" "&amp;"ngày","")))))</f>
        <v/>
      </c>
      <c r="AA145" s="23">
        <v>1</v>
      </c>
    </row>
    <row r="146" spans="1:27" s="24" customFormat="1" ht="15.6" x14ac:dyDescent="0.3">
      <c r="A146" s="24">
        <v>1</v>
      </c>
      <c r="B146" s="85"/>
      <c r="C146" s="33"/>
      <c r="D146" s="25"/>
      <c r="E146" s="25"/>
      <c r="F146" s="34"/>
      <c r="G146" s="34"/>
      <c r="H146" s="25"/>
      <c r="I146" s="70" t="str">
        <f>IF(C146="Trả lại đơn vụ","",IF(C146="Trả lại đơn việc","",IF(C146="Hòa giải thành","",IF(F146=0,"",EDATE(F146,VLOOKUP(C146,'Thời hạn'!$A$1:$B$10,2,0))+H146))))</f>
        <v/>
      </c>
      <c r="J146" s="59" t="str">
        <f t="shared" ca="1" si="2"/>
        <v/>
      </c>
      <c r="K146" s="25"/>
      <c r="L146" s="129"/>
      <c r="M146" s="130"/>
      <c r="N146" s="35"/>
      <c r="O146" s="34"/>
      <c r="P146" s="25"/>
      <c r="Q146" s="25"/>
      <c r="R146" s="34"/>
      <c r="S146" s="34"/>
      <c r="T146" s="25"/>
      <c r="U146" s="25"/>
      <c r="V146" s="36"/>
      <c r="W146" s="86"/>
      <c r="X146" s="127"/>
      <c r="Y146" s="71" t="str">
        <f>IF(C146="Trả lại đơn vụ","",IF(C146="Trả lại đơn việc","",IF((NETWORKDAYS(F146,G146,'Danh sách ngày nghỉ lễ'!$B$5:$B$25)-1-3)&gt;0,"Quá hạn"&amp;" "&amp;(NETWORKDAYS(F146,G146,'Danh sách ngày nghỉ lễ'!$B$5:$B$25)-1-3)&amp;" "&amp;"ngày","")))</f>
        <v/>
      </c>
      <c r="Z146" s="72" t="str">
        <f>IF(S146=0,"",IF(P146="Chuyển","",IF(P146="Nhập vào vụ khác","",IF(P146="BA",IF((S146-R146)&gt;10,"Quá hạn"&amp;" "&amp;(S146-R146-10)&amp;" "&amp;"ngày",""),IF((NETWORKDAYS(R146,S146,'Danh sách ngày nghỉ lễ'!$B$5:$B$25)-VLOOKUP(P146,'Thời hạn'!$A$17:$B$23,2,0))&gt;1,"Quá hạn"&amp;" "&amp;(NETWORKDAYS(R146,S146,'Danh sách ngày nghỉ lễ'!$B$5:$B$25)-1-VLOOKUP(P146,'Thời hạn'!$A$17:$B$23,2,0))&amp;" "&amp;"ngày","")))))</f>
        <v/>
      </c>
      <c r="AA146" s="23">
        <v>1</v>
      </c>
    </row>
    <row r="147" spans="1:27" s="24" customFormat="1" ht="15.6" x14ac:dyDescent="0.3">
      <c r="A147" s="24">
        <v>1</v>
      </c>
      <c r="B147" s="85"/>
      <c r="C147" s="33"/>
      <c r="D147" s="25"/>
      <c r="E147" s="25"/>
      <c r="F147" s="34"/>
      <c r="G147" s="34"/>
      <c r="H147" s="25"/>
      <c r="I147" s="70" t="str">
        <f>IF(C147="Trả lại đơn vụ","",IF(C147="Trả lại đơn việc","",IF(C147="Hòa giải thành","",IF(F147=0,"",EDATE(F147,VLOOKUP(C147,'Thời hạn'!$A$1:$B$10,2,0))+H147))))</f>
        <v/>
      </c>
      <c r="J147" s="59" t="str">
        <f t="shared" ca="1" si="2"/>
        <v/>
      </c>
      <c r="K147" s="25"/>
      <c r="L147" s="129"/>
      <c r="M147" s="130"/>
      <c r="N147" s="35"/>
      <c r="O147" s="34"/>
      <c r="P147" s="25"/>
      <c r="Q147" s="25"/>
      <c r="R147" s="34"/>
      <c r="S147" s="34"/>
      <c r="T147" s="25"/>
      <c r="U147" s="25"/>
      <c r="V147" s="36"/>
      <c r="W147" s="86"/>
      <c r="X147" s="127"/>
      <c r="Y147" s="71" t="str">
        <f>IF(C147="Trả lại đơn vụ","",IF(C147="Trả lại đơn việc","",IF((NETWORKDAYS(F147,G147,'Danh sách ngày nghỉ lễ'!$B$5:$B$25)-1-3)&gt;0,"Quá hạn"&amp;" "&amp;(NETWORKDAYS(F147,G147,'Danh sách ngày nghỉ lễ'!$B$5:$B$25)-1-3)&amp;" "&amp;"ngày","")))</f>
        <v/>
      </c>
      <c r="Z147" s="72" t="str">
        <f>IF(S147=0,"",IF(P147="Chuyển","",IF(P147="Nhập vào vụ khác","",IF(P147="BA",IF((S147-R147)&gt;10,"Quá hạn"&amp;" "&amp;(S147-R147-10)&amp;" "&amp;"ngày",""),IF((NETWORKDAYS(R147,S147,'Danh sách ngày nghỉ lễ'!$B$5:$B$25)-VLOOKUP(P147,'Thời hạn'!$A$17:$B$23,2,0))&gt;1,"Quá hạn"&amp;" "&amp;(NETWORKDAYS(R147,S147,'Danh sách ngày nghỉ lễ'!$B$5:$B$25)-1-VLOOKUP(P147,'Thời hạn'!$A$17:$B$23,2,0))&amp;" "&amp;"ngày","")))))</f>
        <v/>
      </c>
      <c r="AA147" s="23">
        <v>1</v>
      </c>
    </row>
    <row r="148" spans="1:27" s="24" customFormat="1" ht="15.6" x14ac:dyDescent="0.3">
      <c r="A148" s="24">
        <v>1</v>
      </c>
      <c r="B148" s="85"/>
      <c r="C148" s="33"/>
      <c r="D148" s="25"/>
      <c r="E148" s="25"/>
      <c r="F148" s="34"/>
      <c r="G148" s="34"/>
      <c r="H148" s="25"/>
      <c r="I148" s="70" t="str">
        <f>IF(C148="Trả lại đơn vụ","",IF(C148="Trả lại đơn việc","",IF(C148="Hòa giải thành","",IF(F148=0,"",EDATE(F148,VLOOKUP(C148,'Thời hạn'!$A$1:$B$10,2,0))+H148))))</f>
        <v/>
      </c>
      <c r="J148" s="59" t="str">
        <f t="shared" ca="1" si="2"/>
        <v/>
      </c>
      <c r="K148" s="25"/>
      <c r="L148" s="129"/>
      <c r="M148" s="130"/>
      <c r="N148" s="35"/>
      <c r="O148" s="34"/>
      <c r="P148" s="25"/>
      <c r="Q148" s="25"/>
      <c r="R148" s="34"/>
      <c r="S148" s="34"/>
      <c r="T148" s="25"/>
      <c r="U148" s="25"/>
      <c r="V148" s="36"/>
      <c r="W148" s="86"/>
      <c r="X148" s="127"/>
      <c r="Y148" s="71" t="str">
        <f>IF(C148="Trả lại đơn vụ","",IF(C148="Trả lại đơn việc","",IF((NETWORKDAYS(F148,G148,'Danh sách ngày nghỉ lễ'!$B$5:$B$25)-1-3)&gt;0,"Quá hạn"&amp;" "&amp;(NETWORKDAYS(F148,G148,'Danh sách ngày nghỉ lễ'!$B$5:$B$25)-1-3)&amp;" "&amp;"ngày","")))</f>
        <v/>
      </c>
      <c r="Z148" s="72" t="str">
        <f>IF(S148=0,"",IF(P148="Chuyển","",IF(P148="Nhập vào vụ khác","",IF(P148="BA",IF((S148-R148)&gt;10,"Quá hạn"&amp;" "&amp;(S148-R148-10)&amp;" "&amp;"ngày",""),IF((NETWORKDAYS(R148,S148,'Danh sách ngày nghỉ lễ'!$B$5:$B$25)-VLOOKUP(P148,'Thời hạn'!$A$17:$B$23,2,0))&gt;1,"Quá hạn"&amp;" "&amp;(NETWORKDAYS(R148,S148,'Danh sách ngày nghỉ lễ'!$B$5:$B$25)-1-VLOOKUP(P148,'Thời hạn'!$A$17:$B$23,2,0))&amp;" "&amp;"ngày","")))))</f>
        <v/>
      </c>
      <c r="AA148" s="23">
        <v>1</v>
      </c>
    </row>
    <row r="149" spans="1:27" s="24" customFormat="1" ht="15.6" x14ac:dyDescent="0.3">
      <c r="A149" s="24">
        <v>1</v>
      </c>
      <c r="B149" s="85"/>
      <c r="C149" s="33"/>
      <c r="D149" s="25"/>
      <c r="E149" s="25"/>
      <c r="F149" s="34"/>
      <c r="G149" s="34"/>
      <c r="H149" s="25"/>
      <c r="I149" s="70" t="str">
        <f>IF(C149="Trả lại đơn vụ","",IF(C149="Trả lại đơn việc","",IF(C149="Hòa giải thành","",IF(F149=0,"",EDATE(F149,VLOOKUP(C149,'Thời hạn'!$A$1:$B$10,2,0))+H149))))</f>
        <v/>
      </c>
      <c r="J149" s="59" t="str">
        <f t="shared" ca="1" si="2"/>
        <v/>
      </c>
      <c r="K149" s="25"/>
      <c r="L149" s="129"/>
      <c r="M149" s="130"/>
      <c r="N149" s="35"/>
      <c r="O149" s="34"/>
      <c r="P149" s="25"/>
      <c r="Q149" s="25"/>
      <c r="R149" s="34"/>
      <c r="S149" s="34"/>
      <c r="T149" s="25"/>
      <c r="U149" s="25"/>
      <c r="V149" s="36"/>
      <c r="W149" s="86"/>
      <c r="X149" s="127"/>
      <c r="Y149" s="71" t="str">
        <f>IF(C149="Trả lại đơn vụ","",IF(C149="Trả lại đơn việc","",IF((NETWORKDAYS(F149,G149,'Danh sách ngày nghỉ lễ'!$B$5:$B$25)-1-3)&gt;0,"Quá hạn"&amp;" "&amp;(NETWORKDAYS(F149,G149,'Danh sách ngày nghỉ lễ'!$B$5:$B$25)-1-3)&amp;" "&amp;"ngày","")))</f>
        <v/>
      </c>
      <c r="Z149" s="72" t="str">
        <f>IF(S149=0,"",IF(P149="Chuyển","",IF(P149="Nhập vào vụ khác","",IF(P149="BA",IF((S149-R149)&gt;10,"Quá hạn"&amp;" "&amp;(S149-R149-10)&amp;" "&amp;"ngày",""),IF((NETWORKDAYS(R149,S149,'Danh sách ngày nghỉ lễ'!$B$5:$B$25)-VLOOKUP(P149,'Thời hạn'!$A$17:$B$23,2,0))&gt;1,"Quá hạn"&amp;" "&amp;(NETWORKDAYS(R149,S149,'Danh sách ngày nghỉ lễ'!$B$5:$B$25)-1-VLOOKUP(P149,'Thời hạn'!$A$17:$B$23,2,0))&amp;" "&amp;"ngày","")))))</f>
        <v/>
      </c>
      <c r="AA149" s="23">
        <v>1</v>
      </c>
    </row>
    <row r="150" spans="1:27" s="24" customFormat="1" ht="15.6" x14ac:dyDescent="0.3">
      <c r="A150" s="24">
        <v>1</v>
      </c>
      <c r="B150" s="85"/>
      <c r="C150" s="33"/>
      <c r="D150" s="25"/>
      <c r="E150" s="25"/>
      <c r="F150" s="34"/>
      <c r="G150" s="34"/>
      <c r="H150" s="25"/>
      <c r="I150" s="70" t="str">
        <f>IF(C150="Trả lại đơn vụ","",IF(C150="Trả lại đơn việc","",IF(C150="Hòa giải thành","",IF(F150=0,"",EDATE(F150,VLOOKUP(C150,'Thời hạn'!$A$1:$B$10,2,0))+H150))))</f>
        <v/>
      </c>
      <c r="J150" s="59" t="str">
        <f t="shared" ca="1" si="2"/>
        <v/>
      </c>
      <c r="K150" s="25"/>
      <c r="L150" s="129"/>
      <c r="M150" s="130"/>
      <c r="N150" s="35"/>
      <c r="O150" s="34"/>
      <c r="P150" s="25"/>
      <c r="Q150" s="25"/>
      <c r="R150" s="34"/>
      <c r="S150" s="34"/>
      <c r="T150" s="25"/>
      <c r="U150" s="25"/>
      <c r="V150" s="36"/>
      <c r="W150" s="86"/>
      <c r="X150" s="127"/>
      <c r="Y150" s="71" t="str">
        <f>IF(C150="Trả lại đơn vụ","",IF(C150="Trả lại đơn việc","",IF((NETWORKDAYS(F150,G150,'Danh sách ngày nghỉ lễ'!$B$5:$B$25)-1-3)&gt;0,"Quá hạn"&amp;" "&amp;(NETWORKDAYS(F150,G150,'Danh sách ngày nghỉ lễ'!$B$5:$B$25)-1-3)&amp;" "&amp;"ngày","")))</f>
        <v/>
      </c>
      <c r="Z150" s="72" t="str">
        <f>IF(S150=0,"",IF(P150="Chuyển","",IF(P150="Nhập vào vụ khác","",IF(P150="BA",IF((S150-R150)&gt;10,"Quá hạn"&amp;" "&amp;(S150-R150-10)&amp;" "&amp;"ngày",""),IF((NETWORKDAYS(R150,S150,'Danh sách ngày nghỉ lễ'!$B$5:$B$25)-VLOOKUP(P150,'Thời hạn'!$A$17:$B$23,2,0))&gt;1,"Quá hạn"&amp;" "&amp;(NETWORKDAYS(R150,S150,'Danh sách ngày nghỉ lễ'!$B$5:$B$25)-1-VLOOKUP(P150,'Thời hạn'!$A$17:$B$23,2,0))&amp;" "&amp;"ngày","")))))</f>
        <v/>
      </c>
      <c r="AA150" s="23">
        <v>1</v>
      </c>
    </row>
    <row r="151" spans="1:27" s="24" customFormat="1" ht="15.6" x14ac:dyDescent="0.3">
      <c r="A151" s="24">
        <v>1</v>
      </c>
      <c r="B151" s="85"/>
      <c r="C151" s="33"/>
      <c r="D151" s="25"/>
      <c r="E151" s="25"/>
      <c r="F151" s="34"/>
      <c r="G151" s="34"/>
      <c r="H151" s="25"/>
      <c r="I151" s="70" t="str">
        <f>IF(C151="Trả lại đơn vụ","",IF(C151="Trả lại đơn việc","",IF(C151="Hòa giải thành","",IF(F151=0,"",EDATE(F151,VLOOKUP(C151,'Thời hạn'!$A$1:$B$10,2,0))+H151))))</f>
        <v/>
      </c>
      <c r="J151" s="59" t="str">
        <f t="shared" ca="1" si="2"/>
        <v/>
      </c>
      <c r="K151" s="25"/>
      <c r="L151" s="129"/>
      <c r="M151" s="130"/>
      <c r="N151" s="35"/>
      <c r="O151" s="34"/>
      <c r="P151" s="25"/>
      <c r="Q151" s="25"/>
      <c r="R151" s="34"/>
      <c r="S151" s="34"/>
      <c r="T151" s="25"/>
      <c r="U151" s="25"/>
      <c r="V151" s="36"/>
      <c r="W151" s="86"/>
      <c r="X151" s="127"/>
      <c r="Y151" s="71" t="str">
        <f>IF(C151="Trả lại đơn vụ","",IF(C151="Trả lại đơn việc","",IF((NETWORKDAYS(F151,G151,'Danh sách ngày nghỉ lễ'!$B$5:$B$25)-1-3)&gt;0,"Quá hạn"&amp;" "&amp;(NETWORKDAYS(F151,G151,'Danh sách ngày nghỉ lễ'!$B$5:$B$25)-1-3)&amp;" "&amp;"ngày","")))</f>
        <v/>
      </c>
      <c r="Z151" s="72" t="str">
        <f>IF(S151=0,"",IF(P151="Chuyển","",IF(P151="Nhập vào vụ khác","",IF(P151="BA",IF((S151-R151)&gt;10,"Quá hạn"&amp;" "&amp;(S151-R151-10)&amp;" "&amp;"ngày",""),IF((NETWORKDAYS(R151,S151,'Danh sách ngày nghỉ lễ'!$B$5:$B$25)-VLOOKUP(P151,'Thời hạn'!$A$17:$B$23,2,0))&gt;1,"Quá hạn"&amp;" "&amp;(NETWORKDAYS(R151,S151,'Danh sách ngày nghỉ lễ'!$B$5:$B$25)-1-VLOOKUP(P151,'Thời hạn'!$A$17:$B$23,2,0))&amp;" "&amp;"ngày","")))))</f>
        <v/>
      </c>
      <c r="AA151" s="23">
        <v>1</v>
      </c>
    </row>
    <row r="152" spans="1:27" s="24" customFormat="1" ht="15.6" x14ac:dyDescent="0.3">
      <c r="A152" s="24">
        <v>1</v>
      </c>
      <c r="B152" s="85"/>
      <c r="C152" s="33"/>
      <c r="D152" s="25"/>
      <c r="E152" s="25"/>
      <c r="F152" s="34"/>
      <c r="G152" s="34"/>
      <c r="H152" s="25"/>
      <c r="I152" s="70" t="str">
        <f>IF(C152="Trả lại đơn vụ","",IF(C152="Trả lại đơn việc","",IF(C152="Hòa giải thành","",IF(F152=0,"",EDATE(F152,VLOOKUP(C152,'Thời hạn'!$A$1:$B$10,2,0))+H152))))</f>
        <v/>
      </c>
      <c r="J152" s="59" t="str">
        <f t="shared" ca="1" si="2"/>
        <v/>
      </c>
      <c r="K152" s="25"/>
      <c r="L152" s="129"/>
      <c r="M152" s="130"/>
      <c r="N152" s="35"/>
      <c r="O152" s="34"/>
      <c r="P152" s="25"/>
      <c r="Q152" s="25"/>
      <c r="R152" s="34"/>
      <c r="S152" s="34"/>
      <c r="T152" s="25"/>
      <c r="U152" s="25"/>
      <c r="V152" s="36"/>
      <c r="W152" s="86"/>
      <c r="X152" s="127"/>
      <c r="Y152" s="71" t="str">
        <f>IF(C152="Trả lại đơn vụ","",IF(C152="Trả lại đơn việc","",IF((NETWORKDAYS(F152,G152,'Danh sách ngày nghỉ lễ'!$B$5:$B$25)-1-3)&gt;0,"Quá hạn"&amp;" "&amp;(NETWORKDAYS(F152,G152,'Danh sách ngày nghỉ lễ'!$B$5:$B$25)-1-3)&amp;" "&amp;"ngày","")))</f>
        <v/>
      </c>
      <c r="Z152" s="72" t="str">
        <f>IF(S152=0,"",IF(P152="Chuyển","",IF(P152="Nhập vào vụ khác","",IF(P152="BA",IF((S152-R152)&gt;10,"Quá hạn"&amp;" "&amp;(S152-R152-10)&amp;" "&amp;"ngày",""),IF((NETWORKDAYS(R152,S152,'Danh sách ngày nghỉ lễ'!$B$5:$B$25)-VLOOKUP(P152,'Thời hạn'!$A$17:$B$23,2,0))&gt;1,"Quá hạn"&amp;" "&amp;(NETWORKDAYS(R152,S152,'Danh sách ngày nghỉ lễ'!$B$5:$B$25)-1-VLOOKUP(P152,'Thời hạn'!$A$17:$B$23,2,0))&amp;" "&amp;"ngày","")))))</f>
        <v/>
      </c>
      <c r="AA152" s="23">
        <v>1</v>
      </c>
    </row>
    <row r="153" spans="1:27" s="24" customFormat="1" ht="15.6" x14ac:dyDescent="0.3">
      <c r="A153" s="24">
        <v>1</v>
      </c>
      <c r="B153" s="85"/>
      <c r="C153" s="33"/>
      <c r="D153" s="25"/>
      <c r="E153" s="25"/>
      <c r="F153" s="34"/>
      <c r="G153" s="34"/>
      <c r="H153" s="25"/>
      <c r="I153" s="70" t="str">
        <f>IF(C153="Trả lại đơn vụ","",IF(C153="Trả lại đơn việc","",IF(C153="Hòa giải thành","",IF(F153=0,"",EDATE(F153,VLOOKUP(C153,'Thời hạn'!$A$1:$B$10,2,0))+H153))))</f>
        <v/>
      </c>
      <c r="J153" s="59" t="str">
        <f t="shared" ca="1" si="2"/>
        <v/>
      </c>
      <c r="K153" s="25"/>
      <c r="L153" s="129"/>
      <c r="M153" s="130"/>
      <c r="N153" s="35"/>
      <c r="O153" s="34"/>
      <c r="P153" s="25"/>
      <c r="Q153" s="25"/>
      <c r="R153" s="34"/>
      <c r="S153" s="34"/>
      <c r="T153" s="25"/>
      <c r="U153" s="25"/>
      <c r="V153" s="36"/>
      <c r="W153" s="86"/>
      <c r="X153" s="127"/>
      <c r="Y153" s="71" t="str">
        <f>IF(C153="Trả lại đơn vụ","",IF(C153="Trả lại đơn việc","",IF((NETWORKDAYS(F153,G153,'Danh sách ngày nghỉ lễ'!$B$5:$B$25)-1-3)&gt;0,"Quá hạn"&amp;" "&amp;(NETWORKDAYS(F153,G153,'Danh sách ngày nghỉ lễ'!$B$5:$B$25)-1-3)&amp;" "&amp;"ngày","")))</f>
        <v/>
      </c>
      <c r="Z153" s="72" t="str">
        <f>IF(S153=0,"",IF(P153="Chuyển","",IF(P153="Nhập vào vụ khác","",IF(P153="BA",IF((S153-R153)&gt;10,"Quá hạn"&amp;" "&amp;(S153-R153-10)&amp;" "&amp;"ngày",""),IF((NETWORKDAYS(R153,S153,'Danh sách ngày nghỉ lễ'!$B$5:$B$25)-VLOOKUP(P153,'Thời hạn'!$A$17:$B$23,2,0))&gt;1,"Quá hạn"&amp;" "&amp;(NETWORKDAYS(R153,S153,'Danh sách ngày nghỉ lễ'!$B$5:$B$25)-1-VLOOKUP(P153,'Thời hạn'!$A$17:$B$23,2,0))&amp;" "&amp;"ngày","")))))</f>
        <v/>
      </c>
      <c r="AA153" s="23">
        <v>1</v>
      </c>
    </row>
    <row r="154" spans="1:27" s="24" customFormat="1" ht="15.6" x14ac:dyDescent="0.3">
      <c r="A154" s="24">
        <v>1</v>
      </c>
      <c r="B154" s="85"/>
      <c r="C154" s="33"/>
      <c r="D154" s="25"/>
      <c r="E154" s="25"/>
      <c r="F154" s="34"/>
      <c r="G154" s="34"/>
      <c r="H154" s="25"/>
      <c r="I154" s="70" t="str">
        <f>IF(C154="Trả lại đơn vụ","",IF(C154="Trả lại đơn việc","",IF(C154="Hòa giải thành","",IF(F154=0,"",EDATE(F154,VLOOKUP(C154,'Thời hạn'!$A$1:$B$10,2,0))+H154))))</f>
        <v/>
      </c>
      <c r="J154" s="59" t="str">
        <f t="shared" ca="1" si="2"/>
        <v/>
      </c>
      <c r="K154" s="25"/>
      <c r="L154" s="129"/>
      <c r="M154" s="130"/>
      <c r="N154" s="35"/>
      <c r="O154" s="34"/>
      <c r="P154" s="25"/>
      <c r="Q154" s="25"/>
      <c r="R154" s="34"/>
      <c r="S154" s="34"/>
      <c r="T154" s="25"/>
      <c r="U154" s="25"/>
      <c r="V154" s="36"/>
      <c r="W154" s="86"/>
      <c r="X154" s="127"/>
      <c r="Y154" s="71" t="str">
        <f>IF(C154="Trả lại đơn vụ","",IF(C154="Trả lại đơn việc","",IF((NETWORKDAYS(F154,G154,'Danh sách ngày nghỉ lễ'!$B$5:$B$25)-1-3)&gt;0,"Quá hạn"&amp;" "&amp;(NETWORKDAYS(F154,G154,'Danh sách ngày nghỉ lễ'!$B$5:$B$25)-1-3)&amp;" "&amp;"ngày","")))</f>
        <v/>
      </c>
      <c r="Z154" s="72" t="str">
        <f>IF(S154=0,"",IF(P154="Chuyển","",IF(P154="Nhập vào vụ khác","",IF(P154="BA",IF((S154-R154)&gt;10,"Quá hạn"&amp;" "&amp;(S154-R154-10)&amp;" "&amp;"ngày",""),IF((NETWORKDAYS(R154,S154,'Danh sách ngày nghỉ lễ'!$B$5:$B$25)-VLOOKUP(P154,'Thời hạn'!$A$17:$B$23,2,0))&gt;1,"Quá hạn"&amp;" "&amp;(NETWORKDAYS(R154,S154,'Danh sách ngày nghỉ lễ'!$B$5:$B$25)-1-VLOOKUP(P154,'Thời hạn'!$A$17:$B$23,2,0))&amp;" "&amp;"ngày","")))))</f>
        <v/>
      </c>
      <c r="AA154" s="23">
        <v>1</v>
      </c>
    </row>
    <row r="155" spans="1:27" s="24" customFormat="1" ht="15.6" x14ac:dyDescent="0.3">
      <c r="A155" s="24">
        <v>1</v>
      </c>
      <c r="B155" s="85"/>
      <c r="C155" s="33"/>
      <c r="D155" s="25"/>
      <c r="E155" s="25"/>
      <c r="F155" s="34"/>
      <c r="G155" s="34"/>
      <c r="H155" s="25"/>
      <c r="I155" s="70" t="str">
        <f>IF(C155="Trả lại đơn vụ","",IF(C155="Trả lại đơn việc","",IF(C155="Hòa giải thành","",IF(F155=0,"",EDATE(F155,VLOOKUP(C155,'Thời hạn'!$A$1:$B$10,2,0))+H155))))</f>
        <v/>
      </c>
      <c r="J155" s="59" t="str">
        <f t="shared" ca="1" si="2"/>
        <v/>
      </c>
      <c r="K155" s="25"/>
      <c r="L155" s="129"/>
      <c r="M155" s="130"/>
      <c r="N155" s="35"/>
      <c r="O155" s="34"/>
      <c r="P155" s="25"/>
      <c r="Q155" s="25"/>
      <c r="R155" s="34"/>
      <c r="S155" s="34"/>
      <c r="T155" s="25"/>
      <c r="U155" s="25"/>
      <c r="V155" s="36"/>
      <c r="W155" s="86"/>
      <c r="X155" s="127"/>
      <c r="Y155" s="71" t="str">
        <f>IF(C155="Trả lại đơn vụ","",IF(C155="Trả lại đơn việc","",IF((NETWORKDAYS(F155,G155,'Danh sách ngày nghỉ lễ'!$B$5:$B$25)-1-3)&gt;0,"Quá hạn"&amp;" "&amp;(NETWORKDAYS(F155,G155,'Danh sách ngày nghỉ lễ'!$B$5:$B$25)-1-3)&amp;" "&amp;"ngày","")))</f>
        <v/>
      </c>
      <c r="Z155" s="72" t="str">
        <f>IF(S155=0,"",IF(P155="Chuyển","",IF(P155="Nhập vào vụ khác","",IF(P155="BA",IF((S155-R155)&gt;10,"Quá hạn"&amp;" "&amp;(S155-R155-10)&amp;" "&amp;"ngày",""),IF((NETWORKDAYS(R155,S155,'Danh sách ngày nghỉ lễ'!$B$5:$B$25)-VLOOKUP(P155,'Thời hạn'!$A$17:$B$23,2,0))&gt;1,"Quá hạn"&amp;" "&amp;(NETWORKDAYS(R155,S155,'Danh sách ngày nghỉ lễ'!$B$5:$B$25)-1-VLOOKUP(P155,'Thời hạn'!$A$17:$B$23,2,0))&amp;" "&amp;"ngày","")))))</f>
        <v/>
      </c>
      <c r="AA155" s="23">
        <v>1</v>
      </c>
    </row>
    <row r="156" spans="1:27" s="24" customFormat="1" ht="15.6" x14ac:dyDescent="0.3">
      <c r="A156" s="24">
        <v>1</v>
      </c>
      <c r="B156" s="85"/>
      <c r="C156" s="33"/>
      <c r="D156" s="25"/>
      <c r="E156" s="25"/>
      <c r="F156" s="34"/>
      <c r="G156" s="34"/>
      <c r="H156" s="25"/>
      <c r="I156" s="70" t="str">
        <f>IF(C156="Trả lại đơn vụ","",IF(C156="Trả lại đơn việc","",IF(C156="Hòa giải thành","",IF(F156=0,"",EDATE(F156,VLOOKUP(C156,'Thời hạn'!$A$1:$B$10,2,0))+H156))))</f>
        <v/>
      </c>
      <c r="J156" s="59" t="str">
        <f t="shared" ca="1" si="2"/>
        <v/>
      </c>
      <c r="K156" s="25"/>
      <c r="L156" s="129"/>
      <c r="M156" s="130"/>
      <c r="N156" s="35"/>
      <c r="O156" s="34"/>
      <c r="P156" s="25"/>
      <c r="Q156" s="25"/>
      <c r="R156" s="34"/>
      <c r="S156" s="34"/>
      <c r="T156" s="25"/>
      <c r="U156" s="25"/>
      <c r="V156" s="36"/>
      <c r="W156" s="86"/>
      <c r="X156" s="127"/>
      <c r="Y156" s="71" t="str">
        <f>IF(C156="Trả lại đơn vụ","",IF(C156="Trả lại đơn việc","",IF((NETWORKDAYS(F156,G156,'Danh sách ngày nghỉ lễ'!$B$5:$B$25)-1-3)&gt;0,"Quá hạn"&amp;" "&amp;(NETWORKDAYS(F156,G156,'Danh sách ngày nghỉ lễ'!$B$5:$B$25)-1-3)&amp;" "&amp;"ngày","")))</f>
        <v/>
      </c>
      <c r="Z156" s="72" t="str">
        <f>IF(S156=0,"",IF(P156="Chuyển","",IF(P156="Nhập vào vụ khác","",IF(P156="BA",IF((S156-R156)&gt;10,"Quá hạn"&amp;" "&amp;(S156-R156-10)&amp;" "&amp;"ngày",""),IF((NETWORKDAYS(R156,S156,'Danh sách ngày nghỉ lễ'!$B$5:$B$25)-VLOOKUP(P156,'Thời hạn'!$A$17:$B$23,2,0))&gt;1,"Quá hạn"&amp;" "&amp;(NETWORKDAYS(R156,S156,'Danh sách ngày nghỉ lễ'!$B$5:$B$25)-1-VLOOKUP(P156,'Thời hạn'!$A$17:$B$23,2,0))&amp;" "&amp;"ngày","")))))</f>
        <v/>
      </c>
      <c r="AA156" s="23">
        <v>1</v>
      </c>
    </row>
    <row r="157" spans="1:27" s="24" customFormat="1" ht="15.6" x14ac:dyDescent="0.3">
      <c r="A157" s="24">
        <v>1</v>
      </c>
      <c r="B157" s="85"/>
      <c r="C157" s="33"/>
      <c r="D157" s="25"/>
      <c r="E157" s="25"/>
      <c r="F157" s="34"/>
      <c r="G157" s="34"/>
      <c r="H157" s="25"/>
      <c r="I157" s="70" t="str">
        <f>IF(C157="Trả lại đơn vụ","",IF(C157="Trả lại đơn việc","",IF(C157="Hòa giải thành","",IF(F157=0,"",EDATE(F157,VLOOKUP(C157,'Thời hạn'!$A$1:$B$10,2,0))+H157))))</f>
        <v/>
      </c>
      <c r="J157" s="59" t="str">
        <f t="shared" ca="1" si="2"/>
        <v/>
      </c>
      <c r="K157" s="25"/>
      <c r="L157" s="129"/>
      <c r="M157" s="130"/>
      <c r="N157" s="35"/>
      <c r="O157" s="34"/>
      <c r="P157" s="25"/>
      <c r="Q157" s="25"/>
      <c r="R157" s="34"/>
      <c r="S157" s="34"/>
      <c r="T157" s="25"/>
      <c r="U157" s="25"/>
      <c r="V157" s="36"/>
      <c r="W157" s="86"/>
      <c r="X157" s="127"/>
      <c r="Y157" s="71" t="str">
        <f>IF(C157="Trả lại đơn vụ","",IF(C157="Trả lại đơn việc","",IF((NETWORKDAYS(F157,G157,'Danh sách ngày nghỉ lễ'!$B$5:$B$25)-1-3)&gt;0,"Quá hạn"&amp;" "&amp;(NETWORKDAYS(F157,G157,'Danh sách ngày nghỉ lễ'!$B$5:$B$25)-1-3)&amp;" "&amp;"ngày","")))</f>
        <v/>
      </c>
      <c r="Z157" s="72" t="str">
        <f>IF(S157=0,"",IF(P157="Chuyển","",IF(P157="Nhập vào vụ khác","",IF(P157="BA",IF((S157-R157)&gt;10,"Quá hạn"&amp;" "&amp;(S157-R157-10)&amp;" "&amp;"ngày",""),IF((NETWORKDAYS(R157,S157,'Danh sách ngày nghỉ lễ'!$B$5:$B$25)-VLOOKUP(P157,'Thời hạn'!$A$17:$B$23,2,0))&gt;1,"Quá hạn"&amp;" "&amp;(NETWORKDAYS(R157,S157,'Danh sách ngày nghỉ lễ'!$B$5:$B$25)-1-VLOOKUP(P157,'Thời hạn'!$A$17:$B$23,2,0))&amp;" "&amp;"ngày","")))))</f>
        <v/>
      </c>
      <c r="AA157" s="23">
        <v>1</v>
      </c>
    </row>
    <row r="158" spans="1:27" s="24" customFormat="1" ht="15.6" x14ac:dyDescent="0.3">
      <c r="A158" s="24">
        <v>1</v>
      </c>
      <c r="B158" s="85"/>
      <c r="C158" s="33"/>
      <c r="D158" s="25"/>
      <c r="E158" s="25"/>
      <c r="F158" s="34"/>
      <c r="G158" s="34"/>
      <c r="H158" s="25"/>
      <c r="I158" s="70" t="str">
        <f>IF(C158="Trả lại đơn vụ","",IF(C158="Trả lại đơn việc","",IF(C158="Hòa giải thành","",IF(F158=0,"",EDATE(F158,VLOOKUP(C158,'Thời hạn'!$A$1:$B$10,2,0))+H158))))</f>
        <v/>
      </c>
      <c r="J158" s="59" t="str">
        <f t="shared" ca="1" si="2"/>
        <v/>
      </c>
      <c r="K158" s="25"/>
      <c r="L158" s="129"/>
      <c r="M158" s="130"/>
      <c r="N158" s="35"/>
      <c r="O158" s="34"/>
      <c r="P158" s="25"/>
      <c r="Q158" s="25"/>
      <c r="R158" s="34"/>
      <c r="S158" s="34"/>
      <c r="T158" s="25"/>
      <c r="U158" s="25"/>
      <c r="V158" s="36"/>
      <c r="W158" s="86"/>
      <c r="X158" s="127"/>
      <c r="Y158" s="71" t="str">
        <f>IF(C158="Trả lại đơn vụ","",IF(C158="Trả lại đơn việc","",IF((NETWORKDAYS(F158,G158,'Danh sách ngày nghỉ lễ'!$B$5:$B$25)-1-3)&gt;0,"Quá hạn"&amp;" "&amp;(NETWORKDAYS(F158,G158,'Danh sách ngày nghỉ lễ'!$B$5:$B$25)-1-3)&amp;" "&amp;"ngày","")))</f>
        <v/>
      </c>
      <c r="Z158" s="72" t="str">
        <f>IF(S158=0,"",IF(P158="Chuyển","",IF(P158="Nhập vào vụ khác","",IF(P158="BA",IF((S158-R158)&gt;10,"Quá hạn"&amp;" "&amp;(S158-R158-10)&amp;" "&amp;"ngày",""),IF((NETWORKDAYS(R158,S158,'Danh sách ngày nghỉ lễ'!$B$5:$B$25)-VLOOKUP(P158,'Thời hạn'!$A$17:$B$23,2,0))&gt;1,"Quá hạn"&amp;" "&amp;(NETWORKDAYS(R158,S158,'Danh sách ngày nghỉ lễ'!$B$5:$B$25)-1-VLOOKUP(P158,'Thời hạn'!$A$17:$B$23,2,0))&amp;" "&amp;"ngày","")))))</f>
        <v/>
      </c>
      <c r="AA158" s="23">
        <v>1</v>
      </c>
    </row>
    <row r="159" spans="1:27" s="24" customFormat="1" ht="15.6" x14ac:dyDescent="0.3">
      <c r="A159" s="24">
        <v>1</v>
      </c>
      <c r="B159" s="85"/>
      <c r="C159" s="33"/>
      <c r="D159" s="25"/>
      <c r="E159" s="25"/>
      <c r="F159" s="34"/>
      <c r="G159" s="34"/>
      <c r="H159" s="25"/>
      <c r="I159" s="70" t="str">
        <f>IF(C159="Trả lại đơn vụ","",IF(C159="Trả lại đơn việc","",IF(C159="Hòa giải thành","",IF(F159=0,"",EDATE(F159,VLOOKUP(C159,'Thời hạn'!$A$1:$B$10,2,0))+H159))))</f>
        <v/>
      </c>
      <c r="J159" s="59" t="str">
        <f t="shared" ca="1" si="2"/>
        <v/>
      </c>
      <c r="K159" s="25"/>
      <c r="L159" s="129"/>
      <c r="M159" s="130"/>
      <c r="N159" s="35"/>
      <c r="O159" s="34"/>
      <c r="P159" s="25"/>
      <c r="Q159" s="25"/>
      <c r="R159" s="34"/>
      <c r="S159" s="34"/>
      <c r="T159" s="25"/>
      <c r="U159" s="25"/>
      <c r="V159" s="36"/>
      <c r="W159" s="86"/>
      <c r="X159" s="127"/>
      <c r="Y159" s="71" t="str">
        <f>IF(C159="Trả lại đơn vụ","",IF(C159="Trả lại đơn việc","",IF((NETWORKDAYS(F159,G159,'Danh sách ngày nghỉ lễ'!$B$5:$B$25)-1-3)&gt;0,"Quá hạn"&amp;" "&amp;(NETWORKDAYS(F159,G159,'Danh sách ngày nghỉ lễ'!$B$5:$B$25)-1-3)&amp;" "&amp;"ngày","")))</f>
        <v/>
      </c>
      <c r="Z159" s="72" t="str">
        <f>IF(S159=0,"",IF(P159="Chuyển","",IF(P159="Nhập vào vụ khác","",IF(P159="BA",IF((S159-R159)&gt;10,"Quá hạn"&amp;" "&amp;(S159-R159-10)&amp;" "&amp;"ngày",""),IF((NETWORKDAYS(R159,S159,'Danh sách ngày nghỉ lễ'!$B$5:$B$25)-VLOOKUP(P159,'Thời hạn'!$A$17:$B$23,2,0))&gt;1,"Quá hạn"&amp;" "&amp;(NETWORKDAYS(R159,S159,'Danh sách ngày nghỉ lễ'!$B$5:$B$25)-1-VLOOKUP(P159,'Thời hạn'!$A$17:$B$23,2,0))&amp;" "&amp;"ngày","")))))</f>
        <v/>
      </c>
      <c r="AA159" s="23">
        <v>1</v>
      </c>
    </row>
    <row r="160" spans="1:27" s="24" customFormat="1" ht="15.6" x14ac:dyDescent="0.3">
      <c r="A160" s="24">
        <v>1</v>
      </c>
      <c r="B160" s="85"/>
      <c r="C160" s="33"/>
      <c r="D160" s="25"/>
      <c r="E160" s="25"/>
      <c r="F160" s="34"/>
      <c r="G160" s="34"/>
      <c r="H160" s="25"/>
      <c r="I160" s="70" t="str">
        <f>IF(C160="Trả lại đơn vụ","",IF(C160="Trả lại đơn việc","",IF(C160="Hòa giải thành","",IF(F160=0,"",EDATE(F160,VLOOKUP(C160,'Thời hạn'!$A$1:$B$10,2,0))+H160))))</f>
        <v/>
      </c>
      <c r="J160" s="59" t="str">
        <f t="shared" ca="1" si="2"/>
        <v/>
      </c>
      <c r="K160" s="25"/>
      <c r="L160" s="129"/>
      <c r="M160" s="130"/>
      <c r="N160" s="35"/>
      <c r="O160" s="34"/>
      <c r="P160" s="25"/>
      <c r="Q160" s="25"/>
      <c r="R160" s="34"/>
      <c r="S160" s="34"/>
      <c r="T160" s="25"/>
      <c r="U160" s="25"/>
      <c r="V160" s="36"/>
      <c r="W160" s="86"/>
      <c r="X160" s="127"/>
      <c r="Y160" s="71" t="str">
        <f>IF(C160="Trả lại đơn vụ","",IF(C160="Trả lại đơn việc","",IF((NETWORKDAYS(F160,G160,'Danh sách ngày nghỉ lễ'!$B$5:$B$25)-1-3)&gt;0,"Quá hạn"&amp;" "&amp;(NETWORKDAYS(F160,G160,'Danh sách ngày nghỉ lễ'!$B$5:$B$25)-1-3)&amp;" "&amp;"ngày","")))</f>
        <v/>
      </c>
      <c r="Z160" s="72" t="str">
        <f>IF(S160=0,"",IF(P160="Chuyển","",IF(P160="Nhập vào vụ khác","",IF(P160="BA",IF((S160-R160)&gt;10,"Quá hạn"&amp;" "&amp;(S160-R160-10)&amp;" "&amp;"ngày",""),IF((NETWORKDAYS(R160,S160,'Danh sách ngày nghỉ lễ'!$B$5:$B$25)-VLOOKUP(P160,'Thời hạn'!$A$17:$B$23,2,0))&gt;1,"Quá hạn"&amp;" "&amp;(NETWORKDAYS(R160,S160,'Danh sách ngày nghỉ lễ'!$B$5:$B$25)-1-VLOOKUP(P160,'Thời hạn'!$A$17:$B$23,2,0))&amp;" "&amp;"ngày","")))))</f>
        <v/>
      </c>
      <c r="AA160" s="23">
        <v>1</v>
      </c>
    </row>
    <row r="161" spans="1:27" s="24" customFormat="1" ht="15.6" x14ac:dyDescent="0.3">
      <c r="A161" s="24">
        <v>1</v>
      </c>
      <c r="B161" s="85"/>
      <c r="C161" s="33"/>
      <c r="D161" s="25"/>
      <c r="E161" s="25"/>
      <c r="F161" s="34"/>
      <c r="G161" s="34"/>
      <c r="H161" s="25"/>
      <c r="I161" s="70" t="str">
        <f>IF(C161="Trả lại đơn vụ","",IF(C161="Trả lại đơn việc","",IF(C161="Hòa giải thành","",IF(F161=0,"",EDATE(F161,VLOOKUP(C161,'Thời hạn'!$A$1:$B$10,2,0))+H161))))</f>
        <v/>
      </c>
      <c r="J161" s="59" t="str">
        <f t="shared" ca="1" si="2"/>
        <v/>
      </c>
      <c r="K161" s="25"/>
      <c r="L161" s="129"/>
      <c r="M161" s="130"/>
      <c r="N161" s="35"/>
      <c r="O161" s="34"/>
      <c r="P161" s="25"/>
      <c r="Q161" s="25"/>
      <c r="R161" s="34"/>
      <c r="S161" s="34"/>
      <c r="T161" s="25"/>
      <c r="U161" s="25"/>
      <c r="V161" s="36"/>
      <c r="W161" s="86"/>
      <c r="X161" s="127"/>
      <c r="Y161" s="71" t="str">
        <f>IF(C161="Trả lại đơn vụ","",IF(C161="Trả lại đơn việc","",IF((NETWORKDAYS(F161,G161,'Danh sách ngày nghỉ lễ'!$B$5:$B$25)-1-3)&gt;0,"Quá hạn"&amp;" "&amp;(NETWORKDAYS(F161,G161,'Danh sách ngày nghỉ lễ'!$B$5:$B$25)-1-3)&amp;" "&amp;"ngày","")))</f>
        <v/>
      </c>
      <c r="Z161" s="72" t="str">
        <f>IF(S161=0,"",IF(P161="Chuyển","",IF(P161="Nhập vào vụ khác","",IF(P161="BA",IF((S161-R161)&gt;10,"Quá hạn"&amp;" "&amp;(S161-R161-10)&amp;" "&amp;"ngày",""),IF((NETWORKDAYS(R161,S161,'Danh sách ngày nghỉ lễ'!$B$5:$B$25)-VLOOKUP(P161,'Thời hạn'!$A$17:$B$23,2,0))&gt;1,"Quá hạn"&amp;" "&amp;(NETWORKDAYS(R161,S161,'Danh sách ngày nghỉ lễ'!$B$5:$B$25)-1-VLOOKUP(P161,'Thời hạn'!$A$17:$B$23,2,0))&amp;" "&amp;"ngày","")))))</f>
        <v/>
      </c>
      <c r="AA161" s="23">
        <v>1</v>
      </c>
    </row>
    <row r="162" spans="1:27" s="24" customFormat="1" ht="15.6" x14ac:dyDescent="0.3">
      <c r="A162" s="24">
        <v>1</v>
      </c>
      <c r="B162" s="85"/>
      <c r="C162" s="33"/>
      <c r="D162" s="25"/>
      <c r="E162" s="25"/>
      <c r="F162" s="34"/>
      <c r="G162" s="34"/>
      <c r="H162" s="25"/>
      <c r="I162" s="70" t="str">
        <f>IF(C162="Trả lại đơn vụ","",IF(C162="Trả lại đơn việc","",IF(C162="Hòa giải thành","",IF(F162=0,"",EDATE(F162,VLOOKUP(C162,'Thời hạn'!$A$1:$B$10,2,0))+H162))))</f>
        <v/>
      </c>
      <c r="J162" s="59" t="str">
        <f t="shared" ca="1" si="2"/>
        <v/>
      </c>
      <c r="K162" s="25"/>
      <c r="L162" s="129"/>
      <c r="M162" s="130"/>
      <c r="N162" s="35"/>
      <c r="O162" s="34"/>
      <c r="P162" s="25"/>
      <c r="Q162" s="25"/>
      <c r="R162" s="34"/>
      <c r="S162" s="34"/>
      <c r="T162" s="25"/>
      <c r="U162" s="25"/>
      <c r="V162" s="36"/>
      <c r="W162" s="86"/>
      <c r="X162" s="127"/>
      <c r="Y162" s="71" t="str">
        <f>IF(C162="Trả lại đơn vụ","",IF(C162="Trả lại đơn việc","",IF((NETWORKDAYS(F162,G162,'Danh sách ngày nghỉ lễ'!$B$5:$B$25)-1-3)&gt;0,"Quá hạn"&amp;" "&amp;(NETWORKDAYS(F162,G162,'Danh sách ngày nghỉ lễ'!$B$5:$B$25)-1-3)&amp;" "&amp;"ngày","")))</f>
        <v/>
      </c>
      <c r="Z162" s="72" t="str">
        <f>IF(S162=0,"",IF(P162="Chuyển","",IF(P162="Nhập vào vụ khác","",IF(P162="BA",IF((S162-R162)&gt;10,"Quá hạn"&amp;" "&amp;(S162-R162-10)&amp;" "&amp;"ngày",""),IF((NETWORKDAYS(R162,S162,'Danh sách ngày nghỉ lễ'!$B$5:$B$25)-VLOOKUP(P162,'Thời hạn'!$A$17:$B$23,2,0))&gt;1,"Quá hạn"&amp;" "&amp;(NETWORKDAYS(R162,S162,'Danh sách ngày nghỉ lễ'!$B$5:$B$25)-1-VLOOKUP(P162,'Thời hạn'!$A$17:$B$23,2,0))&amp;" "&amp;"ngày","")))))</f>
        <v/>
      </c>
      <c r="AA162" s="23">
        <v>1</v>
      </c>
    </row>
    <row r="163" spans="1:27" s="24" customFormat="1" ht="15.6" x14ac:dyDescent="0.3">
      <c r="A163" s="24">
        <v>1</v>
      </c>
      <c r="B163" s="85"/>
      <c r="C163" s="33"/>
      <c r="D163" s="25"/>
      <c r="E163" s="25"/>
      <c r="F163" s="34"/>
      <c r="G163" s="34"/>
      <c r="H163" s="25"/>
      <c r="I163" s="70" t="str">
        <f>IF(C163="Trả lại đơn vụ","",IF(C163="Trả lại đơn việc","",IF(C163="Hòa giải thành","",IF(F163=0,"",EDATE(F163,VLOOKUP(C163,'Thời hạn'!$A$1:$B$10,2,0))+H163))))</f>
        <v/>
      </c>
      <c r="J163" s="59" t="str">
        <f t="shared" ca="1" si="2"/>
        <v/>
      </c>
      <c r="K163" s="25"/>
      <c r="L163" s="129"/>
      <c r="M163" s="130"/>
      <c r="N163" s="35"/>
      <c r="O163" s="34"/>
      <c r="P163" s="25"/>
      <c r="Q163" s="25"/>
      <c r="R163" s="34"/>
      <c r="S163" s="34"/>
      <c r="T163" s="25"/>
      <c r="U163" s="25"/>
      <c r="V163" s="36"/>
      <c r="W163" s="86"/>
      <c r="X163" s="127"/>
      <c r="Y163" s="71" t="str">
        <f>IF(C163="Trả lại đơn vụ","",IF(C163="Trả lại đơn việc","",IF((NETWORKDAYS(F163,G163,'Danh sách ngày nghỉ lễ'!$B$5:$B$25)-1-3)&gt;0,"Quá hạn"&amp;" "&amp;(NETWORKDAYS(F163,G163,'Danh sách ngày nghỉ lễ'!$B$5:$B$25)-1-3)&amp;" "&amp;"ngày","")))</f>
        <v/>
      </c>
      <c r="Z163" s="72" t="str">
        <f>IF(S163=0,"",IF(P163="Chuyển","",IF(P163="Nhập vào vụ khác","",IF(P163="BA",IF((S163-R163)&gt;10,"Quá hạn"&amp;" "&amp;(S163-R163-10)&amp;" "&amp;"ngày",""),IF((NETWORKDAYS(R163,S163,'Danh sách ngày nghỉ lễ'!$B$5:$B$25)-VLOOKUP(P163,'Thời hạn'!$A$17:$B$23,2,0))&gt;1,"Quá hạn"&amp;" "&amp;(NETWORKDAYS(R163,S163,'Danh sách ngày nghỉ lễ'!$B$5:$B$25)-1-VLOOKUP(P163,'Thời hạn'!$A$17:$B$23,2,0))&amp;" "&amp;"ngày","")))))</f>
        <v/>
      </c>
      <c r="AA163" s="23">
        <v>1</v>
      </c>
    </row>
    <row r="164" spans="1:27" s="24" customFormat="1" ht="15.6" x14ac:dyDescent="0.3">
      <c r="A164" s="24">
        <v>1</v>
      </c>
      <c r="B164" s="85"/>
      <c r="C164" s="33"/>
      <c r="D164" s="25"/>
      <c r="E164" s="25"/>
      <c r="F164" s="34"/>
      <c r="G164" s="34"/>
      <c r="H164" s="25"/>
      <c r="I164" s="70" t="str">
        <f>IF(C164="Trả lại đơn vụ","",IF(C164="Trả lại đơn việc","",IF(C164="Hòa giải thành","",IF(F164=0,"",EDATE(F164,VLOOKUP(C164,'Thời hạn'!$A$1:$B$10,2,0))+H164))))</f>
        <v/>
      </c>
      <c r="J164" s="59" t="str">
        <f t="shared" ca="1" si="2"/>
        <v/>
      </c>
      <c r="K164" s="25"/>
      <c r="L164" s="129"/>
      <c r="M164" s="130"/>
      <c r="N164" s="35"/>
      <c r="O164" s="34"/>
      <c r="P164" s="25"/>
      <c r="Q164" s="25"/>
      <c r="R164" s="34"/>
      <c r="S164" s="34"/>
      <c r="T164" s="25"/>
      <c r="U164" s="25"/>
      <c r="V164" s="36"/>
      <c r="W164" s="86"/>
      <c r="X164" s="127"/>
      <c r="Y164" s="71" t="str">
        <f>IF(C164="Trả lại đơn vụ","",IF(C164="Trả lại đơn việc","",IF((NETWORKDAYS(F164,G164,'Danh sách ngày nghỉ lễ'!$B$5:$B$25)-1-3)&gt;0,"Quá hạn"&amp;" "&amp;(NETWORKDAYS(F164,G164,'Danh sách ngày nghỉ lễ'!$B$5:$B$25)-1-3)&amp;" "&amp;"ngày","")))</f>
        <v/>
      </c>
      <c r="Z164" s="72" t="str">
        <f>IF(S164=0,"",IF(P164="Chuyển","",IF(P164="Nhập vào vụ khác","",IF(P164="BA",IF((S164-R164)&gt;10,"Quá hạn"&amp;" "&amp;(S164-R164-10)&amp;" "&amp;"ngày",""),IF((NETWORKDAYS(R164,S164,'Danh sách ngày nghỉ lễ'!$B$5:$B$25)-VLOOKUP(P164,'Thời hạn'!$A$17:$B$23,2,0))&gt;1,"Quá hạn"&amp;" "&amp;(NETWORKDAYS(R164,S164,'Danh sách ngày nghỉ lễ'!$B$5:$B$25)-1-VLOOKUP(P164,'Thời hạn'!$A$17:$B$23,2,0))&amp;" "&amp;"ngày","")))))</f>
        <v/>
      </c>
      <c r="AA164" s="23">
        <v>1</v>
      </c>
    </row>
    <row r="165" spans="1:27" s="24" customFormat="1" ht="15.6" x14ac:dyDescent="0.3">
      <c r="A165" s="24">
        <v>1</v>
      </c>
      <c r="B165" s="85"/>
      <c r="C165" s="33"/>
      <c r="D165" s="25"/>
      <c r="E165" s="25"/>
      <c r="F165" s="34"/>
      <c r="G165" s="34"/>
      <c r="H165" s="25"/>
      <c r="I165" s="70" t="str">
        <f>IF(C165="Trả lại đơn vụ","",IF(C165="Trả lại đơn việc","",IF(C165="Hòa giải thành","",IF(F165=0,"",EDATE(F165,VLOOKUP(C165,'Thời hạn'!$A$1:$B$10,2,0))+H165))))</f>
        <v/>
      </c>
      <c r="J165" s="59" t="str">
        <f t="shared" ca="1" si="2"/>
        <v/>
      </c>
      <c r="K165" s="25"/>
      <c r="L165" s="129"/>
      <c r="M165" s="130"/>
      <c r="N165" s="35"/>
      <c r="O165" s="34"/>
      <c r="P165" s="25"/>
      <c r="Q165" s="25"/>
      <c r="R165" s="34"/>
      <c r="S165" s="34"/>
      <c r="T165" s="25"/>
      <c r="U165" s="25"/>
      <c r="V165" s="36"/>
      <c r="W165" s="86"/>
      <c r="X165" s="127"/>
      <c r="Y165" s="71" t="str">
        <f>IF(C165="Trả lại đơn vụ","",IF(C165="Trả lại đơn việc","",IF((NETWORKDAYS(F165,G165,'Danh sách ngày nghỉ lễ'!$B$5:$B$25)-1-3)&gt;0,"Quá hạn"&amp;" "&amp;(NETWORKDAYS(F165,G165,'Danh sách ngày nghỉ lễ'!$B$5:$B$25)-1-3)&amp;" "&amp;"ngày","")))</f>
        <v/>
      </c>
      <c r="Z165" s="72" t="str">
        <f>IF(S165=0,"",IF(P165="Chuyển","",IF(P165="Nhập vào vụ khác","",IF(P165="BA",IF((S165-R165)&gt;10,"Quá hạn"&amp;" "&amp;(S165-R165-10)&amp;" "&amp;"ngày",""),IF((NETWORKDAYS(R165,S165,'Danh sách ngày nghỉ lễ'!$B$5:$B$25)-VLOOKUP(P165,'Thời hạn'!$A$17:$B$23,2,0))&gt;1,"Quá hạn"&amp;" "&amp;(NETWORKDAYS(R165,S165,'Danh sách ngày nghỉ lễ'!$B$5:$B$25)-1-VLOOKUP(P165,'Thời hạn'!$A$17:$B$23,2,0))&amp;" "&amp;"ngày","")))))</f>
        <v/>
      </c>
      <c r="AA165" s="23">
        <v>1</v>
      </c>
    </row>
    <row r="166" spans="1:27" s="24" customFormat="1" ht="15.6" x14ac:dyDescent="0.3">
      <c r="A166" s="24">
        <v>1</v>
      </c>
      <c r="B166" s="85"/>
      <c r="C166" s="33"/>
      <c r="D166" s="25"/>
      <c r="E166" s="25"/>
      <c r="F166" s="34"/>
      <c r="G166" s="34"/>
      <c r="H166" s="25"/>
      <c r="I166" s="70" t="str">
        <f>IF(C166="Trả lại đơn vụ","",IF(C166="Trả lại đơn việc","",IF(C166="Hòa giải thành","",IF(F166=0,"",EDATE(F166,VLOOKUP(C166,'Thời hạn'!$A$1:$B$10,2,0))+H166))))</f>
        <v/>
      </c>
      <c r="J166" s="59" t="str">
        <f t="shared" ca="1" si="2"/>
        <v/>
      </c>
      <c r="K166" s="25"/>
      <c r="L166" s="129"/>
      <c r="M166" s="130"/>
      <c r="N166" s="35"/>
      <c r="O166" s="34"/>
      <c r="P166" s="25"/>
      <c r="Q166" s="25"/>
      <c r="R166" s="34"/>
      <c r="S166" s="34"/>
      <c r="T166" s="25"/>
      <c r="U166" s="25"/>
      <c r="V166" s="36"/>
      <c r="W166" s="86"/>
      <c r="X166" s="127"/>
      <c r="Y166" s="71" t="str">
        <f>IF(C166="Trả lại đơn vụ","",IF(C166="Trả lại đơn việc","",IF((NETWORKDAYS(F166,G166,'Danh sách ngày nghỉ lễ'!$B$5:$B$25)-1-3)&gt;0,"Quá hạn"&amp;" "&amp;(NETWORKDAYS(F166,G166,'Danh sách ngày nghỉ lễ'!$B$5:$B$25)-1-3)&amp;" "&amp;"ngày","")))</f>
        <v/>
      </c>
      <c r="Z166" s="72" t="str">
        <f>IF(S166=0,"",IF(P166="Chuyển","",IF(P166="Nhập vào vụ khác","",IF(P166="BA",IF((S166-R166)&gt;10,"Quá hạn"&amp;" "&amp;(S166-R166-10)&amp;" "&amp;"ngày",""),IF((NETWORKDAYS(R166,S166,'Danh sách ngày nghỉ lễ'!$B$5:$B$25)-VLOOKUP(P166,'Thời hạn'!$A$17:$B$23,2,0))&gt;1,"Quá hạn"&amp;" "&amp;(NETWORKDAYS(R166,S166,'Danh sách ngày nghỉ lễ'!$B$5:$B$25)-1-VLOOKUP(P166,'Thời hạn'!$A$17:$B$23,2,0))&amp;" "&amp;"ngày","")))))</f>
        <v/>
      </c>
      <c r="AA166" s="23">
        <v>1</v>
      </c>
    </row>
    <row r="167" spans="1:27" s="24" customFormat="1" ht="15.6" x14ac:dyDescent="0.3">
      <c r="A167" s="24">
        <v>1</v>
      </c>
      <c r="B167" s="85"/>
      <c r="C167" s="33"/>
      <c r="D167" s="25"/>
      <c r="E167" s="25"/>
      <c r="F167" s="34"/>
      <c r="G167" s="34"/>
      <c r="H167" s="25"/>
      <c r="I167" s="70" t="str">
        <f>IF(C167="Trả lại đơn vụ","",IF(C167="Trả lại đơn việc","",IF(C167="Hòa giải thành","",IF(F167=0,"",EDATE(F167,VLOOKUP(C167,'Thời hạn'!$A$1:$B$10,2,0))+H167))))</f>
        <v/>
      </c>
      <c r="J167" s="59" t="str">
        <f t="shared" ca="1" si="2"/>
        <v/>
      </c>
      <c r="K167" s="25"/>
      <c r="L167" s="129"/>
      <c r="M167" s="130"/>
      <c r="N167" s="35"/>
      <c r="O167" s="34"/>
      <c r="P167" s="25"/>
      <c r="Q167" s="25"/>
      <c r="R167" s="34"/>
      <c r="S167" s="34"/>
      <c r="T167" s="25"/>
      <c r="U167" s="25"/>
      <c r="V167" s="36"/>
      <c r="W167" s="86"/>
      <c r="X167" s="127"/>
      <c r="Y167" s="71" t="str">
        <f>IF(C167="Trả lại đơn vụ","",IF(C167="Trả lại đơn việc","",IF((NETWORKDAYS(F167,G167,'Danh sách ngày nghỉ lễ'!$B$5:$B$25)-1-3)&gt;0,"Quá hạn"&amp;" "&amp;(NETWORKDAYS(F167,G167,'Danh sách ngày nghỉ lễ'!$B$5:$B$25)-1-3)&amp;" "&amp;"ngày","")))</f>
        <v/>
      </c>
      <c r="Z167" s="72" t="str">
        <f>IF(S167=0,"",IF(P167="Chuyển","",IF(P167="Nhập vào vụ khác","",IF(P167="BA",IF((S167-R167)&gt;10,"Quá hạn"&amp;" "&amp;(S167-R167-10)&amp;" "&amp;"ngày",""),IF((NETWORKDAYS(R167,S167,'Danh sách ngày nghỉ lễ'!$B$5:$B$25)-VLOOKUP(P167,'Thời hạn'!$A$17:$B$23,2,0))&gt;1,"Quá hạn"&amp;" "&amp;(NETWORKDAYS(R167,S167,'Danh sách ngày nghỉ lễ'!$B$5:$B$25)-1-VLOOKUP(P167,'Thời hạn'!$A$17:$B$23,2,0))&amp;" "&amp;"ngày","")))))</f>
        <v/>
      </c>
      <c r="AA167" s="23">
        <v>1</v>
      </c>
    </row>
    <row r="168" spans="1:27" s="24" customFormat="1" ht="15.6" x14ac:dyDescent="0.3">
      <c r="A168" s="24">
        <v>1</v>
      </c>
      <c r="B168" s="85"/>
      <c r="C168" s="33"/>
      <c r="D168" s="25"/>
      <c r="E168" s="25"/>
      <c r="F168" s="34"/>
      <c r="G168" s="34"/>
      <c r="H168" s="25"/>
      <c r="I168" s="70" t="str">
        <f>IF(C168="Trả lại đơn vụ","",IF(C168="Trả lại đơn việc","",IF(C168="Hòa giải thành","",IF(F168=0,"",EDATE(F168,VLOOKUP(C168,'Thời hạn'!$A$1:$B$10,2,0))+H168))))</f>
        <v/>
      </c>
      <c r="J168" s="59" t="str">
        <f t="shared" ca="1" si="2"/>
        <v/>
      </c>
      <c r="K168" s="25"/>
      <c r="L168" s="129"/>
      <c r="M168" s="130"/>
      <c r="N168" s="35"/>
      <c r="O168" s="34"/>
      <c r="P168" s="25"/>
      <c r="Q168" s="25"/>
      <c r="R168" s="34"/>
      <c r="S168" s="34"/>
      <c r="T168" s="25"/>
      <c r="U168" s="25"/>
      <c r="V168" s="36"/>
      <c r="W168" s="86"/>
      <c r="X168" s="127"/>
      <c r="Y168" s="71" t="str">
        <f>IF(C168="Trả lại đơn vụ","",IF(C168="Trả lại đơn việc","",IF((NETWORKDAYS(F168,G168,'Danh sách ngày nghỉ lễ'!$B$5:$B$25)-1-3)&gt;0,"Quá hạn"&amp;" "&amp;(NETWORKDAYS(F168,G168,'Danh sách ngày nghỉ lễ'!$B$5:$B$25)-1-3)&amp;" "&amp;"ngày","")))</f>
        <v/>
      </c>
      <c r="Z168" s="72" t="str">
        <f>IF(S168=0,"",IF(P168="Chuyển","",IF(P168="Nhập vào vụ khác","",IF(P168="BA",IF((S168-R168)&gt;10,"Quá hạn"&amp;" "&amp;(S168-R168-10)&amp;" "&amp;"ngày",""),IF((NETWORKDAYS(R168,S168,'Danh sách ngày nghỉ lễ'!$B$5:$B$25)-VLOOKUP(P168,'Thời hạn'!$A$17:$B$23,2,0))&gt;1,"Quá hạn"&amp;" "&amp;(NETWORKDAYS(R168,S168,'Danh sách ngày nghỉ lễ'!$B$5:$B$25)-1-VLOOKUP(P168,'Thời hạn'!$A$17:$B$23,2,0))&amp;" "&amp;"ngày","")))))</f>
        <v/>
      </c>
      <c r="AA168" s="23">
        <v>1</v>
      </c>
    </row>
    <row r="169" spans="1:27" s="24" customFormat="1" ht="15.6" x14ac:dyDescent="0.3">
      <c r="A169" s="24">
        <v>1</v>
      </c>
      <c r="B169" s="85"/>
      <c r="C169" s="33"/>
      <c r="D169" s="25"/>
      <c r="E169" s="25"/>
      <c r="F169" s="34"/>
      <c r="G169" s="34"/>
      <c r="H169" s="25"/>
      <c r="I169" s="70" t="str">
        <f>IF(C169="Trả lại đơn vụ","",IF(C169="Trả lại đơn việc","",IF(C169="Hòa giải thành","",IF(F169=0,"",EDATE(F169,VLOOKUP(C169,'Thời hạn'!$A$1:$B$10,2,0))+H169))))</f>
        <v/>
      </c>
      <c r="J169" s="59" t="str">
        <f t="shared" ca="1" si="2"/>
        <v/>
      </c>
      <c r="K169" s="25"/>
      <c r="L169" s="129"/>
      <c r="M169" s="130"/>
      <c r="N169" s="35"/>
      <c r="O169" s="34"/>
      <c r="P169" s="25"/>
      <c r="Q169" s="25"/>
      <c r="R169" s="34"/>
      <c r="S169" s="34"/>
      <c r="T169" s="25"/>
      <c r="U169" s="25"/>
      <c r="V169" s="36"/>
      <c r="W169" s="86"/>
      <c r="X169" s="127"/>
      <c r="Y169" s="71" t="str">
        <f>IF(C169="Trả lại đơn vụ","",IF(C169="Trả lại đơn việc","",IF((NETWORKDAYS(F169,G169,'Danh sách ngày nghỉ lễ'!$B$5:$B$25)-1-3)&gt;0,"Quá hạn"&amp;" "&amp;(NETWORKDAYS(F169,G169,'Danh sách ngày nghỉ lễ'!$B$5:$B$25)-1-3)&amp;" "&amp;"ngày","")))</f>
        <v/>
      </c>
      <c r="Z169" s="72" t="str">
        <f>IF(S169=0,"",IF(P169="Chuyển","",IF(P169="Nhập vào vụ khác","",IF(P169="BA",IF((S169-R169)&gt;10,"Quá hạn"&amp;" "&amp;(S169-R169-10)&amp;" "&amp;"ngày",""),IF((NETWORKDAYS(R169,S169,'Danh sách ngày nghỉ lễ'!$B$5:$B$25)-VLOOKUP(P169,'Thời hạn'!$A$17:$B$23,2,0))&gt;1,"Quá hạn"&amp;" "&amp;(NETWORKDAYS(R169,S169,'Danh sách ngày nghỉ lễ'!$B$5:$B$25)-1-VLOOKUP(P169,'Thời hạn'!$A$17:$B$23,2,0))&amp;" "&amp;"ngày","")))))</f>
        <v/>
      </c>
      <c r="AA169" s="23">
        <v>1</v>
      </c>
    </row>
    <row r="170" spans="1:27" s="24" customFormat="1" ht="15.6" x14ac:dyDescent="0.3">
      <c r="A170" s="24">
        <v>1</v>
      </c>
      <c r="B170" s="85"/>
      <c r="C170" s="33"/>
      <c r="D170" s="25"/>
      <c r="E170" s="25"/>
      <c r="F170" s="34"/>
      <c r="G170" s="34"/>
      <c r="H170" s="25"/>
      <c r="I170" s="70" t="str">
        <f>IF(C170="Trả lại đơn vụ","",IF(C170="Trả lại đơn việc","",IF(C170="Hòa giải thành","",IF(F170=0,"",EDATE(F170,VLOOKUP(C170,'Thời hạn'!$A$1:$B$10,2,0))+H170))))</f>
        <v/>
      </c>
      <c r="J170" s="59" t="str">
        <f t="shared" ca="1" si="2"/>
        <v/>
      </c>
      <c r="K170" s="25"/>
      <c r="L170" s="129"/>
      <c r="M170" s="130"/>
      <c r="N170" s="35"/>
      <c r="O170" s="34"/>
      <c r="P170" s="25"/>
      <c r="Q170" s="25"/>
      <c r="R170" s="34"/>
      <c r="S170" s="34"/>
      <c r="T170" s="25"/>
      <c r="U170" s="25"/>
      <c r="V170" s="36"/>
      <c r="W170" s="86"/>
      <c r="X170" s="127"/>
      <c r="Y170" s="71" t="str">
        <f>IF(C170="Trả lại đơn vụ","",IF(C170="Trả lại đơn việc","",IF((NETWORKDAYS(F170,G170,'Danh sách ngày nghỉ lễ'!$B$5:$B$25)-1-3)&gt;0,"Quá hạn"&amp;" "&amp;(NETWORKDAYS(F170,G170,'Danh sách ngày nghỉ lễ'!$B$5:$B$25)-1-3)&amp;" "&amp;"ngày","")))</f>
        <v/>
      </c>
      <c r="Z170" s="72" t="str">
        <f>IF(S170=0,"",IF(P170="Chuyển","",IF(P170="Nhập vào vụ khác","",IF(P170="BA",IF((S170-R170)&gt;10,"Quá hạn"&amp;" "&amp;(S170-R170-10)&amp;" "&amp;"ngày",""),IF((NETWORKDAYS(R170,S170,'Danh sách ngày nghỉ lễ'!$B$5:$B$25)-VLOOKUP(P170,'Thời hạn'!$A$17:$B$23,2,0))&gt;1,"Quá hạn"&amp;" "&amp;(NETWORKDAYS(R170,S170,'Danh sách ngày nghỉ lễ'!$B$5:$B$25)-1-VLOOKUP(P170,'Thời hạn'!$A$17:$B$23,2,0))&amp;" "&amp;"ngày","")))))</f>
        <v/>
      </c>
      <c r="AA170" s="23">
        <v>1</v>
      </c>
    </row>
    <row r="171" spans="1:27" s="24" customFormat="1" ht="15.6" x14ac:dyDescent="0.3">
      <c r="A171" s="24">
        <v>1</v>
      </c>
      <c r="B171" s="85"/>
      <c r="C171" s="33"/>
      <c r="D171" s="25"/>
      <c r="E171" s="25"/>
      <c r="F171" s="34"/>
      <c r="G171" s="34"/>
      <c r="H171" s="25"/>
      <c r="I171" s="70" t="str">
        <f>IF(C171="Trả lại đơn vụ","",IF(C171="Trả lại đơn việc","",IF(C171="Hòa giải thành","",IF(F171=0,"",EDATE(F171,VLOOKUP(C171,'Thời hạn'!$A$1:$B$10,2,0))+H171))))</f>
        <v/>
      </c>
      <c r="J171" s="59" t="str">
        <f t="shared" ca="1" si="2"/>
        <v/>
      </c>
      <c r="K171" s="25"/>
      <c r="L171" s="129"/>
      <c r="M171" s="130"/>
      <c r="N171" s="35"/>
      <c r="O171" s="34"/>
      <c r="P171" s="25"/>
      <c r="Q171" s="25"/>
      <c r="R171" s="34"/>
      <c r="S171" s="34"/>
      <c r="T171" s="25"/>
      <c r="U171" s="25"/>
      <c r="V171" s="36"/>
      <c r="W171" s="86"/>
      <c r="X171" s="127"/>
      <c r="Y171" s="71" t="str">
        <f>IF(C171="Trả lại đơn vụ","",IF(C171="Trả lại đơn việc","",IF((NETWORKDAYS(F171,G171,'Danh sách ngày nghỉ lễ'!$B$5:$B$25)-1-3)&gt;0,"Quá hạn"&amp;" "&amp;(NETWORKDAYS(F171,G171,'Danh sách ngày nghỉ lễ'!$B$5:$B$25)-1-3)&amp;" "&amp;"ngày","")))</f>
        <v/>
      </c>
      <c r="Z171" s="72" t="str">
        <f>IF(S171=0,"",IF(P171="Chuyển","",IF(P171="Nhập vào vụ khác","",IF(P171="BA",IF((S171-R171)&gt;10,"Quá hạn"&amp;" "&amp;(S171-R171-10)&amp;" "&amp;"ngày",""),IF((NETWORKDAYS(R171,S171,'Danh sách ngày nghỉ lễ'!$B$5:$B$25)-VLOOKUP(P171,'Thời hạn'!$A$17:$B$23,2,0))&gt;1,"Quá hạn"&amp;" "&amp;(NETWORKDAYS(R171,S171,'Danh sách ngày nghỉ lễ'!$B$5:$B$25)-1-VLOOKUP(P171,'Thời hạn'!$A$17:$B$23,2,0))&amp;" "&amp;"ngày","")))))</f>
        <v/>
      </c>
      <c r="AA171" s="23">
        <v>1</v>
      </c>
    </row>
    <row r="172" spans="1:27" s="24" customFormat="1" ht="15.6" x14ac:dyDescent="0.3">
      <c r="A172" s="24">
        <v>1</v>
      </c>
      <c r="B172" s="85"/>
      <c r="C172" s="33"/>
      <c r="D172" s="25"/>
      <c r="E172" s="25"/>
      <c r="F172" s="34"/>
      <c r="G172" s="34"/>
      <c r="H172" s="25"/>
      <c r="I172" s="70" t="str">
        <f>IF(C172="Trả lại đơn vụ","",IF(C172="Trả lại đơn việc","",IF(C172="Hòa giải thành","",IF(F172=0,"",EDATE(F172,VLOOKUP(C172,'Thời hạn'!$A$1:$B$10,2,0))+H172))))</f>
        <v/>
      </c>
      <c r="J172" s="59" t="str">
        <f t="shared" ca="1" si="2"/>
        <v/>
      </c>
      <c r="K172" s="25"/>
      <c r="L172" s="129"/>
      <c r="M172" s="130"/>
      <c r="N172" s="35"/>
      <c r="O172" s="34"/>
      <c r="P172" s="25"/>
      <c r="Q172" s="25"/>
      <c r="R172" s="34"/>
      <c r="S172" s="34"/>
      <c r="T172" s="25"/>
      <c r="U172" s="25"/>
      <c r="V172" s="36"/>
      <c r="W172" s="86"/>
      <c r="X172" s="127"/>
      <c r="Y172" s="71" t="str">
        <f>IF(C172="Trả lại đơn vụ","",IF(C172="Trả lại đơn việc","",IF((NETWORKDAYS(F172,G172,'Danh sách ngày nghỉ lễ'!$B$5:$B$25)-1-3)&gt;0,"Quá hạn"&amp;" "&amp;(NETWORKDAYS(F172,G172,'Danh sách ngày nghỉ lễ'!$B$5:$B$25)-1-3)&amp;" "&amp;"ngày","")))</f>
        <v/>
      </c>
      <c r="Z172" s="72" t="str">
        <f>IF(S172=0,"",IF(P172="Chuyển","",IF(P172="Nhập vào vụ khác","",IF(P172="BA",IF((S172-R172)&gt;10,"Quá hạn"&amp;" "&amp;(S172-R172-10)&amp;" "&amp;"ngày",""),IF((NETWORKDAYS(R172,S172,'Danh sách ngày nghỉ lễ'!$B$5:$B$25)-VLOOKUP(P172,'Thời hạn'!$A$17:$B$23,2,0))&gt;1,"Quá hạn"&amp;" "&amp;(NETWORKDAYS(R172,S172,'Danh sách ngày nghỉ lễ'!$B$5:$B$25)-1-VLOOKUP(P172,'Thời hạn'!$A$17:$B$23,2,0))&amp;" "&amp;"ngày","")))))</f>
        <v/>
      </c>
      <c r="AA172" s="23">
        <v>1</v>
      </c>
    </row>
    <row r="173" spans="1:27" s="24" customFormat="1" ht="15.6" x14ac:dyDescent="0.3">
      <c r="A173" s="24">
        <v>1</v>
      </c>
      <c r="B173" s="85"/>
      <c r="C173" s="33"/>
      <c r="D173" s="25"/>
      <c r="E173" s="25"/>
      <c r="F173" s="34"/>
      <c r="G173" s="34"/>
      <c r="H173" s="25"/>
      <c r="I173" s="70" t="str">
        <f>IF(C173="Trả lại đơn vụ","",IF(C173="Trả lại đơn việc","",IF(C173="Hòa giải thành","",IF(F173=0,"",EDATE(F173,VLOOKUP(C173,'Thời hạn'!$A$1:$B$10,2,0))+H173))))</f>
        <v/>
      </c>
      <c r="J173" s="59" t="str">
        <f t="shared" ca="1" si="2"/>
        <v/>
      </c>
      <c r="K173" s="25"/>
      <c r="L173" s="129"/>
      <c r="M173" s="130"/>
      <c r="N173" s="35"/>
      <c r="O173" s="34"/>
      <c r="P173" s="25"/>
      <c r="Q173" s="25"/>
      <c r="R173" s="34"/>
      <c r="S173" s="34"/>
      <c r="T173" s="25"/>
      <c r="U173" s="25"/>
      <c r="V173" s="36"/>
      <c r="W173" s="86"/>
      <c r="X173" s="127"/>
      <c r="Y173" s="71" t="str">
        <f>IF(C173="Trả lại đơn vụ","",IF(C173="Trả lại đơn việc","",IF((NETWORKDAYS(F173,G173,'Danh sách ngày nghỉ lễ'!$B$5:$B$25)-1-3)&gt;0,"Quá hạn"&amp;" "&amp;(NETWORKDAYS(F173,G173,'Danh sách ngày nghỉ lễ'!$B$5:$B$25)-1-3)&amp;" "&amp;"ngày","")))</f>
        <v/>
      </c>
      <c r="Z173" s="72" t="str">
        <f>IF(S173=0,"",IF(P173="Chuyển","",IF(P173="Nhập vào vụ khác","",IF(P173="BA",IF((S173-R173)&gt;10,"Quá hạn"&amp;" "&amp;(S173-R173-10)&amp;" "&amp;"ngày",""),IF((NETWORKDAYS(R173,S173,'Danh sách ngày nghỉ lễ'!$B$5:$B$25)-VLOOKUP(P173,'Thời hạn'!$A$17:$B$23,2,0))&gt;1,"Quá hạn"&amp;" "&amp;(NETWORKDAYS(R173,S173,'Danh sách ngày nghỉ lễ'!$B$5:$B$25)-1-VLOOKUP(P173,'Thời hạn'!$A$17:$B$23,2,0))&amp;" "&amp;"ngày","")))))</f>
        <v/>
      </c>
      <c r="AA173" s="23">
        <v>1</v>
      </c>
    </row>
    <row r="174" spans="1:27" s="24" customFormat="1" ht="15.6" x14ac:dyDescent="0.3">
      <c r="A174" s="24">
        <v>1</v>
      </c>
      <c r="B174" s="85"/>
      <c r="C174" s="33"/>
      <c r="D174" s="25"/>
      <c r="E174" s="25"/>
      <c r="F174" s="34"/>
      <c r="G174" s="34"/>
      <c r="H174" s="25"/>
      <c r="I174" s="70" t="str">
        <f>IF(C174="Trả lại đơn vụ","",IF(C174="Trả lại đơn việc","",IF(C174="Hòa giải thành","",IF(F174=0,"",EDATE(F174,VLOOKUP(C174,'Thời hạn'!$A$1:$B$10,2,0))+H174))))</f>
        <v/>
      </c>
      <c r="J174" s="59" t="str">
        <f t="shared" ca="1" si="2"/>
        <v/>
      </c>
      <c r="K174" s="25"/>
      <c r="L174" s="129"/>
      <c r="M174" s="130"/>
      <c r="N174" s="35"/>
      <c r="O174" s="34"/>
      <c r="P174" s="25"/>
      <c r="Q174" s="25"/>
      <c r="R174" s="34"/>
      <c r="S174" s="34"/>
      <c r="T174" s="25"/>
      <c r="U174" s="25"/>
      <c r="V174" s="36"/>
      <c r="W174" s="86"/>
      <c r="X174" s="127"/>
      <c r="Y174" s="71" t="str">
        <f>IF(C174="Trả lại đơn vụ","",IF(C174="Trả lại đơn việc","",IF((NETWORKDAYS(F174,G174,'Danh sách ngày nghỉ lễ'!$B$5:$B$25)-1-3)&gt;0,"Quá hạn"&amp;" "&amp;(NETWORKDAYS(F174,G174,'Danh sách ngày nghỉ lễ'!$B$5:$B$25)-1-3)&amp;" "&amp;"ngày","")))</f>
        <v/>
      </c>
      <c r="Z174" s="72" t="str">
        <f>IF(S174=0,"",IF(P174="Chuyển","",IF(P174="Nhập vào vụ khác","",IF(P174="BA",IF((S174-R174)&gt;10,"Quá hạn"&amp;" "&amp;(S174-R174-10)&amp;" "&amp;"ngày",""),IF((NETWORKDAYS(R174,S174,'Danh sách ngày nghỉ lễ'!$B$5:$B$25)-VLOOKUP(P174,'Thời hạn'!$A$17:$B$23,2,0))&gt;1,"Quá hạn"&amp;" "&amp;(NETWORKDAYS(R174,S174,'Danh sách ngày nghỉ lễ'!$B$5:$B$25)-1-VLOOKUP(P174,'Thời hạn'!$A$17:$B$23,2,0))&amp;" "&amp;"ngày","")))))</f>
        <v/>
      </c>
      <c r="AA174" s="23">
        <v>1</v>
      </c>
    </row>
    <row r="175" spans="1:27" s="24" customFormat="1" ht="15.6" x14ac:dyDescent="0.3">
      <c r="A175" s="24">
        <v>1</v>
      </c>
      <c r="B175" s="85"/>
      <c r="C175" s="33"/>
      <c r="D175" s="25"/>
      <c r="E175" s="25"/>
      <c r="F175" s="34"/>
      <c r="G175" s="34"/>
      <c r="H175" s="25"/>
      <c r="I175" s="70" t="str">
        <f>IF(C175="Trả lại đơn vụ","",IF(C175="Trả lại đơn việc","",IF(C175="Hòa giải thành","",IF(F175=0,"",EDATE(F175,VLOOKUP(C175,'Thời hạn'!$A$1:$B$10,2,0))+H175))))</f>
        <v/>
      </c>
      <c r="J175" s="59" t="str">
        <f t="shared" ca="1" si="2"/>
        <v/>
      </c>
      <c r="K175" s="25"/>
      <c r="L175" s="129"/>
      <c r="M175" s="130"/>
      <c r="N175" s="35"/>
      <c r="O175" s="34"/>
      <c r="P175" s="25"/>
      <c r="Q175" s="25"/>
      <c r="R175" s="34"/>
      <c r="S175" s="34"/>
      <c r="T175" s="25"/>
      <c r="U175" s="25"/>
      <c r="V175" s="36"/>
      <c r="W175" s="86"/>
      <c r="X175" s="127"/>
      <c r="Y175" s="71" t="str">
        <f>IF(C175="Trả lại đơn vụ","",IF(C175="Trả lại đơn việc","",IF((NETWORKDAYS(F175,G175,'Danh sách ngày nghỉ lễ'!$B$5:$B$25)-1-3)&gt;0,"Quá hạn"&amp;" "&amp;(NETWORKDAYS(F175,G175,'Danh sách ngày nghỉ lễ'!$B$5:$B$25)-1-3)&amp;" "&amp;"ngày","")))</f>
        <v/>
      </c>
      <c r="Z175" s="72" t="str">
        <f>IF(S175=0,"",IF(P175="Chuyển","",IF(P175="Nhập vào vụ khác","",IF(P175="BA",IF((S175-R175)&gt;10,"Quá hạn"&amp;" "&amp;(S175-R175-10)&amp;" "&amp;"ngày",""),IF((NETWORKDAYS(R175,S175,'Danh sách ngày nghỉ lễ'!$B$5:$B$25)-VLOOKUP(P175,'Thời hạn'!$A$17:$B$23,2,0))&gt;1,"Quá hạn"&amp;" "&amp;(NETWORKDAYS(R175,S175,'Danh sách ngày nghỉ lễ'!$B$5:$B$25)-1-VLOOKUP(P175,'Thời hạn'!$A$17:$B$23,2,0))&amp;" "&amp;"ngày","")))))</f>
        <v/>
      </c>
      <c r="AA175" s="23">
        <v>1</v>
      </c>
    </row>
    <row r="176" spans="1:27" s="24" customFormat="1" ht="15.6" x14ac:dyDescent="0.3">
      <c r="A176" s="24">
        <v>1</v>
      </c>
      <c r="B176" s="85"/>
      <c r="C176" s="33"/>
      <c r="D176" s="25"/>
      <c r="E176" s="25"/>
      <c r="F176" s="34"/>
      <c r="G176" s="34"/>
      <c r="H176" s="25"/>
      <c r="I176" s="70" t="str">
        <f>IF(C176="Trả lại đơn vụ","",IF(C176="Trả lại đơn việc","",IF(C176="Hòa giải thành","",IF(F176=0,"",EDATE(F176,VLOOKUP(C176,'Thời hạn'!$A$1:$B$10,2,0))+H176))))</f>
        <v/>
      </c>
      <c r="J176" s="59" t="str">
        <f t="shared" ca="1" si="2"/>
        <v/>
      </c>
      <c r="K176" s="25"/>
      <c r="L176" s="129"/>
      <c r="M176" s="130"/>
      <c r="N176" s="35"/>
      <c r="O176" s="34"/>
      <c r="P176" s="25"/>
      <c r="Q176" s="25"/>
      <c r="R176" s="34"/>
      <c r="S176" s="34"/>
      <c r="T176" s="25"/>
      <c r="U176" s="25"/>
      <c r="V176" s="36"/>
      <c r="W176" s="86"/>
      <c r="X176" s="127"/>
      <c r="Y176" s="71" t="str">
        <f>IF(C176="Trả lại đơn vụ","",IF(C176="Trả lại đơn việc","",IF((NETWORKDAYS(F176,G176,'Danh sách ngày nghỉ lễ'!$B$5:$B$25)-1-3)&gt;0,"Quá hạn"&amp;" "&amp;(NETWORKDAYS(F176,G176,'Danh sách ngày nghỉ lễ'!$B$5:$B$25)-1-3)&amp;" "&amp;"ngày","")))</f>
        <v/>
      </c>
      <c r="Z176" s="72" t="str">
        <f>IF(S176=0,"",IF(P176="Chuyển","",IF(P176="Nhập vào vụ khác","",IF(P176="BA",IF((S176-R176)&gt;10,"Quá hạn"&amp;" "&amp;(S176-R176-10)&amp;" "&amp;"ngày",""),IF((NETWORKDAYS(R176,S176,'Danh sách ngày nghỉ lễ'!$B$5:$B$25)-VLOOKUP(P176,'Thời hạn'!$A$17:$B$23,2,0))&gt;1,"Quá hạn"&amp;" "&amp;(NETWORKDAYS(R176,S176,'Danh sách ngày nghỉ lễ'!$B$5:$B$25)-1-VLOOKUP(P176,'Thời hạn'!$A$17:$B$23,2,0))&amp;" "&amp;"ngày","")))))</f>
        <v/>
      </c>
      <c r="AA176" s="23">
        <v>1</v>
      </c>
    </row>
    <row r="177" spans="1:27" s="24" customFormat="1" ht="15.6" x14ac:dyDescent="0.3">
      <c r="A177" s="24">
        <v>1</v>
      </c>
      <c r="B177" s="85"/>
      <c r="C177" s="33"/>
      <c r="D177" s="25"/>
      <c r="E177" s="25"/>
      <c r="F177" s="34"/>
      <c r="G177" s="34"/>
      <c r="H177" s="25"/>
      <c r="I177" s="70" t="str">
        <f>IF(C177="Trả lại đơn vụ","",IF(C177="Trả lại đơn việc","",IF(C177="Hòa giải thành","",IF(F177=0,"",EDATE(F177,VLOOKUP(C177,'Thời hạn'!$A$1:$B$10,2,0))+H177))))</f>
        <v/>
      </c>
      <c r="J177" s="59" t="str">
        <f t="shared" ca="1" si="2"/>
        <v/>
      </c>
      <c r="K177" s="25"/>
      <c r="L177" s="129"/>
      <c r="M177" s="130"/>
      <c r="N177" s="35"/>
      <c r="O177" s="34"/>
      <c r="P177" s="25"/>
      <c r="Q177" s="25"/>
      <c r="R177" s="34"/>
      <c r="S177" s="34"/>
      <c r="T177" s="25"/>
      <c r="U177" s="25"/>
      <c r="V177" s="36"/>
      <c r="W177" s="86"/>
      <c r="X177" s="127"/>
      <c r="Y177" s="71" t="str">
        <f>IF(C177="Trả lại đơn vụ","",IF(C177="Trả lại đơn việc","",IF((NETWORKDAYS(F177,G177,'Danh sách ngày nghỉ lễ'!$B$5:$B$25)-1-3)&gt;0,"Quá hạn"&amp;" "&amp;(NETWORKDAYS(F177,G177,'Danh sách ngày nghỉ lễ'!$B$5:$B$25)-1-3)&amp;" "&amp;"ngày","")))</f>
        <v/>
      </c>
      <c r="Z177" s="72" t="str">
        <f>IF(S177=0,"",IF(P177="Chuyển","",IF(P177="Nhập vào vụ khác","",IF(P177="BA",IF((S177-R177)&gt;10,"Quá hạn"&amp;" "&amp;(S177-R177-10)&amp;" "&amp;"ngày",""),IF((NETWORKDAYS(R177,S177,'Danh sách ngày nghỉ lễ'!$B$5:$B$25)-VLOOKUP(P177,'Thời hạn'!$A$17:$B$23,2,0))&gt;1,"Quá hạn"&amp;" "&amp;(NETWORKDAYS(R177,S177,'Danh sách ngày nghỉ lễ'!$B$5:$B$25)-1-VLOOKUP(P177,'Thời hạn'!$A$17:$B$23,2,0))&amp;" "&amp;"ngày","")))))</f>
        <v/>
      </c>
      <c r="AA177" s="23">
        <v>1</v>
      </c>
    </row>
    <row r="178" spans="1:27" s="24" customFormat="1" ht="15.6" x14ac:dyDescent="0.3">
      <c r="A178" s="24">
        <v>1</v>
      </c>
      <c r="B178" s="85"/>
      <c r="C178" s="33"/>
      <c r="D178" s="25"/>
      <c r="E178" s="25"/>
      <c r="F178" s="34"/>
      <c r="G178" s="34"/>
      <c r="H178" s="25"/>
      <c r="I178" s="70" t="str">
        <f>IF(C178="Trả lại đơn vụ","",IF(C178="Trả lại đơn việc","",IF(C178="Hòa giải thành","",IF(F178=0,"",EDATE(F178,VLOOKUP(C178,'Thời hạn'!$A$1:$B$10,2,0))+H178))))</f>
        <v/>
      </c>
      <c r="J178" s="59" t="str">
        <f t="shared" ca="1" si="2"/>
        <v/>
      </c>
      <c r="K178" s="25"/>
      <c r="L178" s="129"/>
      <c r="M178" s="130"/>
      <c r="N178" s="35"/>
      <c r="O178" s="34"/>
      <c r="P178" s="25"/>
      <c r="Q178" s="25"/>
      <c r="R178" s="34"/>
      <c r="S178" s="34"/>
      <c r="T178" s="25"/>
      <c r="U178" s="25"/>
      <c r="V178" s="36"/>
      <c r="W178" s="86"/>
      <c r="X178" s="127"/>
      <c r="Y178" s="71" t="str">
        <f>IF(C178="Trả lại đơn vụ","",IF(C178="Trả lại đơn việc","",IF((NETWORKDAYS(F178,G178,'Danh sách ngày nghỉ lễ'!$B$5:$B$25)-1-3)&gt;0,"Quá hạn"&amp;" "&amp;(NETWORKDAYS(F178,G178,'Danh sách ngày nghỉ lễ'!$B$5:$B$25)-1-3)&amp;" "&amp;"ngày","")))</f>
        <v/>
      </c>
      <c r="Z178" s="72" t="str">
        <f>IF(S178=0,"",IF(P178="Chuyển","",IF(P178="Nhập vào vụ khác","",IF(P178="BA",IF((S178-R178)&gt;10,"Quá hạn"&amp;" "&amp;(S178-R178-10)&amp;" "&amp;"ngày",""),IF((NETWORKDAYS(R178,S178,'Danh sách ngày nghỉ lễ'!$B$5:$B$25)-VLOOKUP(P178,'Thời hạn'!$A$17:$B$23,2,0))&gt;1,"Quá hạn"&amp;" "&amp;(NETWORKDAYS(R178,S178,'Danh sách ngày nghỉ lễ'!$B$5:$B$25)-1-VLOOKUP(P178,'Thời hạn'!$A$17:$B$23,2,0))&amp;" "&amp;"ngày","")))))</f>
        <v/>
      </c>
      <c r="AA178" s="23">
        <v>1</v>
      </c>
    </row>
    <row r="179" spans="1:27" s="24" customFormat="1" ht="15.6" x14ac:dyDescent="0.3">
      <c r="A179" s="24">
        <v>1</v>
      </c>
      <c r="B179" s="85"/>
      <c r="C179" s="33"/>
      <c r="D179" s="25"/>
      <c r="E179" s="25"/>
      <c r="F179" s="34"/>
      <c r="G179" s="34"/>
      <c r="H179" s="25"/>
      <c r="I179" s="70" t="str">
        <f>IF(C179="Trả lại đơn vụ","",IF(C179="Trả lại đơn việc","",IF(C179="Hòa giải thành","",IF(F179=0,"",EDATE(F179,VLOOKUP(C179,'Thời hạn'!$A$1:$B$10,2,0))+H179))))</f>
        <v/>
      </c>
      <c r="J179" s="59" t="str">
        <f t="shared" ca="1" si="2"/>
        <v/>
      </c>
      <c r="K179" s="25"/>
      <c r="L179" s="129"/>
      <c r="M179" s="130"/>
      <c r="N179" s="35"/>
      <c r="O179" s="34"/>
      <c r="P179" s="25"/>
      <c r="Q179" s="25"/>
      <c r="R179" s="34"/>
      <c r="S179" s="34"/>
      <c r="T179" s="25"/>
      <c r="U179" s="25"/>
      <c r="V179" s="36"/>
      <c r="W179" s="86"/>
      <c r="X179" s="127"/>
      <c r="Y179" s="71" t="str">
        <f>IF(C179="Trả lại đơn vụ","",IF(C179="Trả lại đơn việc","",IF((NETWORKDAYS(F179,G179,'Danh sách ngày nghỉ lễ'!$B$5:$B$25)-1-3)&gt;0,"Quá hạn"&amp;" "&amp;(NETWORKDAYS(F179,G179,'Danh sách ngày nghỉ lễ'!$B$5:$B$25)-1-3)&amp;" "&amp;"ngày","")))</f>
        <v/>
      </c>
      <c r="Z179" s="72" t="str">
        <f>IF(S179=0,"",IF(P179="Chuyển","",IF(P179="Nhập vào vụ khác","",IF(P179="BA",IF((S179-R179)&gt;10,"Quá hạn"&amp;" "&amp;(S179-R179-10)&amp;" "&amp;"ngày",""),IF((NETWORKDAYS(R179,S179,'Danh sách ngày nghỉ lễ'!$B$5:$B$25)-VLOOKUP(P179,'Thời hạn'!$A$17:$B$23,2,0))&gt;1,"Quá hạn"&amp;" "&amp;(NETWORKDAYS(R179,S179,'Danh sách ngày nghỉ lễ'!$B$5:$B$25)-1-VLOOKUP(P179,'Thời hạn'!$A$17:$B$23,2,0))&amp;" "&amp;"ngày","")))))</f>
        <v/>
      </c>
      <c r="AA179" s="23">
        <v>1</v>
      </c>
    </row>
    <row r="180" spans="1:27" s="24" customFormat="1" ht="15.6" x14ac:dyDescent="0.3">
      <c r="A180" s="24">
        <v>1</v>
      </c>
      <c r="B180" s="85"/>
      <c r="C180" s="33"/>
      <c r="D180" s="25"/>
      <c r="E180" s="25"/>
      <c r="F180" s="34"/>
      <c r="G180" s="34"/>
      <c r="H180" s="25"/>
      <c r="I180" s="70" t="str">
        <f>IF(C180="Trả lại đơn vụ","",IF(C180="Trả lại đơn việc","",IF(C180="Hòa giải thành","",IF(F180=0,"",EDATE(F180,VLOOKUP(C180,'Thời hạn'!$A$1:$B$10,2,0))+H180))))</f>
        <v/>
      </c>
      <c r="J180" s="59" t="str">
        <f t="shared" ca="1" si="2"/>
        <v/>
      </c>
      <c r="K180" s="25"/>
      <c r="L180" s="129"/>
      <c r="M180" s="130"/>
      <c r="N180" s="35"/>
      <c r="O180" s="34"/>
      <c r="P180" s="25"/>
      <c r="Q180" s="25"/>
      <c r="R180" s="34"/>
      <c r="S180" s="34"/>
      <c r="T180" s="25"/>
      <c r="U180" s="25"/>
      <c r="V180" s="36"/>
      <c r="W180" s="86"/>
      <c r="X180" s="127"/>
      <c r="Y180" s="71" t="str">
        <f>IF(C180="Trả lại đơn vụ","",IF(C180="Trả lại đơn việc","",IF((NETWORKDAYS(F180,G180,'Danh sách ngày nghỉ lễ'!$B$5:$B$25)-1-3)&gt;0,"Quá hạn"&amp;" "&amp;(NETWORKDAYS(F180,G180,'Danh sách ngày nghỉ lễ'!$B$5:$B$25)-1-3)&amp;" "&amp;"ngày","")))</f>
        <v/>
      </c>
      <c r="Z180" s="72" t="str">
        <f>IF(S180=0,"",IF(P180="Chuyển","",IF(P180="Nhập vào vụ khác","",IF(P180="BA",IF((S180-R180)&gt;10,"Quá hạn"&amp;" "&amp;(S180-R180-10)&amp;" "&amp;"ngày",""),IF((NETWORKDAYS(R180,S180,'Danh sách ngày nghỉ lễ'!$B$5:$B$25)-VLOOKUP(P180,'Thời hạn'!$A$17:$B$23,2,0))&gt;1,"Quá hạn"&amp;" "&amp;(NETWORKDAYS(R180,S180,'Danh sách ngày nghỉ lễ'!$B$5:$B$25)-1-VLOOKUP(P180,'Thời hạn'!$A$17:$B$23,2,0))&amp;" "&amp;"ngày","")))))</f>
        <v/>
      </c>
      <c r="AA180" s="23">
        <v>1</v>
      </c>
    </row>
    <row r="181" spans="1:27" s="24" customFormat="1" ht="15.6" x14ac:dyDescent="0.3">
      <c r="A181" s="24">
        <v>1</v>
      </c>
      <c r="B181" s="85"/>
      <c r="C181" s="33"/>
      <c r="D181" s="25"/>
      <c r="E181" s="25"/>
      <c r="F181" s="34"/>
      <c r="G181" s="34"/>
      <c r="H181" s="25"/>
      <c r="I181" s="70" t="str">
        <f>IF(C181="Trả lại đơn vụ","",IF(C181="Trả lại đơn việc","",IF(C181="Hòa giải thành","",IF(F181=0,"",EDATE(F181,VLOOKUP(C181,'Thời hạn'!$A$1:$B$10,2,0))+H181))))</f>
        <v/>
      </c>
      <c r="J181" s="59" t="str">
        <f t="shared" ca="1" si="2"/>
        <v/>
      </c>
      <c r="K181" s="25"/>
      <c r="L181" s="129"/>
      <c r="M181" s="130"/>
      <c r="N181" s="35"/>
      <c r="O181" s="34"/>
      <c r="P181" s="25"/>
      <c r="Q181" s="25"/>
      <c r="R181" s="34"/>
      <c r="S181" s="34"/>
      <c r="T181" s="25"/>
      <c r="U181" s="25"/>
      <c r="V181" s="36"/>
      <c r="W181" s="86"/>
      <c r="X181" s="127"/>
      <c r="Y181" s="71" t="str">
        <f>IF(C181="Trả lại đơn vụ","",IF(C181="Trả lại đơn việc","",IF((NETWORKDAYS(F181,G181,'Danh sách ngày nghỉ lễ'!$B$5:$B$25)-1-3)&gt;0,"Quá hạn"&amp;" "&amp;(NETWORKDAYS(F181,G181,'Danh sách ngày nghỉ lễ'!$B$5:$B$25)-1-3)&amp;" "&amp;"ngày","")))</f>
        <v/>
      </c>
      <c r="Z181" s="72" t="str">
        <f>IF(S181=0,"",IF(P181="Chuyển","",IF(P181="Nhập vào vụ khác","",IF(P181="BA",IF((S181-R181)&gt;10,"Quá hạn"&amp;" "&amp;(S181-R181-10)&amp;" "&amp;"ngày",""),IF((NETWORKDAYS(R181,S181,'Danh sách ngày nghỉ lễ'!$B$5:$B$25)-VLOOKUP(P181,'Thời hạn'!$A$17:$B$23,2,0))&gt;1,"Quá hạn"&amp;" "&amp;(NETWORKDAYS(R181,S181,'Danh sách ngày nghỉ lễ'!$B$5:$B$25)-1-VLOOKUP(P181,'Thời hạn'!$A$17:$B$23,2,0))&amp;" "&amp;"ngày","")))))</f>
        <v/>
      </c>
      <c r="AA181" s="23">
        <v>1</v>
      </c>
    </row>
    <row r="182" spans="1:27" s="24" customFormat="1" ht="15.6" x14ac:dyDescent="0.3">
      <c r="A182" s="24">
        <v>1</v>
      </c>
      <c r="B182" s="85"/>
      <c r="C182" s="33"/>
      <c r="D182" s="25"/>
      <c r="E182" s="25"/>
      <c r="F182" s="34"/>
      <c r="G182" s="34"/>
      <c r="H182" s="25"/>
      <c r="I182" s="70" t="str">
        <f>IF(C182="Trả lại đơn vụ","",IF(C182="Trả lại đơn việc","",IF(C182="Hòa giải thành","",IF(F182=0,"",EDATE(F182,VLOOKUP(C182,'Thời hạn'!$A$1:$B$10,2,0))+H182))))</f>
        <v/>
      </c>
      <c r="J182" s="59" t="str">
        <f t="shared" ca="1" si="2"/>
        <v/>
      </c>
      <c r="K182" s="25"/>
      <c r="L182" s="129"/>
      <c r="M182" s="130"/>
      <c r="N182" s="35"/>
      <c r="O182" s="34"/>
      <c r="P182" s="25"/>
      <c r="Q182" s="25"/>
      <c r="R182" s="34"/>
      <c r="S182" s="34"/>
      <c r="T182" s="25"/>
      <c r="U182" s="25"/>
      <c r="V182" s="36"/>
      <c r="W182" s="86"/>
      <c r="X182" s="127"/>
      <c r="Y182" s="71" t="str">
        <f>IF(C182="Trả lại đơn vụ","",IF(C182="Trả lại đơn việc","",IF((NETWORKDAYS(F182,G182,'Danh sách ngày nghỉ lễ'!$B$5:$B$25)-1-3)&gt;0,"Quá hạn"&amp;" "&amp;(NETWORKDAYS(F182,G182,'Danh sách ngày nghỉ lễ'!$B$5:$B$25)-1-3)&amp;" "&amp;"ngày","")))</f>
        <v/>
      </c>
      <c r="Z182" s="72" t="str">
        <f>IF(S182=0,"",IF(P182="Chuyển","",IF(P182="Nhập vào vụ khác","",IF(P182="BA",IF((S182-R182)&gt;10,"Quá hạn"&amp;" "&amp;(S182-R182-10)&amp;" "&amp;"ngày",""),IF((NETWORKDAYS(R182,S182,'Danh sách ngày nghỉ lễ'!$B$5:$B$25)-VLOOKUP(P182,'Thời hạn'!$A$17:$B$23,2,0))&gt;1,"Quá hạn"&amp;" "&amp;(NETWORKDAYS(R182,S182,'Danh sách ngày nghỉ lễ'!$B$5:$B$25)-1-VLOOKUP(P182,'Thời hạn'!$A$17:$B$23,2,0))&amp;" "&amp;"ngày","")))))</f>
        <v/>
      </c>
      <c r="AA182" s="23">
        <v>1</v>
      </c>
    </row>
    <row r="183" spans="1:27" s="24" customFormat="1" ht="15.6" x14ac:dyDescent="0.3">
      <c r="A183" s="24">
        <v>1</v>
      </c>
      <c r="B183" s="85"/>
      <c r="C183" s="33"/>
      <c r="D183" s="25"/>
      <c r="E183" s="25"/>
      <c r="F183" s="34"/>
      <c r="G183" s="34"/>
      <c r="H183" s="25"/>
      <c r="I183" s="70" t="str">
        <f>IF(C183="Trả lại đơn vụ","",IF(C183="Trả lại đơn việc","",IF(C183="Hòa giải thành","",IF(F183=0,"",EDATE(F183,VLOOKUP(C183,'Thời hạn'!$A$1:$B$10,2,0))+H183))))</f>
        <v/>
      </c>
      <c r="J183" s="59" t="str">
        <f t="shared" ca="1" si="2"/>
        <v/>
      </c>
      <c r="K183" s="25"/>
      <c r="L183" s="129"/>
      <c r="M183" s="130"/>
      <c r="N183" s="35"/>
      <c r="O183" s="34"/>
      <c r="P183" s="25"/>
      <c r="Q183" s="25"/>
      <c r="R183" s="34"/>
      <c r="S183" s="34"/>
      <c r="T183" s="25"/>
      <c r="U183" s="25"/>
      <c r="V183" s="36"/>
      <c r="W183" s="86"/>
      <c r="X183" s="127"/>
      <c r="Y183" s="71" t="str">
        <f>IF(C183="Trả lại đơn vụ","",IF(C183="Trả lại đơn việc","",IF((NETWORKDAYS(F183,G183,'Danh sách ngày nghỉ lễ'!$B$5:$B$25)-1-3)&gt;0,"Quá hạn"&amp;" "&amp;(NETWORKDAYS(F183,G183,'Danh sách ngày nghỉ lễ'!$B$5:$B$25)-1-3)&amp;" "&amp;"ngày","")))</f>
        <v/>
      </c>
      <c r="Z183" s="72" t="str">
        <f>IF(S183=0,"",IF(P183="Chuyển","",IF(P183="Nhập vào vụ khác","",IF(P183="BA",IF((S183-R183)&gt;10,"Quá hạn"&amp;" "&amp;(S183-R183-10)&amp;" "&amp;"ngày",""),IF((NETWORKDAYS(R183,S183,'Danh sách ngày nghỉ lễ'!$B$5:$B$25)-VLOOKUP(P183,'Thời hạn'!$A$17:$B$23,2,0))&gt;1,"Quá hạn"&amp;" "&amp;(NETWORKDAYS(R183,S183,'Danh sách ngày nghỉ lễ'!$B$5:$B$25)-1-VLOOKUP(P183,'Thời hạn'!$A$17:$B$23,2,0))&amp;" "&amp;"ngày","")))))</f>
        <v/>
      </c>
      <c r="AA183" s="23">
        <v>1</v>
      </c>
    </row>
    <row r="184" spans="1:27" s="24" customFormat="1" ht="15.6" x14ac:dyDescent="0.3">
      <c r="A184" s="24">
        <v>1</v>
      </c>
      <c r="B184" s="85"/>
      <c r="C184" s="33"/>
      <c r="D184" s="25"/>
      <c r="E184" s="25"/>
      <c r="F184" s="34"/>
      <c r="G184" s="34"/>
      <c r="H184" s="25"/>
      <c r="I184" s="70" t="str">
        <f>IF(C184="Trả lại đơn vụ","",IF(C184="Trả lại đơn việc","",IF(C184="Hòa giải thành","",IF(F184=0,"",EDATE(F184,VLOOKUP(C184,'Thời hạn'!$A$1:$B$10,2,0))+H184))))</f>
        <v/>
      </c>
      <c r="J184" s="59" t="str">
        <f t="shared" ca="1" si="2"/>
        <v/>
      </c>
      <c r="K184" s="25"/>
      <c r="L184" s="129"/>
      <c r="M184" s="130"/>
      <c r="N184" s="35"/>
      <c r="O184" s="34"/>
      <c r="P184" s="25"/>
      <c r="Q184" s="25"/>
      <c r="R184" s="34"/>
      <c r="S184" s="34"/>
      <c r="T184" s="25"/>
      <c r="U184" s="25"/>
      <c r="V184" s="36"/>
      <c r="W184" s="86"/>
      <c r="X184" s="127"/>
      <c r="Y184" s="71" t="str">
        <f>IF(C184="Trả lại đơn vụ","",IF(C184="Trả lại đơn việc","",IF((NETWORKDAYS(F184,G184,'Danh sách ngày nghỉ lễ'!$B$5:$B$25)-1-3)&gt;0,"Quá hạn"&amp;" "&amp;(NETWORKDAYS(F184,G184,'Danh sách ngày nghỉ lễ'!$B$5:$B$25)-1-3)&amp;" "&amp;"ngày","")))</f>
        <v/>
      </c>
      <c r="Z184" s="72" t="str">
        <f>IF(S184=0,"",IF(P184="Chuyển","",IF(P184="Nhập vào vụ khác","",IF(P184="BA",IF((S184-R184)&gt;10,"Quá hạn"&amp;" "&amp;(S184-R184-10)&amp;" "&amp;"ngày",""),IF((NETWORKDAYS(R184,S184,'Danh sách ngày nghỉ lễ'!$B$5:$B$25)-VLOOKUP(P184,'Thời hạn'!$A$17:$B$23,2,0))&gt;1,"Quá hạn"&amp;" "&amp;(NETWORKDAYS(R184,S184,'Danh sách ngày nghỉ lễ'!$B$5:$B$25)-1-VLOOKUP(P184,'Thời hạn'!$A$17:$B$23,2,0))&amp;" "&amp;"ngày","")))))</f>
        <v/>
      </c>
      <c r="AA184" s="23">
        <v>1</v>
      </c>
    </row>
    <row r="185" spans="1:27" s="24" customFormat="1" ht="15.6" x14ac:dyDescent="0.3">
      <c r="A185" s="24">
        <v>1</v>
      </c>
      <c r="B185" s="85"/>
      <c r="C185" s="33"/>
      <c r="D185" s="25"/>
      <c r="E185" s="25"/>
      <c r="F185" s="34"/>
      <c r="G185" s="34"/>
      <c r="H185" s="25"/>
      <c r="I185" s="70" t="str">
        <f>IF(C185="Trả lại đơn vụ","",IF(C185="Trả lại đơn việc","",IF(C185="Hòa giải thành","",IF(F185=0,"",EDATE(F185,VLOOKUP(C185,'Thời hạn'!$A$1:$B$10,2,0))+H185))))</f>
        <v/>
      </c>
      <c r="J185" s="59" t="str">
        <f t="shared" ca="1" si="2"/>
        <v/>
      </c>
      <c r="K185" s="25"/>
      <c r="L185" s="129"/>
      <c r="M185" s="130"/>
      <c r="N185" s="35"/>
      <c r="O185" s="34"/>
      <c r="P185" s="25"/>
      <c r="Q185" s="25"/>
      <c r="R185" s="34"/>
      <c r="S185" s="34"/>
      <c r="T185" s="25"/>
      <c r="U185" s="25"/>
      <c r="V185" s="36"/>
      <c r="W185" s="86"/>
      <c r="X185" s="127"/>
      <c r="Y185" s="71" t="str">
        <f>IF(C185="Trả lại đơn vụ","",IF(C185="Trả lại đơn việc","",IF((NETWORKDAYS(F185,G185,'Danh sách ngày nghỉ lễ'!$B$5:$B$25)-1-3)&gt;0,"Quá hạn"&amp;" "&amp;(NETWORKDAYS(F185,G185,'Danh sách ngày nghỉ lễ'!$B$5:$B$25)-1-3)&amp;" "&amp;"ngày","")))</f>
        <v/>
      </c>
      <c r="Z185" s="72" t="str">
        <f>IF(S185=0,"",IF(P185="Chuyển","",IF(P185="Nhập vào vụ khác","",IF(P185="BA",IF((S185-R185)&gt;10,"Quá hạn"&amp;" "&amp;(S185-R185-10)&amp;" "&amp;"ngày",""),IF((NETWORKDAYS(R185,S185,'Danh sách ngày nghỉ lễ'!$B$5:$B$25)-VLOOKUP(P185,'Thời hạn'!$A$17:$B$23,2,0))&gt;1,"Quá hạn"&amp;" "&amp;(NETWORKDAYS(R185,S185,'Danh sách ngày nghỉ lễ'!$B$5:$B$25)-1-VLOOKUP(P185,'Thời hạn'!$A$17:$B$23,2,0))&amp;" "&amp;"ngày","")))))</f>
        <v/>
      </c>
      <c r="AA185" s="23">
        <v>1</v>
      </c>
    </row>
    <row r="186" spans="1:27" s="24" customFormat="1" ht="15.6" x14ac:dyDescent="0.3">
      <c r="A186" s="24">
        <v>1</v>
      </c>
      <c r="B186" s="85"/>
      <c r="C186" s="33"/>
      <c r="D186" s="25"/>
      <c r="E186" s="25"/>
      <c r="F186" s="34"/>
      <c r="G186" s="34"/>
      <c r="H186" s="25"/>
      <c r="I186" s="70" t="str">
        <f>IF(C186="Trả lại đơn vụ","",IF(C186="Trả lại đơn việc","",IF(C186="Hòa giải thành","",IF(F186=0,"",EDATE(F186,VLOOKUP(C186,'Thời hạn'!$A$1:$B$10,2,0))+H186))))</f>
        <v/>
      </c>
      <c r="J186" s="59" t="str">
        <f t="shared" ca="1" si="2"/>
        <v/>
      </c>
      <c r="K186" s="25"/>
      <c r="L186" s="129"/>
      <c r="M186" s="130"/>
      <c r="N186" s="35"/>
      <c r="O186" s="34"/>
      <c r="P186" s="25"/>
      <c r="Q186" s="25"/>
      <c r="R186" s="34"/>
      <c r="S186" s="34"/>
      <c r="T186" s="25"/>
      <c r="U186" s="25"/>
      <c r="V186" s="36"/>
      <c r="W186" s="86"/>
      <c r="X186" s="127"/>
      <c r="Y186" s="71" t="str">
        <f>IF(C186="Trả lại đơn vụ","",IF(C186="Trả lại đơn việc","",IF((NETWORKDAYS(F186,G186,'Danh sách ngày nghỉ lễ'!$B$5:$B$25)-1-3)&gt;0,"Quá hạn"&amp;" "&amp;(NETWORKDAYS(F186,G186,'Danh sách ngày nghỉ lễ'!$B$5:$B$25)-1-3)&amp;" "&amp;"ngày","")))</f>
        <v/>
      </c>
      <c r="Z186" s="72" t="str">
        <f>IF(S186=0,"",IF(P186="Chuyển","",IF(P186="Nhập vào vụ khác","",IF(P186="BA",IF((S186-R186)&gt;10,"Quá hạn"&amp;" "&amp;(S186-R186-10)&amp;" "&amp;"ngày",""),IF((NETWORKDAYS(R186,S186,'Danh sách ngày nghỉ lễ'!$B$5:$B$25)-VLOOKUP(P186,'Thời hạn'!$A$17:$B$23,2,0))&gt;1,"Quá hạn"&amp;" "&amp;(NETWORKDAYS(R186,S186,'Danh sách ngày nghỉ lễ'!$B$5:$B$25)-1-VLOOKUP(P186,'Thời hạn'!$A$17:$B$23,2,0))&amp;" "&amp;"ngày","")))))</f>
        <v/>
      </c>
      <c r="AA186" s="23">
        <v>1</v>
      </c>
    </row>
    <row r="187" spans="1:27" s="24" customFormat="1" ht="15.6" x14ac:dyDescent="0.3">
      <c r="A187" s="24">
        <v>1</v>
      </c>
      <c r="B187" s="85"/>
      <c r="C187" s="33"/>
      <c r="D187" s="25"/>
      <c r="E187" s="25"/>
      <c r="F187" s="34"/>
      <c r="G187" s="34"/>
      <c r="H187" s="25"/>
      <c r="I187" s="70" t="str">
        <f>IF(C187="Trả lại đơn vụ","",IF(C187="Trả lại đơn việc","",IF(C187="Hòa giải thành","",IF(F187=0,"",EDATE(F187,VLOOKUP(C187,'Thời hạn'!$A$1:$B$10,2,0))+H187))))</f>
        <v/>
      </c>
      <c r="J187" s="59" t="str">
        <f t="shared" ca="1" si="2"/>
        <v/>
      </c>
      <c r="K187" s="25"/>
      <c r="L187" s="129"/>
      <c r="M187" s="130"/>
      <c r="N187" s="35"/>
      <c r="O187" s="34"/>
      <c r="P187" s="25"/>
      <c r="Q187" s="25"/>
      <c r="R187" s="34"/>
      <c r="S187" s="34"/>
      <c r="T187" s="25"/>
      <c r="U187" s="25"/>
      <c r="V187" s="36"/>
      <c r="W187" s="86"/>
      <c r="X187" s="127"/>
      <c r="Y187" s="71" t="str">
        <f>IF(C187="Trả lại đơn vụ","",IF(C187="Trả lại đơn việc","",IF((NETWORKDAYS(F187,G187,'Danh sách ngày nghỉ lễ'!$B$5:$B$25)-1-3)&gt;0,"Quá hạn"&amp;" "&amp;(NETWORKDAYS(F187,G187,'Danh sách ngày nghỉ lễ'!$B$5:$B$25)-1-3)&amp;" "&amp;"ngày","")))</f>
        <v/>
      </c>
      <c r="Z187" s="72" t="str">
        <f>IF(S187=0,"",IF(P187="Chuyển","",IF(P187="Nhập vào vụ khác","",IF(P187="BA",IF((S187-R187)&gt;10,"Quá hạn"&amp;" "&amp;(S187-R187-10)&amp;" "&amp;"ngày",""),IF((NETWORKDAYS(R187,S187,'Danh sách ngày nghỉ lễ'!$B$5:$B$25)-VLOOKUP(P187,'Thời hạn'!$A$17:$B$23,2,0))&gt;1,"Quá hạn"&amp;" "&amp;(NETWORKDAYS(R187,S187,'Danh sách ngày nghỉ lễ'!$B$5:$B$25)-1-VLOOKUP(P187,'Thời hạn'!$A$17:$B$23,2,0))&amp;" "&amp;"ngày","")))))</f>
        <v/>
      </c>
      <c r="AA187" s="23">
        <v>1</v>
      </c>
    </row>
    <row r="188" spans="1:27" s="24" customFormat="1" ht="15.6" x14ac:dyDescent="0.3">
      <c r="A188" s="24">
        <v>1</v>
      </c>
      <c r="B188" s="85"/>
      <c r="C188" s="33"/>
      <c r="D188" s="25"/>
      <c r="E188" s="25"/>
      <c r="F188" s="34"/>
      <c r="G188" s="34"/>
      <c r="H188" s="25"/>
      <c r="I188" s="70" t="str">
        <f>IF(C188="Trả lại đơn vụ","",IF(C188="Trả lại đơn việc","",IF(C188="Hòa giải thành","",IF(F188=0,"",EDATE(F188,VLOOKUP(C188,'Thời hạn'!$A$1:$B$10,2,0))+H188))))</f>
        <v/>
      </c>
      <c r="J188" s="59" t="str">
        <f t="shared" ca="1" si="2"/>
        <v/>
      </c>
      <c r="K188" s="25"/>
      <c r="L188" s="129"/>
      <c r="M188" s="130"/>
      <c r="N188" s="35"/>
      <c r="O188" s="34"/>
      <c r="P188" s="25"/>
      <c r="Q188" s="25"/>
      <c r="R188" s="34"/>
      <c r="S188" s="34"/>
      <c r="T188" s="25"/>
      <c r="U188" s="25"/>
      <c r="V188" s="36"/>
      <c r="W188" s="86"/>
      <c r="X188" s="127"/>
      <c r="Y188" s="71" t="str">
        <f>IF(C188="Trả lại đơn vụ","",IF(C188="Trả lại đơn việc","",IF((NETWORKDAYS(F188,G188,'Danh sách ngày nghỉ lễ'!$B$5:$B$25)-1-3)&gt;0,"Quá hạn"&amp;" "&amp;(NETWORKDAYS(F188,G188,'Danh sách ngày nghỉ lễ'!$B$5:$B$25)-1-3)&amp;" "&amp;"ngày","")))</f>
        <v/>
      </c>
      <c r="Z188" s="72" t="str">
        <f>IF(S188=0,"",IF(P188="Chuyển","",IF(P188="Nhập vào vụ khác","",IF(P188="BA",IF((S188-R188)&gt;10,"Quá hạn"&amp;" "&amp;(S188-R188-10)&amp;" "&amp;"ngày",""),IF((NETWORKDAYS(R188,S188,'Danh sách ngày nghỉ lễ'!$B$5:$B$25)-VLOOKUP(P188,'Thời hạn'!$A$17:$B$23,2,0))&gt;1,"Quá hạn"&amp;" "&amp;(NETWORKDAYS(R188,S188,'Danh sách ngày nghỉ lễ'!$B$5:$B$25)-1-VLOOKUP(P188,'Thời hạn'!$A$17:$B$23,2,0))&amp;" "&amp;"ngày","")))))</f>
        <v/>
      </c>
      <c r="AA188" s="23">
        <v>1</v>
      </c>
    </row>
    <row r="189" spans="1:27" s="24" customFormat="1" ht="15.6" x14ac:dyDescent="0.3">
      <c r="A189" s="24">
        <v>1</v>
      </c>
      <c r="B189" s="85"/>
      <c r="C189" s="33"/>
      <c r="D189" s="25"/>
      <c r="E189" s="25"/>
      <c r="F189" s="34"/>
      <c r="G189" s="34"/>
      <c r="H189" s="25"/>
      <c r="I189" s="70" t="str">
        <f>IF(C189="Trả lại đơn vụ","",IF(C189="Trả lại đơn việc","",IF(C189="Hòa giải thành","",IF(F189=0,"",EDATE(F189,VLOOKUP(C189,'Thời hạn'!$A$1:$B$10,2,0))+H189))))</f>
        <v/>
      </c>
      <c r="J189" s="59" t="str">
        <f t="shared" ca="1" si="2"/>
        <v/>
      </c>
      <c r="K189" s="25"/>
      <c r="L189" s="129"/>
      <c r="M189" s="130"/>
      <c r="N189" s="35"/>
      <c r="O189" s="34"/>
      <c r="P189" s="25"/>
      <c r="Q189" s="25"/>
      <c r="R189" s="34"/>
      <c r="S189" s="34"/>
      <c r="T189" s="25"/>
      <c r="U189" s="25"/>
      <c r="V189" s="36"/>
      <c r="W189" s="86"/>
      <c r="X189" s="127"/>
      <c r="Y189" s="71" t="str">
        <f>IF(C189="Trả lại đơn vụ","",IF(C189="Trả lại đơn việc","",IF((NETWORKDAYS(F189,G189,'Danh sách ngày nghỉ lễ'!$B$5:$B$25)-1-3)&gt;0,"Quá hạn"&amp;" "&amp;(NETWORKDAYS(F189,G189,'Danh sách ngày nghỉ lễ'!$B$5:$B$25)-1-3)&amp;" "&amp;"ngày","")))</f>
        <v/>
      </c>
      <c r="Z189" s="72" t="str">
        <f>IF(S189=0,"",IF(P189="Chuyển","",IF(P189="Nhập vào vụ khác","",IF(P189="BA",IF((S189-R189)&gt;10,"Quá hạn"&amp;" "&amp;(S189-R189-10)&amp;" "&amp;"ngày",""),IF((NETWORKDAYS(R189,S189,'Danh sách ngày nghỉ lễ'!$B$5:$B$25)-VLOOKUP(P189,'Thời hạn'!$A$17:$B$23,2,0))&gt;1,"Quá hạn"&amp;" "&amp;(NETWORKDAYS(R189,S189,'Danh sách ngày nghỉ lễ'!$B$5:$B$25)-1-VLOOKUP(P189,'Thời hạn'!$A$17:$B$23,2,0))&amp;" "&amp;"ngày","")))))</f>
        <v/>
      </c>
      <c r="AA189" s="23">
        <v>1</v>
      </c>
    </row>
    <row r="190" spans="1:27" s="24" customFormat="1" ht="15.6" x14ac:dyDescent="0.3">
      <c r="A190" s="24">
        <v>1</v>
      </c>
      <c r="B190" s="85"/>
      <c r="C190" s="33"/>
      <c r="D190" s="25"/>
      <c r="E190" s="25"/>
      <c r="F190" s="34"/>
      <c r="G190" s="34"/>
      <c r="H190" s="25"/>
      <c r="I190" s="70" t="str">
        <f>IF(C190="Trả lại đơn vụ","",IF(C190="Trả lại đơn việc","",IF(C190="Hòa giải thành","",IF(F190=0,"",EDATE(F190,VLOOKUP(C190,'Thời hạn'!$A$1:$B$10,2,0))+H190))))</f>
        <v/>
      </c>
      <c r="J190" s="59" t="str">
        <f t="shared" ca="1" si="2"/>
        <v/>
      </c>
      <c r="K190" s="25"/>
      <c r="L190" s="129"/>
      <c r="M190" s="130"/>
      <c r="N190" s="35"/>
      <c r="O190" s="34"/>
      <c r="P190" s="25"/>
      <c r="Q190" s="25"/>
      <c r="R190" s="34"/>
      <c r="S190" s="34"/>
      <c r="T190" s="25"/>
      <c r="U190" s="25"/>
      <c r="V190" s="36"/>
      <c r="W190" s="86"/>
      <c r="X190" s="127"/>
      <c r="Y190" s="71" t="str">
        <f>IF(C190="Trả lại đơn vụ","",IF(C190="Trả lại đơn việc","",IF((NETWORKDAYS(F190,G190,'Danh sách ngày nghỉ lễ'!$B$5:$B$25)-1-3)&gt;0,"Quá hạn"&amp;" "&amp;(NETWORKDAYS(F190,G190,'Danh sách ngày nghỉ lễ'!$B$5:$B$25)-1-3)&amp;" "&amp;"ngày","")))</f>
        <v/>
      </c>
      <c r="Z190" s="72" t="str">
        <f>IF(S190=0,"",IF(P190="Chuyển","",IF(P190="Nhập vào vụ khác","",IF(P190="BA",IF((S190-R190)&gt;10,"Quá hạn"&amp;" "&amp;(S190-R190-10)&amp;" "&amp;"ngày",""),IF((NETWORKDAYS(R190,S190,'Danh sách ngày nghỉ lễ'!$B$5:$B$25)-VLOOKUP(P190,'Thời hạn'!$A$17:$B$23,2,0))&gt;1,"Quá hạn"&amp;" "&amp;(NETWORKDAYS(R190,S190,'Danh sách ngày nghỉ lễ'!$B$5:$B$25)-1-VLOOKUP(P190,'Thời hạn'!$A$17:$B$23,2,0))&amp;" "&amp;"ngày","")))))</f>
        <v/>
      </c>
      <c r="AA190" s="23">
        <v>1</v>
      </c>
    </row>
    <row r="191" spans="1:27" s="24" customFormat="1" ht="15.6" x14ac:dyDescent="0.3">
      <c r="A191" s="24">
        <v>1</v>
      </c>
      <c r="B191" s="85"/>
      <c r="C191" s="33"/>
      <c r="D191" s="25"/>
      <c r="E191" s="25"/>
      <c r="F191" s="34"/>
      <c r="G191" s="34"/>
      <c r="H191" s="25"/>
      <c r="I191" s="70" t="str">
        <f>IF(C191="Trả lại đơn vụ","",IF(C191="Trả lại đơn việc","",IF(C191="Hòa giải thành","",IF(F191=0,"",EDATE(F191,VLOOKUP(C191,'Thời hạn'!$A$1:$B$10,2,0))+H191))))</f>
        <v/>
      </c>
      <c r="J191" s="59" t="str">
        <f t="shared" ca="1" si="2"/>
        <v/>
      </c>
      <c r="K191" s="25"/>
      <c r="L191" s="129"/>
      <c r="M191" s="130"/>
      <c r="N191" s="35"/>
      <c r="O191" s="34"/>
      <c r="P191" s="25"/>
      <c r="Q191" s="25"/>
      <c r="R191" s="34"/>
      <c r="S191" s="34"/>
      <c r="T191" s="25"/>
      <c r="U191" s="25"/>
      <c r="V191" s="36"/>
      <c r="W191" s="86"/>
      <c r="X191" s="127"/>
      <c r="Y191" s="71" t="str">
        <f>IF(C191="Trả lại đơn vụ","",IF(C191="Trả lại đơn việc","",IF((NETWORKDAYS(F191,G191,'Danh sách ngày nghỉ lễ'!$B$5:$B$25)-1-3)&gt;0,"Quá hạn"&amp;" "&amp;(NETWORKDAYS(F191,G191,'Danh sách ngày nghỉ lễ'!$B$5:$B$25)-1-3)&amp;" "&amp;"ngày","")))</f>
        <v/>
      </c>
      <c r="Z191" s="72" t="str">
        <f>IF(S191=0,"",IF(P191="Chuyển","",IF(P191="Nhập vào vụ khác","",IF(P191="BA",IF((S191-R191)&gt;10,"Quá hạn"&amp;" "&amp;(S191-R191-10)&amp;" "&amp;"ngày",""),IF((NETWORKDAYS(R191,S191,'Danh sách ngày nghỉ lễ'!$B$5:$B$25)-VLOOKUP(P191,'Thời hạn'!$A$17:$B$23,2,0))&gt;1,"Quá hạn"&amp;" "&amp;(NETWORKDAYS(R191,S191,'Danh sách ngày nghỉ lễ'!$B$5:$B$25)-1-VLOOKUP(P191,'Thời hạn'!$A$17:$B$23,2,0))&amp;" "&amp;"ngày","")))))</f>
        <v/>
      </c>
      <c r="AA191" s="23">
        <v>1</v>
      </c>
    </row>
    <row r="192" spans="1:27" s="24" customFormat="1" ht="15.6" x14ac:dyDescent="0.3">
      <c r="A192" s="24">
        <v>1</v>
      </c>
      <c r="B192" s="85"/>
      <c r="C192" s="33"/>
      <c r="D192" s="25"/>
      <c r="E192" s="25"/>
      <c r="F192" s="34"/>
      <c r="G192" s="34"/>
      <c r="H192" s="25"/>
      <c r="I192" s="70" t="str">
        <f>IF(C192="Trả lại đơn vụ","",IF(C192="Trả lại đơn việc","",IF(C192="Hòa giải thành","",IF(F192=0,"",EDATE(F192,VLOOKUP(C192,'Thời hạn'!$A$1:$B$10,2,0))+H192))))</f>
        <v/>
      </c>
      <c r="J192" s="59" t="str">
        <f t="shared" ca="1" si="2"/>
        <v/>
      </c>
      <c r="K192" s="25"/>
      <c r="L192" s="129"/>
      <c r="M192" s="130"/>
      <c r="N192" s="35"/>
      <c r="O192" s="34"/>
      <c r="P192" s="25"/>
      <c r="Q192" s="25"/>
      <c r="R192" s="34"/>
      <c r="S192" s="34"/>
      <c r="T192" s="25"/>
      <c r="U192" s="25"/>
      <c r="V192" s="36"/>
      <c r="W192" s="86"/>
      <c r="X192" s="127"/>
      <c r="Y192" s="71" t="str">
        <f>IF(C192="Trả lại đơn vụ","",IF(C192="Trả lại đơn việc","",IF((NETWORKDAYS(F192,G192,'Danh sách ngày nghỉ lễ'!$B$5:$B$25)-1-3)&gt;0,"Quá hạn"&amp;" "&amp;(NETWORKDAYS(F192,G192,'Danh sách ngày nghỉ lễ'!$B$5:$B$25)-1-3)&amp;" "&amp;"ngày","")))</f>
        <v/>
      </c>
      <c r="Z192" s="72" t="str">
        <f>IF(S192=0,"",IF(P192="Chuyển","",IF(P192="Nhập vào vụ khác","",IF(P192="BA",IF((S192-R192)&gt;10,"Quá hạn"&amp;" "&amp;(S192-R192-10)&amp;" "&amp;"ngày",""),IF((NETWORKDAYS(R192,S192,'Danh sách ngày nghỉ lễ'!$B$5:$B$25)-VLOOKUP(P192,'Thời hạn'!$A$17:$B$23,2,0))&gt;1,"Quá hạn"&amp;" "&amp;(NETWORKDAYS(R192,S192,'Danh sách ngày nghỉ lễ'!$B$5:$B$25)-1-VLOOKUP(P192,'Thời hạn'!$A$17:$B$23,2,0))&amp;" "&amp;"ngày","")))))</f>
        <v/>
      </c>
      <c r="AA192" s="23">
        <v>1</v>
      </c>
    </row>
    <row r="193" spans="1:27" s="24" customFormat="1" ht="15.6" x14ac:dyDescent="0.3">
      <c r="A193" s="24">
        <v>1</v>
      </c>
      <c r="B193" s="85"/>
      <c r="C193" s="33"/>
      <c r="D193" s="25"/>
      <c r="E193" s="25"/>
      <c r="F193" s="34"/>
      <c r="G193" s="34"/>
      <c r="H193" s="25"/>
      <c r="I193" s="70" t="str">
        <f>IF(C193="Trả lại đơn vụ","",IF(C193="Trả lại đơn việc","",IF(C193="Hòa giải thành","",IF(F193=0,"",EDATE(F193,VLOOKUP(C193,'Thời hạn'!$A$1:$B$10,2,0))+H193))))</f>
        <v/>
      </c>
      <c r="J193" s="59" t="str">
        <f t="shared" ca="1" si="2"/>
        <v/>
      </c>
      <c r="K193" s="25"/>
      <c r="L193" s="129"/>
      <c r="M193" s="130"/>
      <c r="N193" s="35"/>
      <c r="O193" s="34"/>
      <c r="P193" s="25"/>
      <c r="Q193" s="25"/>
      <c r="R193" s="34"/>
      <c r="S193" s="34"/>
      <c r="T193" s="25"/>
      <c r="U193" s="25"/>
      <c r="V193" s="36"/>
      <c r="W193" s="86"/>
      <c r="X193" s="127"/>
      <c r="Y193" s="71" t="str">
        <f>IF(C193="Trả lại đơn vụ","",IF(C193="Trả lại đơn việc","",IF((NETWORKDAYS(F193,G193,'Danh sách ngày nghỉ lễ'!$B$5:$B$25)-1-3)&gt;0,"Quá hạn"&amp;" "&amp;(NETWORKDAYS(F193,G193,'Danh sách ngày nghỉ lễ'!$B$5:$B$25)-1-3)&amp;" "&amp;"ngày","")))</f>
        <v/>
      </c>
      <c r="Z193" s="72" t="str">
        <f>IF(S193=0,"",IF(P193="Chuyển","",IF(P193="Nhập vào vụ khác","",IF(P193="BA",IF((S193-R193)&gt;10,"Quá hạn"&amp;" "&amp;(S193-R193-10)&amp;" "&amp;"ngày",""),IF((NETWORKDAYS(R193,S193,'Danh sách ngày nghỉ lễ'!$B$5:$B$25)-VLOOKUP(P193,'Thời hạn'!$A$17:$B$23,2,0))&gt;1,"Quá hạn"&amp;" "&amp;(NETWORKDAYS(R193,S193,'Danh sách ngày nghỉ lễ'!$B$5:$B$25)-1-VLOOKUP(P193,'Thời hạn'!$A$17:$B$23,2,0))&amp;" "&amp;"ngày","")))))</f>
        <v/>
      </c>
      <c r="AA193" s="23">
        <v>1</v>
      </c>
    </row>
    <row r="194" spans="1:27" s="24" customFormat="1" ht="15.6" x14ac:dyDescent="0.3">
      <c r="A194" s="24">
        <v>1</v>
      </c>
      <c r="B194" s="85"/>
      <c r="C194" s="33"/>
      <c r="D194" s="25"/>
      <c r="E194" s="25"/>
      <c r="F194" s="34"/>
      <c r="G194" s="34"/>
      <c r="H194" s="25"/>
      <c r="I194" s="70" t="str">
        <f>IF(C194="Trả lại đơn vụ","",IF(C194="Trả lại đơn việc","",IF(C194="Hòa giải thành","",IF(F194=0,"",EDATE(F194,VLOOKUP(C194,'Thời hạn'!$A$1:$B$10,2,0))+H194))))</f>
        <v/>
      </c>
      <c r="J194" s="59" t="str">
        <f t="shared" ca="1" si="2"/>
        <v/>
      </c>
      <c r="K194" s="25"/>
      <c r="L194" s="129"/>
      <c r="M194" s="130"/>
      <c r="N194" s="35"/>
      <c r="O194" s="34"/>
      <c r="P194" s="25"/>
      <c r="Q194" s="25"/>
      <c r="R194" s="34"/>
      <c r="S194" s="34"/>
      <c r="T194" s="25"/>
      <c r="U194" s="25"/>
      <c r="V194" s="36"/>
      <c r="W194" s="86"/>
      <c r="X194" s="127"/>
      <c r="Y194" s="71" t="str">
        <f>IF(C194="Trả lại đơn vụ","",IF(C194="Trả lại đơn việc","",IF((NETWORKDAYS(F194,G194,'Danh sách ngày nghỉ lễ'!$B$5:$B$25)-1-3)&gt;0,"Quá hạn"&amp;" "&amp;(NETWORKDAYS(F194,G194,'Danh sách ngày nghỉ lễ'!$B$5:$B$25)-1-3)&amp;" "&amp;"ngày","")))</f>
        <v/>
      </c>
      <c r="Z194" s="72" t="str">
        <f>IF(S194=0,"",IF(P194="Chuyển","",IF(P194="Nhập vào vụ khác","",IF(P194="BA",IF((S194-R194)&gt;10,"Quá hạn"&amp;" "&amp;(S194-R194-10)&amp;" "&amp;"ngày",""),IF((NETWORKDAYS(R194,S194,'Danh sách ngày nghỉ lễ'!$B$5:$B$25)-VLOOKUP(P194,'Thời hạn'!$A$17:$B$23,2,0))&gt;1,"Quá hạn"&amp;" "&amp;(NETWORKDAYS(R194,S194,'Danh sách ngày nghỉ lễ'!$B$5:$B$25)-1-VLOOKUP(P194,'Thời hạn'!$A$17:$B$23,2,0))&amp;" "&amp;"ngày","")))))</f>
        <v/>
      </c>
      <c r="AA194" s="23">
        <v>1</v>
      </c>
    </row>
    <row r="195" spans="1:27" s="24" customFormat="1" ht="15.6" x14ac:dyDescent="0.3">
      <c r="A195" s="24">
        <v>1</v>
      </c>
      <c r="B195" s="85"/>
      <c r="C195" s="33"/>
      <c r="D195" s="25"/>
      <c r="E195" s="25"/>
      <c r="F195" s="34"/>
      <c r="G195" s="34"/>
      <c r="H195" s="25"/>
      <c r="I195" s="70" t="str">
        <f>IF(C195="Trả lại đơn vụ","",IF(C195="Trả lại đơn việc","",IF(C195="Hòa giải thành","",IF(F195=0,"",EDATE(F195,VLOOKUP(C195,'Thời hạn'!$A$1:$B$10,2,0))+H195))))</f>
        <v/>
      </c>
      <c r="J195" s="59" t="str">
        <f t="shared" ca="1" si="2"/>
        <v/>
      </c>
      <c r="K195" s="25"/>
      <c r="L195" s="129"/>
      <c r="M195" s="130"/>
      <c r="N195" s="35"/>
      <c r="O195" s="34"/>
      <c r="P195" s="25"/>
      <c r="Q195" s="25"/>
      <c r="R195" s="34"/>
      <c r="S195" s="34"/>
      <c r="T195" s="25"/>
      <c r="U195" s="25"/>
      <c r="V195" s="36"/>
      <c r="W195" s="86"/>
      <c r="X195" s="127"/>
      <c r="Y195" s="71" t="str">
        <f>IF(C195="Trả lại đơn vụ","",IF(C195="Trả lại đơn việc","",IF((NETWORKDAYS(F195,G195,'Danh sách ngày nghỉ lễ'!$B$5:$B$25)-1-3)&gt;0,"Quá hạn"&amp;" "&amp;(NETWORKDAYS(F195,G195,'Danh sách ngày nghỉ lễ'!$B$5:$B$25)-1-3)&amp;" "&amp;"ngày","")))</f>
        <v/>
      </c>
      <c r="Z195" s="72" t="str">
        <f>IF(S195=0,"",IF(P195="Chuyển","",IF(P195="Nhập vào vụ khác","",IF(P195="BA",IF((S195-R195)&gt;10,"Quá hạn"&amp;" "&amp;(S195-R195-10)&amp;" "&amp;"ngày",""),IF((NETWORKDAYS(R195,S195,'Danh sách ngày nghỉ lễ'!$B$5:$B$25)-VLOOKUP(P195,'Thời hạn'!$A$17:$B$23,2,0))&gt;1,"Quá hạn"&amp;" "&amp;(NETWORKDAYS(R195,S195,'Danh sách ngày nghỉ lễ'!$B$5:$B$25)-1-VLOOKUP(P195,'Thời hạn'!$A$17:$B$23,2,0))&amp;" "&amp;"ngày","")))))</f>
        <v/>
      </c>
      <c r="AA195" s="23">
        <v>1</v>
      </c>
    </row>
    <row r="196" spans="1:27" s="24" customFormat="1" ht="15.6" x14ac:dyDescent="0.3">
      <c r="A196" s="24">
        <v>1</v>
      </c>
      <c r="B196" s="85"/>
      <c r="C196" s="33"/>
      <c r="D196" s="25"/>
      <c r="E196" s="25"/>
      <c r="F196" s="34"/>
      <c r="G196" s="34"/>
      <c r="H196" s="25"/>
      <c r="I196" s="70" t="str">
        <f>IF(C196="Trả lại đơn vụ","",IF(C196="Trả lại đơn việc","",IF(C196="Hòa giải thành","",IF(F196=0,"",EDATE(F196,VLOOKUP(C196,'Thời hạn'!$A$1:$B$10,2,0))+H196))))</f>
        <v/>
      </c>
      <c r="J196" s="59" t="str">
        <f t="shared" ca="1" si="2"/>
        <v/>
      </c>
      <c r="K196" s="25"/>
      <c r="L196" s="129"/>
      <c r="M196" s="130"/>
      <c r="N196" s="35"/>
      <c r="O196" s="34"/>
      <c r="P196" s="25"/>
      <c r="Q196" s="25"/>
      <c r="R196" s="34"/>
      <c r="S196" s="34"/>
      <c r="T196" s="25"/>
      <c r="U196" s="25"/>
      <c r="V196" s="36"/>
      <c r="W196" s="86"/>
      <c r="X196" s="127"/>
      <c r="Y196" s="71" t="str">
        <f>IF(C196="Trả lại đơn vụ","",IF(C196="Trả lại đơn việc","",IF((NETWORKDAYS(F196,G196,'Danh sách ngày nghỉ lễ'!$B$5:$B$25)-1-3)&gt;0,"Quá hạn"&amp;" "&amp;(NETWORKDAYS(F196,G196,'Danh sách ngày nghỉ lễ'!$B$5:$B$25)-1-3)&amp;" "&amp;"ngày","")))</f>
        <v/>
      </c>
      <c r="Z196" s="72" t="str">
        <f>IF(S196=0,"",IF(P196="Chuyển","",IF(P196="Nhập vào vụ khác","",IF(P196="BA",IF((S196-R196)&gt;10,"Quá hạn"&amp;" "&amp;(S196-R196-10)&amp;" "&amp;"ngày",""),IF((NETWORKDAYS(R196,S196,'Danh sách ngày nghỉ lễ'!$B$5:$B$25)-VLOOKUP(P196,'Thời hạn'!$A$17:$B$23,2,0))&gt;1,"Quá hạn"&amp;" "&amp;(NETWORKDAYS(R196,S196,'Danh sách ngày nghỉ lễ'!$B$5:$B$25)-1-VLOOKUP(P196,'Thời hạn'!$A$17:$B$23,2,0))&amp;" "&amp;"ngày","")))))</f>
        <v/>
      </c>
      <c r="AA196" s="23">
        <v>1</v>
      </c>
    </row>
    <row r="197" spans="1:27" s="24" customFormat="1" ht="15.6" x14ac:dyDescent="0.3">
      <c r="A197" s="24">
        <v>1</v>
      </c>
      <c r="B197" s="85"/>
      <c r="C197" s="33"/>
      <c r="D197" s="25"/>
      <c r="E197" s="25"/>
      <c r="F197" s="34"/>
      <c r="G197" s="34"/>
      <c r="H197" s="25"/>
      <c r="I197" s="70" t="str">
        <f>IF(C197="Trả lại đơn vụ","",IF(C197="Trả lại đơn việc","",IF(C197="Hòa giải thành","",IF(F197=0,"",EDATE(F197,VLOOKUP(C197,'Thời hạn'!$A$1:$B$10,2,0))+H197))))</f>
        <v/>
      </c>
      <c r="J197" s="59" t="str">
        <f t="shared" ca="1" si="2"/>
        <v/>
      </c>
      <c r="K197" s="25"/>
      <c r="L197" s="129"/>
      <c r="M197" s="130"/>
      <c r="N197" s="35"/>
      <c r="O197" s="34"/>
      <c r="P197" s="25"/>
      <c r="Q197" s="25"/>
      <c r="R197" s="34"/>
      <c r="S197" s="34"/>
      <c r="T197" s="25"/>
      <c r="U197" s="25"/>
      <c r="V197" s="36"/>
      <c r="W197" s="86"/>
      <c r="X197" s="127"/>
      <c r="Y197" s="71" t="str">
        <f>IF(C197="Trả lại đơn vụ","",IF(C197="Trả lại đơn việc","",IF((NETWORKDAYS(F197,G197,'Danh sách ngày nghỉ lễ'!$B$5:$B$25)-1-3)&gt;0,"Quá hạn"&amp;" "&amp;(NETWORKDAYS(F197,G197,'Danh sách ngày nghỉ lễ'!$B$5:$B$25)-1-3)&amp;" "&amp;"ngày","")))</f>
        <v/>
      </c>
      <c r="Z197" s="72" t="str">
        <f>IF(S197=0,"",IF(P197="Chuyển","",IF(P197="Nhập vào vụ khác","",IF(P197="BA",IF((S197-R197)&gt;10,"Quá hạn"&amp;" "&amp;(S197-R197-10)&amp;" "&amp;"ngày",""),IF((NETWORKDAYS(R197,S197,'Danh sách ngày nghỉ lễ'!$B$5:$B$25)-VLOOKUP(P197,'Thời hạn'!$A$17:$B$23,2,0))&gt;1,"Quá hạn"&amp;" "&amp;(NETWORKDAYS(R197,S197,'Danh sách ngày nghỉ lễ'!$B$5:$B$25)-1-VLOOKUP(P197,'Thời hạn'!$A$17:$B$23,2,0))&amp;" "&amp;"ngày","")))))</f>
        <v/>
      </c>
      <c r="AA197" s="23">
        <v>1</v>
      </c>
    </row>
    <row r="198" spans="1:27" s="24" customFormat="1" ht="15.6" x14ac:dyDescent="0.3">
      <c r="A198" s="24">
        <v>1</v>
      </c>
      <c r="B198" s="85"/>
      <c r="C198" s="33"/>
      <c r="D198" s="25"/>
      <c r="E198" s="25"/>
      <c r="F198" s="34"/>
      <c r="G198" s="34"/>
      <c r="H198" s="25"/>
      <c r="I198" s="70" t="str">
        <f>IF(C198="Trả lại đơn vụ","",IF(C198="Trả lại đơn việc","",IF(C198="Hòa giải thành","",IF(F198=0,"",EDATE(F198,VLOOKUP(C198,'Thời hạn'!$A$1:$B$10,2,0))+H198))))</f>
        <v/>
      </c>
      <c r="J198" s="59" t="str">
        <f t="shared" ca="1" si="2"/>
        <v/>
      </c>
      <c r="K198" s="25"/>
      <c r="L198" s="129"/>
      <c r="M198" s="130"/>
      <c r="N198" s="35"/>
      <c r="O198" s="34"/>
      <c r="P198" s="25"/>
      <c r="Q198" s="25"/>
      <c r="R198" s="34"/>
      <c r="S198" s="34"/>
      <c r="T198" s="25"/>
      <c r="U198" s="25"/>
      <c r="V198" s="36"/>
      <c r="W198" s="86"/>
      <c r="X198" s="127"/>
      <c r="Y198" s="71" t="str">
        <f>IF(C198="Trả lại đơn vụ","",IF(C198="Trả lại đơn việc","",IF((NETWORKDAYS(F198,G198,'Danh sách ngày nghỉ lễ'!$B$5:$B$25)-1-3)&gt;0,"Quá hạn"&amp;" "&amp;(NETWORKDAYS(F198,G198,'Danh sách ngày nghỉ lễ'!$B$5:$B$25)-1-3)&amp;" "&amp;"ngày","")))</f>
        <v/>
      </c>
      <c r="Z198" s="72" t="str">
        <f>IF(S198=0,"",IF(P198="Chuyển","",IF(P198="Nhập vào vụ khác","",IF(P198="BA",IF((S198-R198)&gt;10,"Quá hạn"&amp;" "&amp;(S198-R198-10)&amp;" "&amp;"ngày",""),IF((NETWORKDAYS(R198,S198,'Danh sách ngày nghỉ lễ'!$B$5:$B$25)-VLOOKUP(P198,'Thời hạn'!$A$17:$B$23,2,0))&gt;1,"Quá hạn"&amp;" "&amp;(NETWORKDAYS(R198,S198,'Danh sách ngày nghỉ lễ'!$B$5:$B$25)-1-VLOOKUP(P198,'Thời hạn'!$A$17:$B$23,2,0))&amp;" "&amp;"ngày","")))))</f>
        <v/>
      </c>
      <c r="AA198" s="23">
        <v>1</v>
      </c>
    </row>
    <row r="199" spans="1:27" s="24" customFormat="1" ht="15.6" x14ac:dyDescent="0.3">
      <c r="A199" s="24">
        <v>1</v>
      </c>
      <c r="B199" s="85"/>
      <c r="C199" s="33"/>
      <c r="D199" s="25"/>
      <c r="E199" s="25"/>
      <c r="F199" s="34"/>
      <c r="G199" s="34"/>
      <c r="H199" s="25"/>
      <c r="I199" s="70" t="str">
        <f>IF(C199="Trả lại đơn vụ","",IF(C199="Trả lại đơn việc","",IF(C199="Hòa giải thành","",IF(F199=0,"",EDATE(F199,VLOOKUP(C199,'Thời hạn'!$A$1:$B$10,2,0))+H199))))</f>
        <v/>
      </c>
      <c r="J199" s="59" t="str">
        <f t="shared" ca="1" si="2"/>
        <v/>
      </c>
      <c r="K199" s="25"/>
      <c r="L199" s="129"/>
      <c r="M199" s="130"/>
      <c r="N199" s="35"/>
      <c r="O199" s="34"/>
      <c r="P199" s="25"/>
      <c r="Q199" s="25"/>
      <c r="R199" s="34"/>
      <c r="S199" s="34"/>
      <c r="T199" s="25"/>
      <c r="U199" s="25"/>
      <c r="V199" s="36"/>
      <c r="W199" s="86"/>
      <c r="X199" s="127"/>
      <c r="Y199" s="71" t="str">
        <f>IF(C199="Trả lại đơn vụ","",IF(C199="Trả lại đơn việc","",IF((NETWORKDAYS(F199,G199,'Danh sách ngày nghỉ lễ'!$B$5:$B$25)-1-3)&gt;0,"Quá hạn"&amp;" "&amp;(NETWORKDAYS(F199,G199,'Danh sách ngày nghỉ lễ'!$B$5:$B$25)-1-3)&amp;" "&amp;"ngày","")))</f>
        <v/>
      </c>
      <c r="Z199" s="72" t="str">
        <f>IF(S199=0,"",IF(P199="Chuyển","",IF(P199="Nhập vào vụ khác","",IF(P199="BA",IF((S199-R199)&gt;10,"Quá hạn"&amp;" "&amp;(S199-R199-10)&amp;" "&amp;"ngày",""),IF((NETWORKDAYS(R199,S199,'Danh sách ngày nghỉ lễ'!$B$5:$B$25)-VLOOKUP(P199,'Thời hạn'!$A$17:$B$23,2,0))&gt;1,"Quá hạn"&amp;" "&amp;(NETWORKDAYS(R199,S199,'Danh sách ngày nghỉ lễ'!$B$5:$B$25)-1-VLOOKUP(P199,'Thời hạn'!$A$17:$B$23,2,0))&amp;" "&amp;"ngày","")))))</f>
        <v/>
      </c>
      <c r="AA199" s="23">
        <v>1</v>
      </c>
    </row>
    <row r="200" spans="1:27" s="24" customFormat="1" ht="15.6" x14ac:dyDescent="0.3">
      <c r="A200" s="24">
        <v>1</v>
      </c>
      <c r="B200" s="85"/>
      <c r="C200" s="33"/>
      <c r="D200" s="25"/>
      <c r="E200" s="25"/>
      <c r="F200" s="34"/>
      <c r="G200" s="34"/>
      <c r="H200" s="25"/>
      <c r="I200" s="70" t="str">
        <f>IF(C200="Trả lại đơn vụ","",IF(C200="Trả lại đơn việc","",IF(C200="Hòa giải thành","",IF(F200=0,"",EDATE(F200,VLOOKUP(C200,'Thời hạn'!$A$1:$B$10,2,0))+H200))))</f>
        <v/>
      </c>
      <c r="J200" s="59" t="str">
        <f t="shared" ca="1" si="2"/>
        <v/>
      </c>
      <c r="K200" s="25"/>
      <c r="L200" s="129"/>
      <c r="M200" s="130"/>
      <c r="N200" s="35"/>
      <c r="O200" s="34"/>
      <c r="P200" s="25"/>
      <c r="Q200" s="25"/>
      <c r="R200" s="34"/>
      <c r="S200" s="34"/>
      <c r="T200" s="25"/>
      <c r="U200" s="25"/>
      <c r="V200" s="36"/>
      <c r="W200" s="86"/>
      <c r="X200" s="127"/>
      <c r="Y200" s="71" t="str">
        <f>IF(C200="Trả lại đơn vụ","",IF(C200="Trả lại đơn việc","",IF((NETWORKDAYS(F200,G200,'Danh sách ngày nghỉ lễ'!$B$5:$B$25)-1-3)&gt;0,"Quá hạn"&amp;" "&amp;(NETWORKDAYS(F200,G200,'Danh sách ngày nghỉ lễ'!$B$5:$B$25)-1-3)&amp;" "&amp;"ngày","")))</f>
        <v/>
      </c>
      <c r="Z200" s="72" t="str">
        <f>IF(S200=0,"",IF(P200="Chuyển","",IF(P200="Nhập vào vụ khác","",IF(P200="BA",IF((S200-R200)&gt;10,"Quá hạn"&amp;" "&amp;(S200-R200-10)&amp;" "&amp;"ngày",""),IF((NETWORKDAYS(R200,S200,'Danh sách ngày nghỉ lễ'!$B$5:$B$25)-VLOOKUP(P200,'Thời hạn'!$A$17:$B$23,2,0))&gt;1,"Quá hạn"&amp;" "&amp;(NETWORKDAYS(R200,S200,'Danh sách ngày nghỉ lễ'!$B$5:$B$25)-1-VLOOKUP(P200,'Thời hạn'!$A$17:$B$23,2,0))&amp;" "&amp;"ngày","")))))</f>
        <v/>
      </c>
      <c r="AA200" s="23">
        <v>1</v>
      </c>
    </row>
    <row r="201" spans="1:27" s="24" customFormat="1" ht="15.6" x14ac:dyDescent="0.3">
      <c r="A201" s="24">
        <v>1</v>
      </c>
      <c r="B201" s="85"/>
      <c r="C201" s="33"/>
      <c r="D201" s="25"/>
      <c r="E201" s="25"/>
      <c r="F201" s="34"/>
      <c r="G201" s="34"/>
      <c r="H201" s="25"/>
      <c r="I201" s="70" t="str">
        <f>IF(C201="Trả lại đơn vụ","",IF(C201="Trả lại đơn việc","",IF(C201="Hòa giải thành","",IF(F201=0,"",EDATE(F201,VLOOKUP(C201,'Thời hạn'!$A$1:$B$10,2,0))+H201))))</f>
        <v/>
      </c>
      <c r="J201" s="59" t="str">
        <f t="shared" ca="1" si="2"/>
        <v/>
      </c>
      <c r="K201" s="25"/>
      <c r="L201" s="129"/>
      <c r="M201" s="130"/>
      <c r="N201" s="35"/>
      <c r="O201" s="34"/>
      <c r="P201" s="25"/>
      <c r="Q201" s="25"/>
      <c r="R201" s="34"/>
      <c r="S201" s="34"/>
      <c r="T201" s="25"/>
      <c r="U201" s="25"/>
      <c r="V201" s="36"/>
      <c r="W201" s="86"/>
      <c r="X201" s="127"/>
      <c r="Y201" s="71" t="str">
        <f>IF(C201="Trả lại đơn vụ","",IF(C201="Trả lại đơn việc","",IF((NETWORKDAYS(F201,G201,'Danh sách ngày nghỉ lễ'!$B$5:$B$25)-1-3)&gt;0,"Quá hạn"&amp;" "&amp;(NETWORKDAYS(F201,G201,'Danh sách ngày nghỉ lễ'!$B$5:$B$25)-1-3)&amp;" "&amp;"ngày","")))</f>
        <v/>
      </c>
      <c r="Z201" s="72" t="str">
        <f>IF(S201=0,"",IF(P201="Chuyển","",IF(P201="Nhập vào vụ khác","",IF(P201="BA",IF((S201-R201)&gt;10,"Quá hạn"&amp;" "&amp;(S201-R201-10)&amp;" "&amp;"ngày",""),IF((NETWORKDAYS(R201,S201,'Danh sách ngày nghỉ lễ'!$B$5:$B$25)-VLOOKUP(P201,'Thời hạn'!$A$17:$B$23,2,0))&gt;1,"Quá hạn"&amp;" "&amp;(NETWORKDAYS(R201,S201,'Danh sách ngày nghỉ lễ'!$B$5:$B$25)-1-VLOOKUP(P201,'Thời hạn'!$A$17:$B$23,2,0))&amp;" "&amp;"ngày","")))))</f>
        <v/>
      </c>
      <c r="AA201" s="23">
        <v>1</v>
      </c>
    </row>
    <row r="202" spans="1:27" s="24" customFormat="1" ht="15.6" x14ac:dyDescent="0.3">
      <c r="A202" s="24">
        <v>1</v>
      </c>
      <c r="B202" s="85"/>
      <c r="C202" s="33"/>
      <c r="D202" s="25"/>
      <c r="E202" s="25"/>
      <c r="F202" s="34"/>
      <c r="G202" s="34"/>
      <c r="H202" s="25"/>
      <c r="I202" s="70" t="str">
        <f>IF(C202="Trả lại đơn vụ","",IF(C202="Trả lại đơn việc","",IF(C202="Hòa giải thành","",IF(F202=0,"",EDATE(F202,VLOOKUP(C202,'Thời hạn'!$A$1:$B$10,2,0))+H202))))</f>
        <v/>
      </c>
      <c r="J202" s="59" t="str">
        <f t="shared" ca="1" si="2"/>
        <v/>
      </c>
      <c r="K202" s="25"/>
      <c r="L202" s="129"/>
      <c r="M202" s="130"/>
      <c r="N202" s="35"/>
      <c r="O202" s="34"/>
      <c r="P202" s="25"/>
      <c r="Q202" s="25"/>
      <c r="R202" s="34"/>
      <c r="S202" s="34"/>
      <c r="T202" s="25"/>
      <c r="U202" s="25"/>
      <c r="V202" s="36"/>
      <c r="W202" s="86"/>
      <c r="X202" s="127"/>
      <c r="Y202" s="71" t="str">
        <f>IF(C202="Trả lại đơn vụ","",IF(C202="Trả lại đơn việc","",IF((NETWORKDAYS(F202,G202,'Danh sách ngày nghỉ lễ'!$B$5:$B$25)-1-3)&gt;0,"Quá hạn"&amp;" "&amp;(NETWORKDAYS(F202,G202,'Danh sách ngày nghỉ lễ'!$B$5:$B$25)-1-3)&amp;" "&amp;"ngày","")))</f>
        <v/>
      </c>
      <c r="Z202" s="72" t="str">
        <f>IF(S202=0,"",IF(P202="Chuyển","",IF(P202="Nhập vào vụ khác","",IF(P202="BA",IF((S202-R202)&gt;10,"Quá hạn"&amp;" "&amp;(S202-R202-10)&amp;" "&amp;"ngày",""),IF((NETWORKDAYS(R202,S202,'Danh sách ngày nghỉ lễ'!$B$5:$B$25)-VLOOKUP(P202,'Thời hạn'!$A$17:$B$23,2,0))&gt;1,"Quá hạn"&amp;" "&amp;(NETWORKDAYS(R202,S202,'Danh sách ngày nghỉ lễ'!$B$5:$B$25)-1-VLOOKUP(P202,'Thời hạn'!$A$17:$B$23,2,0))&amp;" "&amp;"ngày","")))))</f>
        <v/>
      </c>
      <c r="AA202" s="23">
        <v>1</v>
      </c>
    </row>
    <row r="203" spans="1:27" s="24" customFormat="1" ht="15.6" x14ac:dyDescent="0.3">
      <c r="A203" s="24">
        <v>1</v>
      </c>
      <c r="B203" s="85"/>
      <c r="C203" s="33"/>
      <c r="D203" s="25"/>
      <c r="E203" s="25"/>
      <c r="F203" s="34"/>
      <c r="G203" s="34"/>
      <c r="H203" s="25"/>
      <c r="I203" s="70" t="str">
        <f>IF(C203="Trả lại đơn vụ","",IF(C203="Trả lại đơn việc","",IF(C203="Hòa giải thành","",IF(F203=0,"",EDATE(F203,VLOOKUP(C203,'Thời hạn'!$A$1:$B$10,2,0))+H203))))</f>
        <v/>
      </c>
      <c r="J203" s="59" t="str">
        <f t="shared" ref="J203:J213" ca="1" si="3">IF(C203="Trả lại đơn vụ","",IF(C203="Trả lại đơn việc","",IF(C203="Hòa giải thành","",IF(N203=0,IF(P203=0,IF(F203=0,"",I203-TODAY()+1),""),""))))</f>
        <v/>
      </c>
      <c r="K203" s="25"/>
      <c r="L203" s="129"/>
      <c r="M203" s="130"/>
      <c r="N203" s="35"/>
      <c r="O203" s="34"/>
      <c r="P203" s="25"/>
      <c r="Q203" s="25"/>
      <c r="R203" s="34"/>
      <c r="S203" s="34"/>
      <c r="T203" s="25"/>
      <c r="U203" s="25"/>
      <c r="V203" s="36"/>
      <c r="W203" s="86"/>
      <c r="X203" s="127"/>
      <c r="Y203" s="71" t="str">
        <f>IF(C203="Trả lại đơn vụ","",IF(C203="Trả lại đơn việc","",IF((NETWORKDAYS(F203,G203,'Danh sách ngày nghỉ lễ'!$B$5:$B$25)-1-3)&gt;0,"Quá hạn"&amp;" "&amp;(NETWORKDAYS(F203,G203,'Danh sách ngày nghỉ lễ'!$B$5:$B$25)-1-3)&amp;" "&amp;"ngày","")))</f>
        <v/>
      </c>
      <c r="Z203" s="72" t="str">
        <f>IF(S203=0,"",IF(P203="Chuyển","",IF(P203="Nhập vào vụ khác","",IF(P203="BA",IF((S203-R203)&gt;10,"Quá hạn"&amp;" "&amp;(S203-R203-10)&amp;" "&amp;"ngày",""),IF((NETWORKDAYS(R203,S203,'Danh sách ngày nghỉ lễ'!$B$5:$B$25)-VLOOKUP(P203,'Thời hạn'!$A$17:$B$23,2,0))&gt;1,"Quá hạn"&amp;" "&amp;(NETWORKDAYS(R203,S203,'Danh sách ngày nghỉ lễ'!$B$5:$B$25)-1-VLOOKUP(P203,'Thời hạn'!$A$17:$B$23,2,0))&amp;" "&amp;"ngày","")))))</f>
        <v/>
      </c>
      <c r="AA203" s="23">
        <v>1</v>
      </c>
    </row>
    <row r="204" spans="1:27" s="24" customFormat="1" ht="15.6" x14ac:dyDescent="0.3">
      <c r="A204" s="24">
        <v>1</v>
      </c>
      <c r="B204" s="85"/>
      <c r="C204" s="33"/>
      <c r="D204" s="25"/>
      <c r="E204" s="25"/>
      <c r="F204" s="34"/>
      <c r="G204" s="34"/>
      <c r="H204" s="25"/>
      <c r="I204" s="70" t="str">
        <f>IF(C204="Trả lại đơn vụ","",IF(C204="Trả lại đơn việc","",IF(C204="Hòa giải thành","",IF(F204=0,"",EDATE(F204,VLOOKUP(C204,'Thời hạn'!$A$1:$B$10,2,0))+H204))))</f>
        <v/>
      </c>
      <c r="J204" s="59" t="str">
        <f t="shared" ca="1" si="3"/>
        <v/>
      </c>
      <c r="K204" s="25"/>
      <c r="L204" s="129"/>
      <c r="M204" s="130"/>
      <c r="N204" s="35"/>
      <c r="O204" s="34"/>
      <c r="P204" s="25"/>
      <c r="Q204" s="25"/>
      <c r="R204" s="34"/>
      <c r="S204" s="34"/>
      <c r="T204" s="25"/>
      <c r="U204" s="25"/>
      <c r="V204" s="36"/>
      <c r="W204" s="86"/>
      <c r="X204" s="127"/>
      <c r="Y204" s="71" t="str">
        <f>IF(C204="Trả lại đơn vụ","",IF(C204="Trả lại đơn việc","",IF((NETWORKDAYS(F204,G204,'Danh sách ngày nghỉ lễ'!$B$5:$B$25)-1-3)&gt;0,"Quá hạn"&amp;" "&amp;(NETWORKDAYS(F204,G204,'Danh sách ngày nghỉ lễ'!$B$5:$B$25)-1-3)&amp;" "&amp;"ngày","")))</f>
        <v/>
      </c>
      <c r="Z204" s="72" t="str">
        <f>IF(S204=0,"",IF(P204="Chuyển","",IF(P204="Nhập vào vụ khác","",IF(P204="BA",IF((S204-R204)&gt;10,"Quá hạn"&amp;" "&amp;(S204-R204-10)&amp;" "&amp;"ngày",""),IF((NETWORKDAYS(R204,S204,'Danh sách ngày nghỉ lễ'!$B$5:$B$25)-VLOOKUP(P204,'Thời hạn'!$A$17:$B$23,2,0))&gt;1,"Quá hạn"&amp;" "&amp;(NETWORKDAYS(R204,S204,'Danh sách ngày nghỉ lễ'!$B$5:$B$25)-1-VLOOKUP(P204,'Thời hạn'!$A$17:$B$23,2,0))&amp;" "&amp;"ngày","")))))</f>
        <v/>
      </c>
      <c r="AA204" s="23">
        <v>1</v>
      </c>
    </row>
    <row r="205" spans="1:27" s="24" customFormat="1" ht="15.6" x14ac:dyDescent="0.3">
      <c r="A205" s="24">
        <v>1</v>
      </c>
      <c r="B205" s="85"/>
      <c r="C205" s="33"/>
      <c r="D205" s="25"/>
      <c r="E205" s="25"/>
      <c r="F205" s="34"/>
      <c r="G205" s="34"/>
      <c r="H205" s="25"/>
      <c r="I205" s="70" t="str">
        <f>IF(C205="Trả lại đơn vụ","",IF(C205="Trả lại đơn việc","",IF(C205="Hòa giải thành","",IF(F205=0,"",EDATE(F205,VLOOKUP(C205,'Thời hạn'!$A$1:$B$10,2,0))+H205))))</f>
        <v/>
      </c>
      <c r="J205" s="59" t="str">
        <f t="shared" ca="1" si="3"/>
        <v/>
      </c>
      <c r="K205" s="25"/>
      <c r="L205" s="129"/>
      <c r="M205" s="130"/>
      <c r="N205" s="35"/>
      <c r="O205" s="34"/>
      <c r="P205" s="25"/>
      <c r="Q205" s="25"/>
      <c r="R205" s="34"/>
      <c r="S205" s="34"/>
      <c r="T205" s="25"/>
      <c r="U205" s="25"/>
      <c r="V205" s="36"/>
      <c r="W205" s="86"/>
      <c r="X205" s="127"/>
      <c r="Y205" s="71" t="str">
        <f>IF(C205="Trả lại đơn vụ","",IF(C205="Trả lại đơn việc","",IF((NETWORKDAYS(F205,G205,'Danh sách ngày nghỉ lễ'!$B$5:$B$25)-1-3)&gt;0,"Quá hạn"&amp;" "&amp;(NETWORKDAYS(F205,G205,'Danh sách ngày nghỉ lễ'!$B$5:$B$25)-1-3)&amp;" "&amp;"ngày","")))</f>
        <v/>
      </c>
      <c r="Z205" s="72" t="str">
        <f>IF(S205=0,"",IF(P205="Chuyển","",IF(P205="Nhập vào vụ khác","",IF(P205="BA",IF((S205-R205)&gt;10,"Quá hạn"&amp;" "&amp;(S205-R205-10)&amp;" "&amp;"ngày",""),IF((NETWORKDAYS(R205,S205,'Danh sách ngày nghỉ lễ'!$B$5:$B$25)-VLOOKUP(P205,'Thời hạn'!$A$17:$B$23,2,0))&gt;1,"Quá hạn"&amp;" "&amp;(NETWORKDAYS(R205,S205,'Danh sách ngày nghỉ lễ'!$B$5:$B$25)-1-VLOOKUP(P205,'Thời hạn'!$A$17:$B$23,2,0))&amp;" "&amp;"ngày","")))))</f>
        <v/>
      </c>
      <c r="AA205" s="23">
        <v>1</v>
      </c>
    </row>
    <row r="206" spans="1:27" s="24" customFormat="1" ht="15.6" x14ac:dyDescent="0.3">
      <c r="A206" s="24">
        <v>1</v>
      </c>
      <c r="B206" s="85"/>
      <c r="C206" s="33"/>
      <c r="D206" s="25"/>
      <c r="E206" s="25"/>
      <c r="F206" s="34"/>
      <c r="G206" s="34"/>
      <c r="H206" s="25"/>
      <c r="I206" s="70" t="str">
        <f>IF(C206="Trả lại đơn vụ","",IF(C206="Trả lại đơn việc","",IF(C206="Hòa giải thành","",IF(F206=0,"",EDATE(F206,VLOOKUP(C206,'Thời hạn'!$A$1:$B$10,2,0))+H206))))</f>
        <v/>
      </c>
      <c r="J206" s="59" t="str">
        <f t="shared" ca="1" si="3"/>
        <v/>
      </c>
      <c r="K206" s="25"/>
      <c r="L206" s="129"/>
      <c r="M206" s="130"/>
      <c r="N206" s="35"/>
      <c r="O206" s="34"/>
      <c r="P206" s="25"/>
      <c r="Q206" s="25"/>
      <c r="R206" s="34"/>
      <c r="S206" s="34"/>
      <c r="T206" s="25"/>
      <c r="U206" s="25"/>
      <c r="V206" s="36"/>
      <c r="W206" s="86"/>
      <c r="X206" s="127"/>
      <c r="Y206" s="71" t="str">
        <f>IF(C206="Trả lại đơn vụ","",IF(C206="Trả lại đơn việc","",IF((NETWORKDAYS(F206,G206,'Danh sách ngày nghỉ lễ'!$B$5:$B$25)-1-3)&gt;0,"Quá hạn"&amp;" "&amp;(NETWORKDAYS(F206,G206,'Danh sách ngày nghỉ lễ'!$B$5:$B$25)-1-3)&amp;" "&amp;"ngày","")))</f>
        <v/>
      </c>
      <c r="Z206" s="72" t="str">
        <f>IF(S206=0,"",IF(P206="Chuyển","",IF(P206="Nhập vào vụ khác","",IF(P206="BA",IF((S206-R206)&gt;10,"Quá hạn"&amp;" "&amp;(S206-R206-10)&amp;" "&amp;"ngày",""),IF((NETWORKDAYS(R206,S206,'Danh sách ngày nghỉ lễ'!$B$5:$B$25)-VLOOKUP(P206,'Thời hạn'!$A$17:$B$23,2,0))&gt;1,"Quá hạn"&amp;" "&amp;(NETWORKDAYS(R206,S206,'Danh sách ngày nghỉ lễ'!$B$5:$B$25)-1-VLOOKUP(P206,'Thời hạn'!$A$17:$B$23,2,0))&amp;" "&amp;"ngày","")))))</f>
        <v/>
      </c>
      <c r="AA206" s="23">
        <v>1</v>
      </c>
    </row>
    <row r="207" spans="1:27" s="24" customFormat="1" ht="15.6" x14ac:dyDescent="0.3">
      <c r="A207" s="24">
        <v>1</v>
      </c>
      <c r="B207" s="85"/>
      <c r="C207" s="33"/>
      <c r="D207" s="25"/>
      <c r="E207" s="25"/>
      <c r="F207" s="34"/>
      <c r="G207" s="34"/>
      <c r="H207" s="25"/>
      <c r="I207" s="70" t="str">
        <f>IF(C207="Trả lại đơn vụ","",IF(C207="Trả lại đơn việc","",IF(C207="Hòa giải thành","",IF(F207=0,"",EDATE(F207,VLOOKUP(C207,'Thời hạn'!$A$1:$B$10,2,0))+H207))))</f>
        <v/>
      </c>
      <c r="J207" s="59" t="str">
        <f t="shared" ca="1" si="3"/>
        <v/>
      </c>
      <c r="K207" s="25"/>
      <c r="L207" s="129"/>
      <c r="M207" s="130"/>
      <c r="N207" s="35"/>
      <c r="O207" s="34"/>
      <c r="P207" s="25"/>
      <c r="Q207" s="25"/>
      <c r="R207" s="34"/>
      <c r="S207" s="34"/>
      <c r="T207" s="25"/>
      <c r="U207" s="25"/>
      <c r="V207" s="36"/>
      <c r="W207" s="86"/>
      <c r="X207" s="127"/>
      <c r="Y207" s="71" t="str">
        <f>IF(C207="Trả lại đơn vụ","",IF(C207="Trả lại đơn việc","",IF((NETWORKDAYS(F207,G207,'Danh sách ngày nghỉ lễ'!$B$5:$B$25)-1-3)&gt;0,"Quá hạn"&amp;" "&amp;(NETWORKDAYS(F207,G207,'Danh sách ngày nghỉ lễ'!$B$5:$B$25)-1-3)&amp;" "&amp;"ngày","")))</f>
        <v/>
      </c>
      <c r="Z207" s="72" t="str">
        <f>IF(S207=0,"",IF(P207="Chuyển","",IF(P207="Nhập vào vụ khác","",IF(P207="BA",IF((S207-R207)&gt;10,"Quá hạn"&amp;" "&amp;(S207-R207-10)&amp;" "&amp;"ngày",""),IF((NETWORKDAYS(R207,S207,'Danh sách ngày nghỉ lễ'!$B$5:$B$25)-VLOOKUP(P207,'Thời hạn'!$A$17:$B$23,2,0))&gt;1,"Quá hạn"&amp;" "&amp;(NETWORKDAYS(R207,S207,'Danh sách ngày nghỉ lễ'!$B$5:$B$25)-1-VLOOKUP(P207,'Thời hạn'!$A$17:$B$23,2,0))&amp;" "&amp;"ngày","")))))</f>
        <v/>
      </c>
      <c r="AA207" s="23">
        <v>1</v>
      </c>
    </row>
    <row r="208" spans="1:27" s="24" customFormat="1" ht="15.6" x14ac:dyDescent="0.3">
      <c r="A208" s="24">
        <v>1</v>
      </c>
      <c r="B208" s="85"/>
      <c r="C208" s="33"/>
      <c r="D208" s="25"/>
      <c r="E208" s="25"/>
      <c r="F208" s="34"/>
      <c r="G208" s="34"/>
      <c r="H208" s="25"/>
      <c r="I208" s="70" t="str">
        <f>IF(C208="Trả lại đơn vụ","",IF(C208="Trả lại đơn việc","",IF(C208="Hòa giải thành","",IF(F208=0,"",EDATE(F208,VLOOKUP(C208,'Thời hạn'!$A$1:$B$10,2,0))+H208))))</f>
        <v/>
      </c>
      <c r="J208" s="59" t="str">
        <f t="shared" ca="1" si="3"/>
        <v/>
      </c>
      <c r="K208" s="25"/>
      <c r="L208" s="129"/>
      <c r="M208" s="130"/>
      <c r="N208" s="35"/>
      <c r="O208" s="34"/>
      <c r="P208" s="25"/>
      <c r="Q208" s="25"/>
      <c r="R208" s="34"/>
      <c r="S208" s="34"/>
      <c r="T208" s="25"/>
      <c r="U208" s="25"/>
      <c r="V208" s="36"/>
      <c r="W208" s="86"/>
      <c r="X208" s="127"/>
      <c r="Y208" s="71" t="str">
        <f>IF(C208="Trả lại đơn vụ","",IF(C208="Trả lại đơn việc","",IF((NETWORKDAYS(F208,G208,'Danh sách ngày nghỉ lễ'!$B$5:$B$25)-1-3)&gt;0,"Quá hạn"&amp;" "&amp;(NETWORKDAYS(F208,G208,'Danh sách ngày nghỉ lễ'!$B$5:$B$25)-1-3)&amp;" "&amp;"ngày","")))</f>
        <v/>
      </c>
      <c r="Z208" s="72" t="str">
        <f>IF(S208=0,"",IF(P208="Chuyển","",IF(P208="Nhập vào vụ khác","",IF(P208="BA",IF((S208-R208)&gt;10,"Quá hạn"&amp;" "&amp;(S208-R208-10)&amp;" "&amp;"ngày",""),IF((NETWORKDAYS(R208,S208,'Danh sách ngày nghỉ lễ'!$B$5:$B$25)-VLOOKUP(P208,'Thời hạn'!$A$17:$B$23,2,0))&gt;1,"Quá hạn"&amp;" "&amp;(NETWORKDAYS(R208,S208,'Danh sách ngày nghỉ lễ'!$B$5:$B$25)-1-VLOOKUP(P208,'Thời hạn'!$A$17:$B$23,2,0))&amp;" "&amp;"ngày","")))))</f>
        <v/>
      </c>
      <c r="AA208" s="23">
        <v>1</v>
      </c>
    </row>
    <row r="209" spans="1:27" s="24" customFormat="1" ht="15.6" x14ac:dyDescent="0.3">
      <c r="A209" s="24">
        <v>1</v>
      </c>
      <c r="B209" s="85"/>
      <c r="C209" s="33"/>
      <c r="D209" s="25"/>
      <c r="E209" s="25"/>
      <c r="F209" s="34"/>
      <c r="G209" s="34"/>
      <c r="H209" s="25"/>
      <c r="I209" s="70" t="str">
        <f>IF(C209="Trả lại đơn vụ","",IF(C209="Trả lại đơn việc","",IF(C209="Hòa giải thành","",IF(F209=0,"",EDATE(F209,VLOOKUP(C209,'Thời hạn'!$A$1:$B$10,2,0))+H209))))</f>
        <v/>
      </c>
      <c r="J209" s="59" t="str">
        <f t="shared" ca="1" si="3"/>
        <v/>
      </c>
      <c r="K209" s="25"/>
      <c r="L209" s="129"/>
      <c r="M209" s="130"/>
      <c r="N209" s="35"/>
      <c r="O209" s="34"/>
      <c r="P209" s="25"/>
      <c r="Q209" s="25"/>
      <c r="R209" s="34"/>
      <c r="S209" s="34"/>
      <c r="T209" s="25"/>
      <c r="U209" s="25"/>
      <c r="V209" s="36"/>
      <c r="W209" s="86"/>
      <c r="X209" s="127"/>
      <c r="Y209" s="71" t="str">
        <f>IF(C209="Trả lại đơn vụ","",IF(C209="Trả lại đơn việc","",IF((NETWORKDAYS(F209,G209,'Danh sách ngày nghỉ lễ'!$B$5:$B$25)-1-3)&gt;0,"Quá hạn"&amp;" "&amp;(NETWORKDAYS(F209,G209,'Danh sách ngày nghỉ lễ'!$B$5:$B$25)-1-3)&amp;" "&amp;"ngày","")))</f>
        <v/>
      </c>
      <c r="Z209" s="72" t="str">
        <f>IF(S209=0,"",IF(P209="Chuyển","",IF(P209="Nhập vào vụ khác","",IF(P209="BA",IF((S209-R209)&gt;10,"Quá hạn"&amp;" "&amp;(S209-R209-10)&amp;" "&amp;"ngày",""),IF((NETWORKDAYS(R209,S209,'Danh sách ngày nghỉ lễ'!$B$5:$B$25)-VLOOKUP(P209,'Thời hạn'!$A$17:$B$23,2,0))&gt;1,"Quá hạn"&amp;" "&amp;(NETWORKDAYS(R209,S209,'Danh sách ngày nghỉ lễ'!$B$5:$B$25)-1-VLOOKUP(P209,'Thời hạn'!$A$17:$B$23,2,0))&amp;" "&amp;"ngày","")))))</f>
        <v/>
      </c>
      <c r="AA209" s="23">
        <v>1</v>
      </c>
    </row>
    <row r="210" spans="1:27" s="24" customFormat="1" ht="15.6" x14ac:dyDescent="0.3">
      <c r="A210" s="24">
        <v>1</v>
      </c>
      <c r="B210" s="85"/>
      <c r="C210" s="33"/>
      <c r="D210" s="25"/>
      <c r="E210" s="25"/>
      <c r="F210" s="34"/>
      <c r="G210" s="34"/>
      <c r="H210" s="25"/>
      <c r="I210" s="70" t="str">
        <f>IF(C210="Trả lại đơn vụ","",IF(C210="Trả lại đơn việc","",IF(C210="Hòa giải thành","",IF(F210=0,"",EDATE(F210,VLOOKUP(C210,'Thời hạn'!$A$1:$B$10,2,0))+H210))))</f>
        <v/>
      </c>
      <c r="J210" s="59" t="str">
        <f t="shared" ca="1" si="3"/>
        <v/>
      </c>
      <c r="K210" s="25"/>
      <c r="L210" s="129"/>
      <c r="M210" s="130"/>
      <c r="N210" s="35"/>
      <c r="O210" s="34"/>
      <c r="P210" s="25"/>
      <c r="Q210" s="25"/>
      <c r="R210" s="34"/>
      <c r="S210" s="34"/>
      <c r="T210" s="25"/>
      <c r="U210" s="25"/>
      <c r="V210" s="36"/>
      <c r="W210" s="86"/>
      <c r="X210" s="127"/>
      <c r="Y210" s="71" t="str">
        <f>IF(C210="Trả lại đơn vụ","",IF(C210="Trả lại đơn việc","",IF((NETWORKDAYS(F210,G210,'Danh sách ngày nghỉ lễ'!$B$5:$B$25)-1-3)&gt;0,"Quá hạn"&amp;" "&amp;(NETWORKDAYS(F210,G210,'Danh sách ngày nghỉ lễ'!$B$5:$B$25)-1-3)&amp;" "&amp;"ngày","")))</f>
        <v/>
      </c>
      <c r="Z210" s="72" t="str">
        <f>IF(S210=0,"",IF(P210="Chuyển","",IF(P210="Nhập vào vụ khác","",IF(P210="BA",IF((S210-R210)&gt;10,"Quá hạn"&amp;" "&amp;(S210-R210-10)&amp;" "&amp;"ngày",""),IF((NETWORKDAYS(R210,S210,'Danh sách ngày nghỉ lễ'!$B$5:$B$25)-VLOOKUP(P210,'Thời hạn'!$A$17:$B$23,2,0))&gt;1,"Quá hạn"&amp;" "&amp;(NETWORKDAYS(R210,S210,'Danh sách ngày nghỉ lễ'!$B$5:$B$25)-1-VLOOKUP(P210,'Thời hạn'!$A$17:$B$23,2,0))&amp;" "&amp;"ngày","")))))</f>
        <v/>
      </c>
      <c r="AA210" s="23">
        <v>1</v>
      </c>
    </row>
    <row r="211" spans="1:27" s="24" customFormat="1" ht="15.6" x14ac:dyDescent="0.3">
      <c r="A211" s="24">
        <v>1</v>
      </c>
      <c r="B211" s="85"/>
      <c r="C211" s="33"/>
      <c r="D211" s="25"/>
      <c r="E211" s="25"/>
      <c r="F211" s="34"/>
      <c r="G211" s="34"/>
      <c r="H211" s="25"/>
      <c r="I211" s="70" t="str">
        <f>IF(C211="Trả lại đơn vụ","",IF(C211="Trả lại đơn việc","",IF(C211="Hòa giải thành","",IF(F211=0,"",EDATE(F211,VLOOKUP(C211,'Thời hạn'!$A$1:$B$10,2,0))+H211))))</f>
        <v/>
      </c>
      <c r="J211" s="59" t="str">
        <f t="shared" ca="1" si="3"/>
        <v/>
      </c>
      <c r="K211" s="25"/>
      <c r="L211" s="129"/>
      <c r="M211" s="130"/>
      <c r="N211" s="35"/>
      <c r="O211" s="34"/>
      <c r="P211" s="25"/>
      <c r="Q211" s="25"/>
      <c r="R211" s="34"/>
      <c r="S211" s="34"/>
      <c r="T211" s="25"/>
      <c r="U211" s="25"/>
      <c r="V211" s="36"/>
      <c r="W211" s="86"/>
      <c r="X211" s="127"/>
      <c r="Y211" s="71" t="str">
        <f>IF(C211="Trả lại đơn vụ","",IF(C211="Trả lại đơn việc","",IF((NETWORKDAYS(F211,G211,'Danh sách ngày nghỉ lễ'!$B$5:$B$25)-1-3)&gt;0,"Quá hạn"&amp;" "&amp;(NETWORKDAYS(F211,G211,'Danh sách ngày nghỉ lễ'!$B$5:$B$25)-1-3)&amp;" "&amp;"ngày","")))</f>
        <v/>
      </c>
      <c r="Z211" s="72" t="str">
        <f>IF(S211=0,"",IF(P211="Chuyển","",IF(P211="Nhập vào vụ khác","",IF(P211="BA",IF((S211-R211)&gt;10,"Quá hạn"&amp;" "&amp;(S211-R211-10)&amp;" "&amp;"ngày",""),IF((NETWORKDAYS(R211,S211,'Danh sách ngày nghỉ lễ'!$B$5:$B$25)-VLOOKUP(P211,'Thời hạn'!$A$17:$B$23,2,0))&gt;1,"Quá hạn"&amp;" "&amp;(NETWORKDAYS(R211,S211,'Danh sách ngày nghỉ lễ'!$B$5:$B$25)-1-VLOOKUP(P211,'Thời hạn'!$A$17:$B$23,2,0))&amp;" "&amp;"ngày","")))))</f>
        <v/>
      </c>
      <c r="AA211" s="23">
        <v>1</v>
      </c>
    </row>
    <row r="212" spans="1:27" s="24" customFormat="1" ht="15.6" x14ac:dyDescent="0.3">
      <c r="A212" s="24">
        <v>1</v>
      </c>
      <c r="B212" s="85"/>
      <c r="C212" s="33"/>
      <c r="D212" s="25"/>
      <c r="E212" s="25"/>
      <c r="F212" s="34"/>
      <c r="G212" s="34"/>
      <c r="H212" s="25"/>
      <c r="I212" s="70" t="str">
        <f>IF(C212="Trả lại đơn vụ","",IF(C212="Trả lại đơn việc","",IF(C212="Hòa giải thành","",IF(F212=0,"",EDATE(F212,VLOOKUP(C212,'Thời hạn'!$A$1:$B$10,2,0))+H212))))</f>
        <v/>
      </c>
      <c r="J212" s="59" t="str">
        <f t="shared" ca="1" si="3"/>
        <v/>
      </c>
      <c r="K212" s="25"/>
      <c r="L212" s="129"/>
      <c r="M212" s="130"/>
      <c r="N212" s="35"/>
      <c r="O212" s="34"/>
      <c r="P212" s="25"/>
      <c r="Q212" s="25"/>
      <c r="R212" s="34"/>
      <c r="S212" s="34"/>
      <c r="T212" s="25"/>
      <c r="U212" s="25"/>
      <c r="V212" s="36"/>
      <c r="W212" s="86"/>
      <c r="X212" s="127"/>
      <c r="Y212" s="71" t="str">
        <f>IF(C212="Trả lại đơn vụ","",IF(C212="Trả lại đơn việc","",IF((NETWORKDAYS(F212,G212,'Danh sách ngày nghỉ lễ'!$B$5:$B$25)-1-3)&gt;0,"Quá hạn"&amp;" "&amp;(NETWORKDAYS(F212,G212,'Danh sách ngày nghỉ lễ'!$B$5:$B$25)-1-3)&amp;" "&amp;"ngày","")))</f>
        <v/>
      </c>
      <c r="Z212" s="72" t="str">
        <f>IF(S212=0,"",IF(P212="Chuyển","",IF(P212="Nhập vào vụ khác","",IF(P212="BA",IF((S212-R212)&gt;10,"Quá hạn"&amp;" "&amp;(S212-R212-10)&amp;" "&amp;"ngày",""),IF((NETWORKDAYS(R212,S212,'Danh sách ngày nghỉ lễ'!$B$5:$B$25)-VLOOKUP(P212,'Thời hạn'!$A$17:$B$23,2,0))&gt;1,"Quá hạn"&amp;" "&amp;(NETWORKDAYS(R212,S212,'Danh sách ngày nghỉ lễ'!$B$5:$B$25)-1-VLOOKUP(P212,'Thời hạn'!$A$17:$B$23,2,0))&amp;" "&amp;"ngày","")))))</f>
        <v/>
      </c>
      <c r="AA212" s="23">
        <v>1</v>
      </c>
    </row>
    <row r="213" spans="1:27" s="24" customFormat="1" ht="15.6" x14ac:dyDescent="0.3">
      <c r="A213" s="24">
        <v>1</v>
      </c>
      <c r="B213" s="85"/>
      <c r="C213" s="33"/>
      <c r="D213" s="25"/>
      <c r="E213" s="25"/>
      <c r="F213" s="34"/>
      <c r="G213" s="34"/>
      <c r="H213" s="25"/>
      <c r="I213" s="70" t="str">
        <f>IF(C213="Trả lại đơn vụ","",IF(C213="Trả lại đơn việc","",IF(C213="Hòa giải thành","",IF(F213=0,"",EDATE(F213,VLOOKUP(C213,'Thời hạn'!$A$1:$B$10,2,0))+H213))))</f>
        <v/>
      </c>
      <c r="J213" s="59" t="str">
        <f t="shared" ca="1" si="3"/>
        <v/>
      </c>
      <c r="K213" s="25"/>
      <c r="L213" s="129"/>
      <c r="M213" s="130"/>
      <c r="N213" s="35"/>
      <c r="O213" s="34"/>
      <c r="P213" s="25"/>
      <c r="Q213" s="25"/>
      <c r="R213" s="34"/>
      <c r="S213" s="34"/>
      <c r="T213" s="25"/>
      <c r="U213" s="25"/>
      <c r="V213" s="36"/>
      <c r="W213" s="86"/>
      <c r="X213" s="127"/>
      <c r="Y213" s="71" t="str">
        <f>IF(C213="Trả lại đơn vụ","",IF(C213="Trả lại đơn việc","",IF((NETWORKDAYS(F213,G213,'Danh sách ngày nghỉ lễ'!$B$5:$B$25)-1-3)&gt;0,"Quá hạn"&amp;" "&amp;(NETWORKDAYS(F213,G213,'Danh sách ngày nghỉ lễ'!$B$5:$B$25)-1-3)&amp;" "&amp;"ngày","")))</f>
        <v/>
      </c>
      <c r="Z213" s="72" t="str">
        <f>IF(S213=0,"",IF(P213="Chuyển","",IF(P213="Nhập vào vụ khác","",IF(P213="BA",IF((S213-R213)&gt;10,"Quá hạn"&amp;" "&amp;(S213-R213-10)&amp;" "&amp;"ngày",""),IF((NETWORKDAYS(R213,S213,'Danh sách ngày nghỉ lễ'!$B$5:$B$25)-VLOOKUP(P213,'Thời hạn'!$A$17:$B$23,2,0))&gt;1,"Quá hạn"&amp;" "&amp;(NETWORKDAYS(R213,S213,'Danh sách ngày nghỉ lễ'!$B$5:$B$25)-1-VLOOKUP(P213,'Thời hạn'!$A$17:$B$23,2,0))&amp;" "&amp;"ngày","")))))</f>
        <v/>
      </c>
      <c r="AA213" s="23">
        <v>1</v>
      </c>
    </row>
    <row r="214" spans="1:27" s="24" customFormat="1" ht="15.6" x14ac:dyDescent="0.3">
      <c r="A214" s="24">
        <v>1</v>
      </c>
      <c r="B214" s="85"/>
      <c r="C214" s="33"/>
      <c r="D214" s="25"/>
      <c r="E214" s="25"/>
      <c r="F214" s="34"/>
      <c r="G214" s="34"/>
      <c r="H214" s="25"/>
      <c r="I214" s="70" t="str">
        <f>IF(C214="Trả lại đơn vụ","",IF(C214="Trả lại đơn việc","",IF(C214="Hòa giải thành","",IF(F214=0,"",EDATE(F214,VLOOKUP(C214,'Thời hạn'!$A$1:$B$10,2,0))+H214))))</f>
        <v/>
      </c>
      <c r="J214" s="59" t="str">
        <f t="shared" ref="J214:J277" ca="1" si="4">IF(C214="Trả lại đơn vụ","",IF(C214="Trả lại đơn việc","",IF(C214="Hòa giải thành","",IF(N214=0,IF(P214=0,IF(F214=0,"",I214-TODAY()+1),""),""))))</f>
        <v/>
      </c>
      <c r="K214" s="25"/>
      <c r="L214" s="129"/>
      <c r="M214" s="130"/>
      <c r="N214" s="35"/>
      <c r="O214" s="34"/>
      <c r="P214" s="25"/>
      <c r="Q214" s="25"/>
      <c r="R214" s="34"/>
      <c r="S214" s="34"/>
      <c r="T214" s="25"/>
      <c r="U214" s="25"/>
      <c r="V214" s="36"/>
      <c r="W214" s="86"/>
      <c r="X214" s="127"/>
      <c r="Y214" s="71" t="str">
        <f>IF(C214="Trả lại đơn vụ","",IF(C214="Trả lại đơn việc","",IF((NETWORKDAYS(F214,G214,'Danh sách ngày nghỉ lễ'!$B$5:$B$25)-1-3)&gt;0,"Quá hạn"&amp;" "&amp;(NETWORKDAYS(F214,G214,'Danh sách ngày nghỉ lễ'!$B$5:$B$25)-1-3)&amp;" "&amp;"ngày","")))</f>
        <v/>
      </c>
      <c r="Z214" s="72" t="str">
        <f>IF(S214=0,"",IF(P214="Chuyển","",IF(P214="Nhập vào vụ khác","",IF(P214="BA",IF((S214-R214)&gt;10,"Quá hạn"&amp;" "&amp;(S214-R214-10)&amp;" "&amp;"ngày",""),IF((NETWORKDAYS(R214,S214,'Danh sách ngày nghỉ lễ'!$B$5:$B$25)-VLOOKUP(P214,'Thời hạn'!$A$17:$B$23,2,0))&gt;1,"Quá hạn"&amp;" "&amp;(NETWORKDAYS(R214,S214,'Danh sách ngày nghỉ lễ'!$B$5:$B$25)-1-VLOOKUP(P214,'Thời hạn'!$A$17:$B$23,2,0))&amp;" "&amp;"ngày","")))))</f>
        <v/>
      </c>
      <c r="AA214" s="23">
        <v>1</v>
      </c>
    </row>
    <row r="215" spans="1:27" s="24" customFormat="1" ht="15.6" x14ac:dyDescent="0.3">
      <c r="A215" s="24">
        <v>1</v>
      </c>
      <c r="B215" s="85"/>
      <c r="C215" s="33"/>
      <c r="D215" s="25"/>
      <c r="E215" s="25"/>
      <c r="F215" s="34"/>
      <c r="G215" s="34"/>
      <c r="H215" s="25"/>
      <c r="I215" s="70" t="str">
        <f>IF(C215="Trả lại đơn vụ","",IF(C215="Trả lại đơn việc","",IF(C215="Hòa giải thành","",IF(F215=0,"",EDATE(F215,VLOOKUP(C215,'Thời hạn'!$A$1:$B$10,2,0))+H215))))</f>
        <v/>
      </c>
      <c r="J215" s="59" t="str">
        <f t="shared" ca="1" si="4"/>
        <v/>
      </c>
      <c r="K215" s="25"/>
      <c r="L215" s="129"/>
      <c r="M215" s="130"/>
      <c r="N215" s="35"/>
      <c r="O215" s="34"/>
      <c r="P215" s="25"/>
      <c r="Q215" s="25"/>
      <c r="R215" s="34"/>
      <c r="S215" s="34"/>
      <c r="T215" s="25"/>
      <c r="U215" s="25"/>
      <c r="V215" s="36"/>
      <c r="W215" s="86"/>
      <c r="X215" s="127"/>
      <c r="Y215" s="71" t="str">
        <f>IF(C215="Trả lại đơn vụ","",IF(C215="Trả lại đơn việc","",IF((NETWORKDAYS(F215,G215,'Danh sách ngày nghỉ lễ'!$B$5:$B$25)-1-3)&gt;0,"Quá hạn"&amp;" "&amp;(NETWORKDAYS(F215,G215,'Danh sách ngày nghỉ lễ'!$B$5:$B$25)-1-3)&amp;" "&amp;"ngày","")))</f>
        <v/>
      </c>
      <c r="Z215" s="72" t="str">
        <f>IF(S215=0,"",IF(P215="Chuyển","",IF(P215="Nhập vào vụ khác","",IF(P215="BA",IF((S215-R215)&gt;10,"Quá hạn"&amp;" "&amp;(S215-R215-10)&amp;" "&amp;"ngày",""),IF((NETWORKDAYS(R215,S215,'Danh sách ngày nghỉ lễ'!$B$5:$B$25)-VLOOKUP(P215,'Thời hạn'!$A$17:$B$23,2,0))&gt;1,"Quá hạn"&amp;" "&amp;(NETWORKDAYS(R215,S215,'Danh sách ngày nghỉ lễ'!$B$5:$B$25)-1-VLOOKUP(P215,'Thời hạn'!$A$17:$B$23,2,0))&amp;" "&amp;"ngày","")))))</f>
        <v/>
      </c>
      <c r="AA215" s="23">
        <v>1</v>
      </c>
    </row>
    <row r="216" spans="1:27" s="24" customFormat="1" ht="15.6" x14ac:dyDescent="0.3">
      <c r="A216" s="24">
        <v>1</v>
      </c>
      <c r="B216" s="85"/>
      <c r="C216" s="33"/>
      <c r="D216" s="25"/>
      <c r="E216" s="25"/>
      <c r="F216" s="34"/>
      <c r="G216" s="34"/>
      <c r="H216" s="25"/>
      <c r="I216" s="70" t="str">
        <f>IF(C216="Trả lại đơn vụ","",IF(C216="Trả lại đơn việc","",IF(C216="Hòa giải thành","",IF(F216=0,"",EDATE(F216,VLOOKUP(C216,'Thời hạn'!$A$1:$B$10,2,0))+H216))))</f>
        <v/>
      </c>
      <c r="J216" s="59" t="str">
        <f t="shared" ca="1" si="4"/>
        <v/>
      </c>
      <c r="K216" s="25"/>
      <c r="L216" s="129"/>
      <c r="M216" s="130"/>
      <c r="N216" s="35"/>
      <c r="O216" s="34"/>
      <c r="P216" s="25"/>
      <c r="Q216" s="25"/>
      <c r="R216" s="34"/>
      <c r="S216" s="34"/>
      <c r="T216" s="25"/>
      <c r="U216" s="25"/>
      <c r="V216" s="36"/>
      <c r="W216" s="86"/>
      <c r="X216" s="127"/>
      <c r="Y216" s="71" t="str">
        <f>IF(C216="Trả lại đơn vụ","",IF(C216="Trả lại đơn việc","",IF((NETWORKDAYS(F216,G216,'Danh sách ngày nghỉ lễ'!$B$5:$B$25)-1-3)&gt;0,"Quá hạn"&amp;" "&amp;(NETWORKDAYS(F216,G216,'Danh sách ngày nghỉ lễ'!$B$5:$B$25)-1-3)&amp;" "&amp;"ngày","")))</f>
        <v/>
      </c>
      <c r="Z216" s="72" t="str">
        <f>IF(S216=0,"",IF(P216="Chuyển","",IF(P216="Nhập vào vụ khác","",IF(P216="BA",IF((S216-R216)&gt;10,"Quá hạn"&amp;" "&amp;(S216-R216-10)&amp;" "&amp;"ngày",""),IF((NETWORKDAYS(R216,S216,'Danh sách ngày nghỉ lễ'!$B$5:$B$25)-VLOOKUP(P216,'Thời hạn'!$A$17:$B$23,2,0))&gt;1,"Quá hạn"&amp;" "&amp;(NETWORKDAYS(R216,S216,'Danh sách ngày nghỉ lễ'!$B$5:$B$25)-1-VLOOKUP(P216,'Thời hạn'!$A$17:$B$23,2,0))&amp;" "&amp;"ngày","")))))</f>
        <v/>
      </c>
      <c r="AA216" s="23">
        <v>1</v>
      </c>
    </row>
    <row r="217" spans="1:27" s="24" customFormat="1" ht="15.6" x14ac:dyDescent="0.3">
      <c r="A217" s="24">
        <v>1</v>
      </c>
      <c r="B217" s="85"/>
      <c r="C217" s="33"/>
      <c r="D217" s="25"/>
      <c r="E217" s="25"/>
      <c r="F217" s="34"/>
      <c r="G217" s="34"/>
      <c r="H217" s="25"/>
      <c r="I217" s="70" t="str">
        <f>IF(C217="Trả lại đơn vụ","",IF(C217="Trả lại đơn việc","",IF(C217="Hòa giải thành","",IF(F217=0,"",EDATE(F217,VLOOKUP(C217,'Thời hạn'!$A$1:$B$10,2,0))+H217))))</f>
        <v/>
      </c>
      <c r="J217" s="59" t="str">
        <f t="shared" ca="1" si="4"/>
        <v/>
      </c>
      <c r="K217" s="25"/>
      <c r="L217" s="129"/>
      <c r="M217" s="130"/>
      <c r="N217" s="35"/>
      <c r="O217" s="34"/>
      <c r="P217" s="25"/>
      <c r="Q217" s="25"/>
      <c r="R217" s="34"/>
      <c r="S217" s="34"/>
      <c r="T217" s="25"/>
      <c r="U217" s="25"/>
      <c r="V217" s="36"/>
      <c r="W217" s="86"/>
      <c r="X217" s="127"/>
      <c r="Y217" s="71" t="str">
        <f>IF(C217="Trả lại đơn vụ","",IF(C217="Trả lại đơn việc","",IF((NETWORKDAYS(F217,G217,'Danh sách ngày nghỉ lễ'!$B$5:$B$25)-1-3)&gt;0,"Quá hạn"&amp;" "&amp;(NETWORKDAYS(F217,G217,'Danh sách ngày nghỉ lễ'!$B$5:$B$25)-1-3)&amp;" "&amp;"ngày","")))</f>
        <v/>
      </c>
      <c r="Z217" s="72" t="str">
        <f>IF(S217=0,"",IF(P217="Chuyển","",IF(P217="Nhập vào vụ khác","",IF(P217="BA",IF((S217-R217)&gt;10,"Quá hạn"&amp;" "&amp;(S217-R217-10)&amp;" "&amp;"ngày",""),IF((NETWORKDAYS(R217,S217,'Danh sách ngày nghỉ lễ'!$B$5:$B$25)-VLOOKUP(P217,'Thời hạn'!$A$17:$B$23,2,0))&gt;1,"Quá hạn"&amp;" "&amp;(NETWORKDAYS(R217,S217,'Danh sách ngày nghỉ lễ'!$B$5:$B$25)-1-VLOOKUP(P217,'Thời hạn'!$A$17:$B$23,2,0))&amp;" "&amp;"ngày","")))))</f>
        <v/>
      </c>
      <c r="AA217" s="23">
        <v>1</v>
      </c>
    </row>
    <row r="218" spans="1:27" s="24" customFormat="1" ht="15.6" x14ac:dyDescent="0.3">
      <c r="A218" s="24">
        <v>1</v>
      </c>
      <c r="B218" s="85"/>
      <c r="C218" s="33"/>
      <c r="D218" s="25"/>
      <c r="E218" s="25"/>
      <c r="F218" s="34"/>
      <c r="G218" s="34"/>
      <c r="H218" s="25"/>
      <c r="I218" s="70" t="str">
        <f>IF(C218="Trả lại đơn vụ","",IF(C218="Trả lại đơn việc","",IF(C218="Hòa giải thành","",IF(F218=0,"",EDATE(F218,VLOOKUP(C218,'Thời hạn'!$A$1:$B$10,2,0))+H218))))</f>
        <v/>
      </c>
      <c r="J218" s="59" t="str">
        <f t="shared" ca="1" si="4"/>
        <v/>
      </c>
      <c r="K218" s="25"/>
      <c r="L218" s="129"/>
      <c r="M218" s="130"/>
      <c r="N218" s="35"/>
      <c r="O218" s="34"/>
      <c r="P218" s="25"/>
      <c r="Q218" s="25"/>
      <c r="R218" s="34"/>
      <c r="S218" s="34"/>
      <c r="T218" s="25"/>
      <c r="U218" s="25"/>
      <c r="V218" s="36"/>
      <c r="W218" s="86"/>
      <c r="X218" s="127"/>
      <c r="Y218" s="71" t="str">
        <f>IF(C218="Trả lại đơn vụ","",IF(C218="Trả lại đơn việc","",IF((NETWORKDAYS(F218,G218,'Danh sách ngày nghỉ lễ'!$B$5:$B$25)-1-3)&gt;0,"Quá hạn"&amp;" "&amp;(NETWORKDAYS(F218,G218,'Danh sách ngày nghỉ lễ'!$B$5:$B$25)-1-3)&amp;" "&amp;"ngày","")))</f>
        <v/>
      </c>
      <c r="Z218" s="72" t="str">
        <f>IF(S218=0,"",IF(P218="Chuyển","",IF(P218="Nhập vào vụ khác","",IF(P218="BA",IF((S218-R218)&gt;10,"Quá hạn"&amp;" "&amp;(S218-R218-10)&amp;" "&amp;"ngày",""),IF((NETWORKDAYS(R218,S218,'Danh sách ngày nghỉ lễ'!$B$5:$B$25)-VLOOKUP(P218,'Thời hạn'!$A$17:$B$23,2,0))&gt;1,"Quá hạn"&amp;" "&amp;(NETWORKDAYS(R218,S218,'Danh sách ngày nghỉ lễ'!$B$5:$B$25)-1-VLOOKUP(P218,'Thời hạn'!$A$17:$B$23,2,0))&amp;" "&amp;"ngày","")))))</f>
        <v/>
      </c>
      <c r="AA218" s="23">
        <v>1</v>
      </c>
    </row>
    <row r="219" spans="1:27" s="24" customFormat="1" ht="15.6" x14ac:dyDescent="0.3">
      <c r="A219" s="24">
        <v>1</v>
      </c>
      <c r="B219" s="85"/>
      <c r="C219" s="33"/>
      <c r="D219" s="25"/>
      <c r="E219" s="25"/>
      <c r="F219" s="34"/>
      <c r="G219" s="34"/>
      <c r="H219" s="25"/>
      <c r="I219" s="70" t="str">
        <f>IF(C219="Trả lại đơn vụ","",IF(C219="Trả lại đơn việc","",IF(C219="Hòa giải thành","",IF(F219=0,"",EDATE(F219,VLOOKUP(C219,'Thời hạn'!$A$1:$B$10,2,0))+H219))))</f>
        <v/>
      </c>
      <c r="J219" s="59" t="str">
        <f t="shared" ca="1" si="4"/>
        <v/>
      </c>
      <c r="K219" s="25"/>
      <c r="L219" s="129"/>
      <c r="M219" s="130"/>
      <c r="N219" s="35"/>
      <c r="O219" s="34"/>
      <c r="P219" s="25"/>
      <c r="Q219" s="25"/>
      <c r="R219" s="34"/>
      <c r="S219" s="34"/>
      <c r="T219" s="25"/>
      <c r="U219" s="25"/>
      <c r="V219" s="36"/>
      <c r="W219" s="86"/>
      <c r="X219" s="127"/>
      <c r="Y219" s="71" t="str">
        <f>IF(C219="Trả lại đơn vụ","",IF(C219="Trả lại đơn việc","",IF((NETWORKDAYS(F219,G219,'Danh sách ngày nghỉ lễ'!$B$5:$B$25)-1-3)&gt;0,"Quá hạn"&amp;" "&amp;(NETWORKDAYS(F219,G219,'Danh sách ngày nghỉ lễ'!$B$5:$B$25)-1-3)&amp;" "&amp;"ngày","")))</f>
        <v/>
      </c>
      <c r="Z219" s="72" t="str">
        <f>IF(S219=0,"",IF(P219="Chuyển","",IF(P219="Nhập vào vụ khác","",IF(P219="BA",IF((S219-R219)&gt;10,"Quá hạn"&amp;" "&amp;(S219-R219-10)&amp;" "&amp;"ngày",""),IF((NETWORKDAYS(R219,S219,'Danh sách ngày nghỉ lễ'!$B$5:$B$25)-VLOOKUP(P219,'Thời hạn'!$A$17:$B$23,2,0))&gt;1,"Quá hạn"&amp;" "&amp;(NETWORKDAYS(R219,S219,'Danh sách ngày nghỉ lễ'!$B$5:$B$25)-1-VLOOKUP(P219,'Thời hạn'!$A$17:$B$23,2,0))&amp;" "&amp;"ngày","")))))</f>
        <v/>
      </c>
      <c r="AA219" s="23">
        <v>1</v>
      </c>
    </row>
    <row r="220" spans="1:27" s="24" customFormat="1" ht="15.6" x14ac:dyDescent="0.3">
      <c r="A220" s="24">
        <v>1</v>
      </c>
      <c r="B220" s="85"/>
      <c r="C220" s="33"/>
      <c r="D220" s="25"/>
      <c r="E220" s="25"/>
      <c r="F220" s="34"/>
      <c r="G220" s="34"/>
      <c r="H220" s="25"/>
      <c r="I220" s="70" t="str">
        <f>IF(C220="Trả lại đơn vụ","",IF(C220="Trả lại đơn việc","",IF(C220="Hòa giải thành","",IF(F220=0,"",EDATE(F220,VLOOKUP(C220,'Thời hạn'!$A$1:$B$10,2,0))+H220))))</f>
        <v/>
      </c>
      <c r="J220" s="59" t="str">
        <f t="shared" ca="1" si="4"/>
        <v/>
      </c>
      <c r="K220" s="25"/>
      <c r="L220" s="129"/>
      <c r="M220" s="130"/>
      <c r="N220" s="35"/>
      <c r="O220" s="34"/>
      <c r="P220" s="25"/>
      <c r="Q220" s="25"/>
      <c r="R220" s="34"/>
      <c r="S220" s="34"/>
      <c r="T220" s="25"/>
      <c r="U220" s="25"/>
      <c r="V220" s="36"/>
      <c r="W220" s="86"/>
      <c r="X220" s="127"/>
      <c r="Y220" s="71" t="str">
        <f>IF(C220="Trả lại đơn vụ","",IF(C220="Trả lại đơn việc","",IF((NETWORKDAYS(F220,G220,'Danh sách ngày nghỉ lễ'!$B$5:$B$25)-1-3)&gt;0,"Quá hạn"&amp;" "&amp;(NETWORKDAYS(F220,G220,'Danh sách ngày nghỉ lễ'!$B$5:$B$25)-1-3)&amp;" "&amp;"ngày","")))</f>
        <v/>
      </c>
      <c r="Z220" s="72" t="str">
        <f>IF(S220=0,"",IF(P220="Chuyển","",IF(P220="Nhập vào vụ khác","",IF(P220="BA",IF((S220-R220)&gt;10,"Quá hạn"&amp;" "&amp;(S220-R220-10)&amp;" "&amp;"ngày",""),IF((NETWORKDAYS(R220,S220,'Danh sách ngày nghỉ lễ'!$B$5:$B$25)-VLOOKUP(P220,'Thời hạn'!$A$17:$B$23,2,0))&gt;1,"Quá hạn"&amp;" "&amp;(NETWORKDAYS(R220,S220,'Danh sách ngày nghỉ lễ'!$B$5:$B$25)-1-VLOOKUP(P220,'Thời hạn'!$A$17:$B$23,2,0))&amp;" "&amp;"ngày","")))))</f>
        <v/>
      </c>
      <c r="AA220" s="23">
        <v>1</v>
      </c>
    </row>
    <row r="221" spans="1:27" s="24" customFormat="1" ht="15.6" x14ac:dyDescent="0.3">
      <c r="A221" s="24">
        <v>1</v>
      </c>
      <c r="B221" s="85"/>
      <c r="C221" s="33"/>
      <c r="D221" s="25"/>
      <c r="E221" s="25"/>
      <c r="F221" s="34"/>
      <c r="G221" s="34"/>
      <c r="H221" s="25"/>
      <c r="I221" s="70" t="str">
        <f>IF(C221="Trả lại đơn vụ","",IF(C221="Trả lại đơn việc","",IF(C221="Hòa giải thành","",IF(F221=0,"",EDATE(F221,VLOOKUP(C221,'Thời hạn'!$A$1:$B$10,2,0))+H221))))</f>
        <v/>
      </c>
      <c r="J221" s="59" t="str">
        <f t="shared" ca="1" si="4"/>
        <v/>
      </c>
      <c r="K221" s="25"/>
      <c r="L221" s="129"/>
      <c r="M221" s="130"/>
      <c r="N221" s="35"/>
      <c r="O221" s="34"/>
      <c r="P221" s="25"/>
      <c r="Q221" s="25"/>
      <c r="R221" s="34"/>
      <c r="S221" s="34"/>
      <c r="T221" s="25"/>
      <c r="U221" s="25"/>
      <c r="V221" s="36"/>
      <c r="W221" s="86"/>
      <c r="X221" s="127"/>
      <c r="Y221" s="71" t="str">
        <f>IF(C221="Trả lại đơn vụ","",IF(C221="Trả lại đơn việc","",IF((NETWORKDAYS(F221,G221,'Danh sách ngày nghỉ lễ'!$B$5:$B$25)-1-3)&gt;0,"Quá hạn"&amp;" "&amp;(NETWORKDAYS(F221,G221,'Danh sách ngày nghỉ lễ'!$B$5:$B$25)-1-3)&amp;" "&amp;"ngày","")))</f>
        <v/>
      </c>
      <c r="Z221" s="72" t="str">
        <f>IF(S221=0,"",IF(P221="Chuyển","",IF(P221="Nhập vào vụ khác","",IF(P221="BA",IF((S221-R221)&gt;10,"Quá hạn"&amp;" "&amp;(S221-R221-10)&amp;" "&amp;"ngày",""),IF((NETWORKDAYS(R221,S221,'Danh sách ngày nghỉ lễ'!$B$5:$B$25)-VLOOKUP(P221,'Thời hạn'!$A$17:$B$23,2,0))&gt;1,"Quá hạn"&amp;" "&amp;(NETWORKDAYS(R221,S221,'Danh sách ngày nghỉ lễ'!$B$5:$B$25)-1-VLOOKUP(P221,'Thời hạn'!$A$17:$B$23,2,0))&amp;" "&amp;"ngày","")))))</f>
        <v/>
      </c>
      <c r="AA221" s="23">
        <v>1</v>
      </c>
    </row>
    <row r="222" spans="1:27" s="24" customFormat="1" ht="15.6" x14ac:dyDescent="0.3">
      <c r="A222" s="24">
        <v>1</v>
      </c>
      <c r="B222" s="85"/>
      <c r="C222" s="33"/>
      <c r="D222" s="25"/>
      <c r="E222" s="25"/>
      <c r="F222" s="34"/>
      <c r="G222" s="34"/>
      <c r="H222" s="25"/>
      <c r="I222" s="70" t="str">
        <f>IF(C222="Trả lại đơn vụ","",IF(C222="Trả lại đơn việc","",IF(C222="Hòa giải thành","",IF(F222=0,"",EDATE(F222,VLOOKUP(C222,'Thời hạn'!$A$1:$B$10,2,0))+H222))))</f>
        <v/>
      </c>
      <c r="J222" s="59" t="str">
        <f t="shared" ca="1" si="4"/>
        <v/>
      </c>
      <c r="K222" s="25"/>
      <c r="L222" s="129"/>
      <c r="M222" s="130"/>
      <c r="N222" s="35"/>
      <c r="O222" s="34"/>
      <c r="P222" s="25"/>
      <c r="Q222" s="25"/>
      <c r="R222" s="34"/>
      <c r="S222" s="34"/>
      <c r="T222" s="25"/>
      <c r="U222" s="25"/>
      <c r="V222" s="36"/>
      <c r="W222" s="86"/>
      <c r="X222" s="127"/>
      <c r="Y222" s="71" t="str">
        <f>IF(C222="Trả lại đơn vụ","",IF(C222="Trả lại đơn việc","",IF((NETWORKDAYS(F222,G222,'Danh sách ngày nghỉ lễ'!$B$5:$B$25)-1-3)&gt;0,"Quá hạn"&amp;" "&amp;(NETWORKDAYS(F222,G222,'Danh sách ngày nghỉ lễ'!$B$5:$B$25)-1-3)&amp;" "&amp;"ngày","")))</f>
        <v/>
      </c>
      <c r="Z222" s="72" t="str">
        <f>IF(S222=0,"",IF(P222="Chuyển","",IF(P222="Nhập vào vụ khác","",IF(P222="BA",IF((S222-R222)&gt;10,"Quá hạn"&amp;" "&amp;(S222-R222-10)&amp;" "&amp;"ngày",""),IF((NETWORKDAYS(R222,S222,'Danh sách ngày nghỉ lễ'!$B$5:$B$25)-VLOOKUP(P222,'Thời hạn'!$A$17:$B$23,2,0))&gt;1,"Quá hạn"&amp;" "&amp;(NETWORKDAYS(R222,S222,'Danh sách ngày nghỉ lễ'!$B$5:$B$25)-1-VLOOKUP(P222,'Thời hạn'!$A$17:$B$23,2,0))&amp;" "&amp;"ngày","")))))</f>
        <v/>
      </c>
      <c r="AA222" s="23">
        <v>1</v>
      </c>
    </row>
    <row r="223" spans="1:27" s="24" customFormat="1" ht="15.6" x14ac:dyDescent="0.3">
      <c r="A223" s="24">
        <v>1</v>
      </c>
      <c r="B223" s="85"/>
      <c r="C223" s="33"/>
      <c r="D223" s="25"/>
      <c r="E223" s="25"/>
      <c r="F223" s="34"/>
      <c r="G223" s="34"/>
      <c r="H223" s="25"/>
      <c r="I223" s="70" t="str">
        <f>IF(C223="Trả lại đơn vụ","",IF(C223="Trả lại đơn việc","",IF(C223="Hòa giải thành","",IF(F223=0,"",EDATE(F223,VLOOKUP(C223,'Thời hạn'!$A$1:$B$10,2,0))+H223))))</f>
        <v/>
      </c>
      <c r="J223" s="59" t="str">
        <f t="shared" ca="1" si="4"/>
        <v/>
      </c>
      <c r="K223" s="25"/>
      <c r="L223" s="129"/>
      <c r="M223" s="130"/>
      <c r="N223" s="35"/>
      <c r="O223" s="34"/>
      <c r="P223" s="25"/>
      <c r="Q223" s="25"/>
      <c r="R223" s="34"/>
      <c r="S223" s="34"/>
      <c r="T223" s="25"/>
      <c r="U223" s="25"/>
      <c r="V223" s="36"/>
      <c r="W223" s="86"/>
      <c r="X223" s="127"/>
      <c r="Y223" s="71" t="str">
        <f>IF(C223="Trả lại đơn vụ","",IF(C223="Trả lại đơn việc","",IF((NETWORKDAYS(F223,G223,'Danh sách ngày nghỉ lễ'!$B$5:$B$25)-1-3)&gt;0,"Quá hạn"&amp;" "&amp;(NETWORKDAYS(F223,G223,'Danh sách ngày nghỉ lễ'!$B$5:$B$25)-1-3)&amp;" "&amp;"ngày","")))</f>
        <v/>
      </c>
      <c r="Z223" s="72" t="str">
        <f>IF(S223=0,"",IF(P223="Chuyển","",IF(P223="Nhập vào vụ khác","",IF(P223="BA",IF((S223-R223)&gt;10,"Quá hạn"&amp;" "&amp;(S223-R223-10)&amp;" "&amp;"ngày",""),IF((NETWORKDAYS(R223,S223,'Danh sách ngày nghỉ lễ'!$B$5:$B$25)-VLOOKUP(P223,'Thời hạn'!$A$17:$B$23,2,0))&gt;1,"Quá hạn"&amp;" "&amp;(NETWORKDAYS(R223,S223,'Danh sách ngày nghỉ lễ'!$B$5:$B$25)-1-VLOOKUP(P223,'Thời hạn'!$A$17:$B$23,2,0))&amp;" "&amp;"ngày","")))))</f>
        <v/>
      </c>
      <c r="AA223" s="23">
        <v>1</v>
      </c>
    </row>
    <row r="224" spans="1:27" s="24" customFormat="1" ht="15.6" x14ac:dyDescent="0.3">
      <c r="A224" s="24">
        <v>1</v>
      </c>
      <c r="B224" s="85"/>
      <c r="C224" s="33"/>
      <c r="D224" s="25"/>
      <c r="E224" s="25"/>
      <c r="F224" s="34"/>
      <c r="G224" s="34"/>
      <c r="H224" s="25"/>
      <c r="I224" s="70" t="str">
        <f>IF(C224="Trả lại đơn vụ","",IF(C224="Trả lại đơn việc","",IF(C224="Hòa giải thành","",IF(F224=0,"",EDATE(F224,VLOOKUP(C224,'Thời hạn'!$A$1:$B$10,2,0))+H224))))</f>
        <v/>
      </c>
      <c r="J224" s="59" t="str">
        <f t="shared" ca="1" si="4"/>
        <v/>
      </c>
      <c r="K224" s="25"/>
      <c r="L224" s="129"/>
      <c r="M224" s="130"/>
      <c r="N224" s="35"/>
      <c r="O224" s="34"/>
      <c r="P224" s="25"/>
      <c r="Q224" s="25"/>
      <c r="R224" s="34"/>
      <c r="S224" s="34"/>
      <c r="T224" s="25"/>
      <c r="U224" s="25"/>
      <c r="V224" s="36"/>
      <c r="W224" s="86"/>
      <c r="X224" s="127"/>
      <c r="Y224" s="71" t="str">
        <f>IF(C224="Trả lại đơn vụ","",IF(C224="Trả lại đơn việc","",IF((NETWORKDAYS(F224,G224,'Danh sách ngày nghỉ lễ'!$B$5:$B$25)-1-3)&gt;0,"Quá hạn"&amp;" "&amp;(NETWORKDAYS(F224,G224,'Danh sách ngày nghỉ lễ'!$B$5:$B$25)-1-3)&amp;" "&amp;"ngày","")))</f>
        <v/>
      </c>
      <c r="Z224" s="72" t="str">
        <f>IF(S224=0,"",IF(P224="Chuyển","",IF(P224="Nhập vào vụ khác","",IF(P224="BA",IF((S224-R224)&gt;10,"Quá hạn"&amp;" "&amp;(S224-R224-10)&amp;" "&amp;"ngày",""),IF((NETWORKDAYS(R224,S224,'Danh sách ngày nghỉ lễ'!$B$5:$B$25)-VLOOKUP(P224,'Thời hạn'!$A$17:$B$23,2,0))&gt;1,"Quá hạn"&amp;" "&amp;(NETWORKDAYS(R224,S224,'Danh sách ngày nghỉ lễ'!$B$5:$B$25)-1-VLOOKUP(P224,'Thời hạn'!$A$17:$B$23,2,0))&amp;" "&amp;"ngày","")))))</f>
        <v/>
      </c>
      <c r="AA224" s="23">
        <v>1</v>
      </c>
    </row>
    <row r="225" spans="1:27" s="24" customFormat="1" ht="15.6" x14ac:dyDescent="0.3">
      <c r="A225" s="24">
        <v>1</v>
      </c>
      <c r="B225" s="85"/>
      <c r="C225" s="33"/>
      <c r="D225" s="25"/>
      <c r="E225" s="25"/>
      <c r="F225" s="34"/>
      <c r="G225" s="34"/>
      <c r="H225" s="25"/>
      <c r="I225" s="70" t="str">
        <f>IF(C225="Trả lại đơn vụ","",IF(C225="Trả lại đơn việc","",IF(C225="Hòa giải thành","",IF(F225=0,"",EDATE(F225,VLOOKUP(C225,'Thời hạn'!$A$1:$B$10,2,0))+H225))))</f>
        <v/>
      </c>
      <c r="J225" s="59" t="str">
        <f t="shared" ca="1" si="4"/>
        <v/>
      </c>
      <c r="K225" s="25"/>
      <c r="L225" s="129"/>
      <c r="M225" s="130"/>
      <c r="N225" s="35"/>
      <c r="O225" s="34"/>
      <c r="P225" s="25"/>
      <c r="Q225" s="25"/>
      <c r="R225" s="34"/>
      <c r="S225" s="34"/>
      <c r="T225" s="25"/>
      <c r="U225" s="25"/>
      <c r="V225" s="36"/>
      <c r="W225" s="86"/>
      <c r="X225" s="127"/>
      <c r="Y225" s="71" t="str">
        <f>IF(C225="Trả lại đơn vụ","",IF(C225="Trả lại đơn việc","",IF((NETWORKDAYS(F225,G225,'Danh sách ngày nghỉ lễ'!$B$5:$B$25)-1-3)&gt;0,"Quá hạn"&amp;" "&amp;(NETWORKDAYS(F225,G225,'Danh sách ngày nghỉ lễ'!$B$5:$B$25)-1-3)&amp;" "&amp;"ngày","")))</f>
        <v/>
      </c>
      <c r="Z225" s="72" t="str">
        <f>IF(S225=0,"",IF(P225="Chuyển","",IF(P225="Nhập vào vụ khác","",IF(P225="BA",IF((S225-R225)&gt;10,"Quá hạn"&amp;" "&amp;(S225-R225-10)&amp;" "&amp;"ngày",""),IF((NETWORKDAYS(R225,S225,'Danh sách ngày nghỉ lễ'!$B$5:$B$25)-VLOOKUP(P225,'Thời hạn'!$A$17:$B$23,2,0))&gt;1,"Quá hạn"&amp;" "&amp;(NETWORKDAYS(R225,S225,'Danh sách ngày nghỉ lễ'!$B$5:$B$25)-1-VLOOKUP(P225,'Thời hạn'!$A$17:$B$23,2,0))&amp;" "&amp;"ngày","")))))</f>
        <v/>
      </c>
      <c r="AA225" s="23">
        <v>1</v>
      </c>
    </row>
    <row r="226" spans="1:27" s="24" customFormat="1" ht="15.6" x14ac:dyDescent="0.3">
      <c r="A226" s="24">
        <v>1</v>
      </c>
      <c r="B226" s="85"/>
      <c r="C226" s="33"/>
      <c r="D226" s="25"/>
      <c r="E226" s="25"/>
      <c r="F226" s="34"/>
      <c r="G226" s="34"/>
      <c r="H226" s="25"/>
      <c r="I226" s="70" t="str">
        <f>IF(C226="Trả lại đơn vụ","",IF(C226="Trả lại đơn việc","",IF(C226="Hòa giải thành","",IF(F226=0,"",EDATE(F226,VLOOKUP(C226,'Thời hạn'!$A$1:$B$10,2,0))+H226))))</f>
        <v/>
      </c>
      <c r="J226" s="59" t="str">
        <f t="shared" ca="1" si="4"/>
        <v/>
      </c>
      <c r="K226" s="25"/>
      <c r="L226" s="129"/>
      <c r="M226" s="130"/>
      <c r="N226" s="35"/>
      <c r="O226" s="34"/>
      <c r="P226" s="25"/>
      <c r="Q226" s="25"/>
      <c r="R226" s="34"/>
      <c r="S226" s="34"/>
      <c r="T226" s="25"/>
      <c r="U226" s="25"/>
      <c r="V226" s="36"/>
      <c r="W226" s="86"/>
      <c r="X226" s="127"/>
      <c r="Y226" s="71" t="str">
        <f>IF(C226="Trả lại đơn vụ","",IF(C226="Trả lại đơn việc","",IF((NETWORKDAYS(F226,G226,'Danh sách ngày nghỉ lễ'!$B$5:$B$25)-1-3)&gt;0,"Quá hạn"&amp;" "&amp;(NETWORKDAYS(F226,G226,'Danh sách ngày nghỉ lễ'!$B$5:$B$25)-1-3)&amp;" "&amp;"ngày","")))</f>
        <v/>
      </c>
      <c r="Z226" s="72" t="str">
        <f>IF(S226=0,"",IF(P226="Chuyển","",IF(P226="Nhập vào vụ khác","",IF(P226="BA",IF((S226-R226)&gt;10,"Quá hạn"&amp;" "&amp;(S226-R226-10)&amp;" "&amp;"ngày",""),IF((NETWORKDAYS(R226,S226,'Danh sách ngày nghỉ lễ'!$B$5:$B$25)-VLOOKUP(P226,'Thời hạn'!$A$17:$B$23,2,0))&gt;1,"Quá hạn"&amp;" "&amp;(NETWORKDAYS(R226,S226,'Danh sách ngày nghỉ lễ'!$B$5:$B$25)-1-VLOOKUP(P226,'Thời hạn'!$A$17:$B$23,2,0))&amp;" "&amp;"ngày","")))))</f>
        <v/>
      </c>
      <c r="AA226" s="23">
        <v>1</v>
      </c>
    </row>
    <row r="227" spans="1:27" s="24" customFormat="1" ht="15.6" x14ac:dyDescent="0.3">
      <c r="A227" s="24">
        <v>1</v>
      </c>
      <c r="B227" s="85"/>
      <c r="C227" s="33"/>
      <c r="D227" s="25"/>
      <c r="E227" s="25"/>
      <c r="F227" s="34"/>
      <c r="G227" s="34"/>
      <c r="H227" s="25"/>
      <c r="I227" s="70" t="str">
        <f>IF(C227="Trả lại đơn vụ","",IF(C227="Trả lại đơn việc","",IF(C227="Hòa giải thành","",IF(F227=0,"",EDATE(F227,VLOOKUP(C227,'Thời hạn'!$A$1:$B$10,2,0))+H227))))</f>
        <v/>
      </c>
      <c r="J227" s="59" t="str">
        <f t="shared" ca="1" si="4"/>
        <v/>
      </c>
      <c r="K227" s="25"/>
      <c r="L227" s="129"/>
      <c r="M227" s="130"/>
      <c r="N227" s="35"/>
      <c r="O227" s="34"/>
      <c r="P227" s="25"/>
      <c r="Q227" s="25"/>
      <c r="R227" s="34"/>
      <c r="S227" s="34"/>
      <c r="T227" s="25"/>
      <c r="U227" s="25"/>
      <c r="V227" s="36"/>
      <c r="W227" s="86"/>
      <c r="X227" s="127"/>
      <c r="Y227" s="71" t="str">
        <f>IF(C227="Trả lại đơn vụ","",IF(C227="Trả lại đơn việc","",IF((NETWORKDAYS(F227,G227,'Danh sách ngày nghỉ lễ'!$B$5:$B$25)-1-3)&gt;0,"Quá hạn"&amp;" "&amp;(NETWORKDAYS(F227,G227,'Danh sách ngày nghỉ lễ'!$B$5:$B$25)-1-3)&amp;" "&amp;"ngày","")))</f>
        <v/>
      </c>
      <c r="Z227" s="72" t="str">
        <f>IF(S227=0,"",IF(P227="Chuyển","",IF(P227="Nhập vào vụ khác","",IF(P227="BA",IF((S227-R227)&gt;10,"Quá hạn"&amp;" "&amp;(S227-R227-10)&amp;" "&amp;"ngày",""),IF((NETWORKDAYS(R227,S227,'Danh sách ngày nghỉ lễ'!$B$5:$B$25)-VLOOKUP(P227,'Thời hạn'!$A$17:$B$23,2,0))&gt;1,"Quá hạn"&amp;" "&amp;(NETWORKDAYS(R227,S227,'Danh sách ngày nghỉ lễ'!$B$5:$B$25)-1-VLOOKUP(P227,'Thời hạn'!$A$17:$B$23,2,0))&amp;" "&amp;"ngày","")))))</f>
        <v/>
      </c>
      <c r="AA227" s="23">
        <v>1</v>
      </c>
    </row>
    <row r="228" spans="1:27" s="24" customFormat="1" ht="15.6" x14ac:dyDescent="0.3">
      <c r="A228" s="24">
        <v>1</v>
      </c>
      <c r="B228" s="85"/>
      <c r="C228" s="33"/>
      <c r="D228" s="25"/>
      <c r="E228" s="25"/>
      <c r="F228" s="34"/>
      <c r="G228" s="34"/>
      <c r="H228" s="25"/>
      <c r="I228" s="70" t="str">
        <f>IF(C228="Trả lại đơn vụ","",IF(C228="Trả lại đơn việc","",IF(C228="Hòa giải thành","",IF(F228=0,"",EDATE(F228,VLOOKUP(C228,'Thời hạn'!$A$1:$B$10,2,0))+H228))))</f>
        <v/>
      </c>
      <c r="J228" s="59" t="str">
        <f t="shared" ca="1" si="4"/>
        <v/>
      </c>
      <c r="K228" s="25"/>
      <c r="L228" s="129"/>
      <c r="M228" s="130"/>
      <c r="N228" s="35"/>
      <c r="O228" s="34"/>
      <c r="P228" s="25"/>
      <c r="Q228" s="25"/>
      <c r="R228" s="34"/>
      <c r="S228" s="34"/>
      <c r="T228" s="25"/>
      <c r="U228" s="25"/>
      <c r="V228" s="36"/>
      <c r="W228" s="86"/>
      <c r="X228" s="127"/>
      <c r="Y228" s="71" t="str">
        <f>IF(C228="Trả lại đơn vụ","",IF(C228="Trả lại đơn việc","",IF((NETWORKDAYS(F228,G228,'Danh sách ngày nghỉ lễ'!$B$5:$B$25)-1-3)&gt;0,"Quá hạn"&amp;" "&amp;(NETWORKDAYS(F228,G228,'Danh sách ngày nghỉ lễ'!$B$5:$B$25)-1-3)&amp;" "&amp;"ngày","")))</f>
        <v/>
      </c>
      <c r="Z228" s="72" t="str">
        <f>IF(S228=0,"",IF(P228="Chuyển","",IF(P228="Nhập vào vụ khác","",IF(P228="BA",IF((S228-R228)&gt;10,"Quá hạn"&amp;" "&amp;(S228-R228-10)&amp;" "&amp;"ngày",""),IF((NETWORKDAYS(R228,S228,'Danh sách ngày nghỉ lễ'!$B$5:$B$25)-VLOOKUP(P228,'Thời hạn'!$A$17:$B$23,2,0))&gt;1,"Quá hạn"&amp;" "&amp;(NETWORKDAYS(R228,S228,'Danh sách ngày nghỉ lễ'!$B$5:$B$25)-1-VLOOKUP(P228,'Thời hạn'!$A$17:$B$23,2,0))&amp;" "&amp;"ngày","")))))</f>
        <v/>
      </c>
      <c r="AA228" s="23">
        <v>1</v>
      </c>
    </row>
    <row r="229" spans="1:27" s="24" customFormat="1" ht="15.6" x14ac:dyDescent="0.3">
      <c r="A229" s="24">
        <v>1</v>
      </c>
      <c r="B229" s="85"/>
      <c r="C229" s="33"/>
      <c r="D229" s="25"/>
      <c r="E229" s="25"/>
      <c r="F229" s="34"/>
      <c r="G229" s="34"/>
      <c r="H229" s="25"/>
      <c r="I229" s="70" t="str">
        <f>IF(C229="Trả lại đơn vụ","",IF(C229="Trả lại đơn việc","",IF(C229="Hòa giải thành","",IF(F229=0,"",EDATE(F229,VLOOKUP(C229,'Thời hạn'!$A$1:$B$10,2,0))+H229))))</f>
        <v/>
      </c>
      <c r="J229" s="59" t="str">
        <f t="shared" ca="1" si="4"/>
        <v/>
      </c>
      <c r="K229" s="25"/>
      <c r="L229" s="129"/>
      <c r="M229" s="130"/>
      <c r="N229" s="35"/>
      <c r="O229" s="34"/>
      <c r="P229" s="25"/>
      <c r="Q229" s="25"/>
      <c r="R229" s="34"/>
      <c r="S229" s="34"/>
      <c r="T229" s="25"/>
      <c r="U229" s="25"/>
      <c r="V229" s="36"/>
      <c r="W229" s="86"/>
      <c r="X229" s="127"/>
      <c r="Y229" s="71" t="str">
        <f>IF(C229="Trả lại đơn vụ","",IF(C229="Trả lại đơn việc","",IF((NETWORKDAYS(F229,G229,'Danh sách ngày nghỉ lễ'!$B$5:$B$25)-1-3)&gt;0,"Quá hạn"&amp;" "&amp;(NETWORKDAYS(F229,G229,'Danh sách ngày nghỉ lễ'!$B$5:$B$25)-1-3)&amp;" "&amp;"ngày","")))</f>
        <v/>
      </c>
      <c r="Z229" s="72" t="str">
        <f>IF(S229=0,"",IF(P229="Chuyển","",IF(P229="Nhập vào vụ khác","",IF(P229="BA",IF((S229-R229)&gt;10,"Quá hạn"&amp;" "&amp;(S229-R229-10)&amp;" "&amp;"ngày",""),IF((NETWORKDAYS(R229,S229,'Danh sách ngày nghỉ lễ'!$B$5:$B$25)-VLOOKUP(P229,'Thời hạn'!$A$17:$B$23,2,0))&gt;1,"Quá hạn"&amp;" "&amp;(NETWORKDAYS(R229,S229,'Danh sách ngày nghỉ lễ'!$B$5:$B$25)-1-VLOOKUP(P229,'Thời hạn'!$A$17:$B$23,2,0))&amp;" "&amp;"ngày","")))))</f>
        <v/>
      </c>
      <c r="AA229" s="23">
        <v>1</v>
      </c>
    </row>
    <row r="230" spans="1:27" s="24" customFormat="1" ht="15.6" x14ac:dyDescent="0.3">
      <c r="A230" s="24">
        <v>1</v>
      </c>
      <c r="B230" s="85"/>
      <c r="C230" s="33"/>
      <c r="D230" s="25"/>
      <c r="E230" s="25"/>
      <c r="F230" s="34"/>
      <c r="G230" s="34"/>
      <c r="H230" s="25"/>
      <c r="I230" s="70" t="str">
        <f>IF(C230="Trả lại đơn vụ","",IF(C230="Trả lại đơn việc","",IF(C230="Hòa giải thành","",IF(F230=0,"",EDATE(F230,VLOOKUP(C230,'Thời hạn'!$A$1:$B$10,2,0))+H230))))</f>
        <v/>
      </c>
      <c r="J230" s="59" t="str">
        <f t="shared" ca="1" si="4"/>
        <v/>
      </c>
      <c r="K230" s="25"/>
      <c r="L230" s="129"/>
      <c r="M230" s="130"/>
      <c r="N230" s="35"/>
      <c r="O230" s="34"/>
      <c r="P230" s="25"/>
      <c r="Q230" s="25"/>
      <c r="R230" s="34"/>
      <c r="S230" s="34"/>
      <c r="T230" s="25"/>
      <c r="U230" s="25"/>
      <c r="V230" s="36"/>
      <c r="W230" s="86"/>
      <c r="X230" s="127"/>
      <c r="Y230" s="71" t="str">
        <f>IF(C230="Trả lại đơn vụ","",IF(C230="Trả lại đơn việc","",IF((NETWORKDAYS(F230,G230,'Danh sách ngày nghỉ lễ'!$B$5:$B$25)-1-3)&gt;0,"Quá hạn"&amp;" "&amp;(NETWORKDAYS(F230,G230,'Danh sách ngày nghỉ lễ'!$B$5:$B$25)-1-3)&amp;" "&amp;"ngày","")))</f>
        <v/>
      </c>
      <c r="Z230" s="72" t="str">
        <f>IF(S230=0,"",IF(P230="Chuyển","",IF(P230="Nhập vào vụ khác","",IF(P230="BA",IF((S230-R230)&gt;10,"Quá hạn"&amp;" "&amp;(S230-R230-10)&amp;" "&amp;"ngày",""),IF((NETWORKDAYS(R230,S230,'Danh sách ngày nghỉ lễ'!$B$5:$B$25)-VLOOKUP(P230,'Thời hạn'!$A$17:$B$23,2,0))&gt;1,"Quá hạn"&amp;" "&amp;(NETWORKDAYS(R230,S230,'Danh sách ngày nghỉ lễ'!$B$5:$B$25)-1-VLOOKUP(P230,'Thời hạn'!$A$17:$B$23,2,0))&amp;" "&amp;"ngày","")))))</f>
        <v/>
      </c>
      <c r="AA230" s="23">
        <v>1</v>
      </c>
    </row>
    <row r="231" spans="1:27" s="24" customFormat="1" ht="15.6" x14ac:dyDescent="0.3">
      <c r="A231" s="24">
        <v>1</v>
      </c>
      <c r="B231" s="85"/>
      <c r="C231" s="33"/>
      <c r="D231" s="25"/>
      <c r="E231" s="25"/>
      <c r="F231" s="34"/>
      <c r="G231" s="34"/>
      <c r="H231" s="25"/>
      <c r="I231" s="70" t="str">
        <f>IF(C231="Trả lại đơn vụ","",IF(C231="Trả lại đơn việc","",IF(C231="Hòa giải thành","",IF(F231=0,"",EDATE(F231,VLOOKUP(C231,'Thời hạn'!$A$1:$B$10,2,0))+H231))))</f>
        <v/>
      </c>
      <c r="J231" s="59" t="str">
        <f t="shared" ca="1" si="4"/>
        <v/>
      </c>
      <c r="K231" s="25"/>
      <c r="L231" s="129"/>
      <c r="M231" s="130"/>
      <c r="N231" s="35"/>
      <c r="O231" s="34"/>
      <c r="P231" s="25"/>
      <c r="Q231" s="25"/>
      <c r="R231" s="34"/>
      <c r="S231" s="34"/>
      <c r="T231" s="25"/>
      <c r="U231" s="25"/>
      <c r="V231" s="36"/>
      <c r="W231" s="86"/>
      <c r="X231" s="127"/>
      <c r="Y231" s="71" t="str">
        <f>IF(C231="Trả lại đơn vụ","",IF(C231="Trả lại đơn việc","",IF((NETWORKDAYS(F231,G231,'Danh sách ngày nghỉ lễ'!$B$5:$B$25)-1-3)&gt;0,"Quá hạn"&amp;" "&amp;(NETWORKDAYS(F231,G231,'Danh sách ngày nghỉ lễ'!$B$5:$B$25)-1-3)&amp;" "&amp;"ngày","")))</f>
        <v/>
      </c>
      <c r="Z231" s="72" t="str">
        <f>IF(S231=0,"",IF(P231="Chuyển","",IF(P231="Nhập vào vụ khác","",IF(P231="BA",IF((S231-R231)&gt;10,"Quá hạn"&amp;" "&amp;(S231-R231-10)&amp;" "&amp;"ngày",""),IF((NETWORKDAYS(R231,S231,'Danh sách ngày nghỉ lễ'!$B$5:$B$25)-VLOOKUP(P231,'Thời hạn'!$A$17:$B$23,2,0))&gt;1,"Quá hạn"&amp;" "&amp;(NETWORKDAYS(R231,S231,'Danh sách ngày nghỉ lễ'!$B$5:$B$25)-1-VLOOKUP(P231,'Thời hạn'!$A$17:$B$23,2,0))&amp;" "&amp;"ngày","")))))</f>
        <v/>
      </c>
      <c r="AA231" s="23">
        <v>1</v>
      </c>
    </row>
    <row r="232" spans="1:27" s="24" customFormat="1" ht="15.6" x14ac:dyDescent="0.3">
      <c r="A232" s="24">
        <v>1</v>
      </c>
      <c r="B232" s="85"/>
      <c r="C232" s="33"/>
      <c r="D232" s="25"/>
      <c r="E232" s="25"/>
      <c r="F232" s="34"/>
      <c r="G232" s="34"/>
      <c r="H232" s="25"/>
      <c r="I232" s="70" t="str">
        <f>IF(C232="Trả lại đơn vụ","",IF(C232="Trả lại đơn việc","",IF(C232="Hòa giải thành","",IF(F232=0,"",EDATE(F232,VLOOKUP(C232,'Thời hạn'!$A$1:$B$10,2,0))+H232))))</f>
        <v/>
      </c>
      <c r="J232" s="59" t="str">
        <f t="shared" ca="1" si="4"/>
        <v/>
      </c>
      <c r="K232" s="25"/>
      <c r="L232" s="129"/>
      <c r="M232" s="130"/>
      <c r="N232" s="35"/>
      <c r="O232" s="34"/>
      <c r="P232" s="25"/>
      <c r="Q232" s="25"/>
      <c r="R232" s="34"/>
      <c r="S232" s="34"/>
      <c r="T232" s="25"/>
      <c r="U232" s="25"/>
      <c r="V232" s="36"/>
      <c r="W232" s="86"/>
      <c r="X232" s="127"/>
      <c r="Y232" s="71" t="str">
        <f>IF(C232="Trả lại đơn vụ","",IF(C232="Trả lại đơn việc","",IF((NETWORKDAYS(F232,G232,'Danh sách ngày nghỉ lễ'!$B$5:$B$25)-1-3)&gt;0,"Quá hạn"&amp;" "&amp;(NETWORKDAYS(F232,G232,'Danh sách ngày nghỉ lễ'!$B$5:$B$25)-1-3)&amp;" "&amp;"ngày","")))</f>
        <v/>
      </c>
      <c r="Z232" s="72" t="str">
        <f>IF(S232=0,"",IF(P232="Chuyển","",IF(P232="Nhập vào vụ khác","",IF(P232="BA",IF((S232-R232)&gt;10,"Quá hạn"&amp;" "&amp;(S232-R232-10)&amp;" "&amp;"ngày",""),IF((NETWORKDAYS(R232,S232,'Danh sách ngày nghỉ lễ'!$B$5:$B$25)-VLOOKUP(P232,'Thời hạn'!$A$17:$B$23,2,0))&gt;1,"Quá hạn"&amp;" "&amp;(NETWORKDAYS(R232,S232,'Danh sách ngày nghỉ lễ'!$B$5:$B$25)-1-VLOOKUP(P232,'Thời hạn'!$A$17:$B$23,2,0))&amp;" "&amp;"ngày","")))))</f>
        <v/>
      </c>
      <c r="AA232" s="23">
        <v>1</v>
      </c>
    </row>
    <row r="233" spans="1:27" s="24" customFormat="1" ht="15.6" x14ac:dyDescent="0.3">
      <c r="A233" s="24">
        <v>1</v>
      </c>
      <c r="B233" s="85"/>
      <c r="C233" s="33"/>
      <c r="D233" s="25"/>
      <c r="E233" s="25"/>
      <c r="F233" s="34"/>
      <c r="G233" s="34"/>
      <c r="H233" s="25"/>
      <c r="I233" s="70" t="str">
        <f>IF(C233="Trả lại đơn vụ","",IF(C233="Trả lại đơn việc","",IF(C233="Hòa giải thành","",IF(F233=0,"",EDATE(F233,VLOOKUP(C233,'Thời hạn'!$A$1:$B$10,2,0))+H233))))</f>
        <v/>
      </c>
      <c r="J233" s="59" t="str">
        <f t="shared" ca="1" si="4"/>
        <v/>
      </c>
      <c r="K233" s="25"/>
      <c r="L233" s="129"/>
      <c r="M233" s="130"/>
      <c r="N233" s="35"/>
      <c r="O233" s="34"/>
      <c r="P233" s="25"/>
      <c r="Q233" s="25"/>
      <c r="R233" s="34"/>
      <c r="S233" s="34"/>
      <c r="T233" s="25"/>
      <c r="U233" s="25"/>
      <c r="V233" s="36"/>
      <c r="W233" s="86"/>
      <c r="X233" s="127"/>
      <c r="Y233" s="71" t="str">
        <f>IF(C233="Trả lại đơn vụ","",IF(C233="Trả lại đơn việc","",IF((NETWORKDAYS(F233,G233,'Danh sách ngày nghỉ lễ'!$B$5:$B$25)-1-3)&gt;0,"Quá hạn"&amp;" "&amp;(NETWORKDAYS(F233,G233,'Danh sách ngày nghỉ lễ'!$B$5:$B$25)-1-3)&amp;" "&amp;"ngày","")))</f>
        <v/>
      </c>
      <c r="Z233" s="72" t="str">
        <f>IF(S233=0,"",IF(P233="Chuyển","",IF(P233="Nhập vào vụ khác","",IF(P233="BA",IF((S233-R233)&gt;10,"Quá hạn"&amp;" "&amp;(S233-R233-10)&amp;" "&amp;"ngày",""),IF((NETWORKDAYS(R233,S233,'Danh sách ngày nghỉ lễ'!$B$5:$B$25)-VLOOKUP(P233,'Thời hạn'!$A$17:$B$23,2,0))&gt;1,"Quá hạn"&amp;" "&amp;(NETWORKDAYS(R233,S233,'Danh sách ngày nghỉ lễ'!$B$5:$B$25)-1-VLOOKUP(P233,'Thời hạn'!$A$17:$B$23,2,0))&amp;" "&amp;"ngày","")))))</f>
        <v/>
      </c>
      <c r="AA233" s="23">
        <v>1</v>
      </c>
    </row>
    <row r="234" spans="1:27" s="24" customFormat="1" ht="15.6" x14ac:dyDescent="0.3">
      <c r="A234" s="24">
        <v>1</v>
      </c>
      <c r="B234" s="85"/>
      <c r="C234" s="33"/>
      <c r="D234" s="25"/>
      <c r="E234" s="25"/>
      <c r="F234" s="34"/>
      <c r="G234" s="34"/>
      <c r="H234" s="25"/>
      <c r="I234" s="70" t="str">
        <f>IF(C234="Trả lại đơn vụ","",IF(C234="Trả lại đơn việc","",IF(C234="Hòa giải thành","",IF(F234=0,"",EDATE(F234,VLOOKUP(C234,'Thời hạn'!$A$1:$B$10,2,0))+H234))))</f>
        <v/>
      </c>
      <c r="J234" s="59" t="str">
        <f t="shared" ca="1" si="4"/>
        <v/>
      </c>
      <c r="K234" s="25"/>
      <c r="L234" s="129"/>
      <c r="M234" s="130"/>
      <c r="N234" s="35"/>
      <c r="O234" s="34"/>
      <c r="P234" s="25"/>
      <c r="Q234" s="25"/>
      <c r="R234" s="34"/>
      <c r="S234" s="34"/>
      <c r="T234" s="25"/>
      <c r="U234" s="25"/>
      <c r="V234" s="36"/>
      <c r="W234" s="86"/>
      <c r="X234" s="127"/>
      <c r="Y234" s="71" t="str">
        <f>IF(C234="Trả lại đơn vụ","",IF(C234="Trả lại đơn việc","",IF((NETWORKDAYS(F234,G234,'Danh sách ngày nghỉ lễ'!$B$5:$B$25)-1-3)&gt;0,"Quá hạn"&amp;" "&amp;(NETWORKDAYS(F234,G234,'Danh sách ngày nghỉ lễ'!$B$5:$B$25)-1-3)&amp;" "&amp;"ngày","")))</f>
        <v/>
      </c>
      <c r="Z234" s="72" t="str">
        <f>IF(S234=0,"",IF(P234="Chuyển","",IF(P234="Nhập vào vụ khác","",IF(P234="BA",IF((S234-R234)&gt;10,"Quá hạn"&amp;" "&amp;(S234-R234-10)&amp;" "&amp;"ngày",""),IF((NETWORKDAYS(R234,S234,'Danh sách ngày nghỉ lễ'!$B$5:$B$25)-VLOOKUP(P234,'Thời hạn'!$A$17:$B$23,2,0))&gt;1,"Quá hạn"&amp;" "&amp;(NETWORKDAYS(R234,S234,'Danh sách ngày nghỉ lễ'!$B$5:$B$25)-1-VLOOKUP(P234,'Thời hạn'!$A$17:$B$23,2,0))&amp;" "&amp;"ngày","")))))</f>
        <v/>
      </c>
      <c r="AA234" s="23">
        <v>1</v>
      </c>
    </row>
    <row r="235" spans="1:27" s="24" customFormat="1" ht="15.6" x14ac:dyDescent="0.3">
      <c r="A235" s="24">
        <v>1</v>
      </c>
      <c r="B235" s="85"/>
      <c r="C235" s="33"/>
      <c r="D235" s="25"/>
      <c r="E235" s="25"/>
      <c r="F235" s="34"/>
      <c r="G235" s="34"/>
      <c r="H235" s="25"/>
      <c r="I235" s="70" t="str">
        <f>IF(C235="Trả lại đơn vụ","",IF(C235="Trả lại đơn việc","",IF(C235="Hòa giải thành","",IF(F235=0,"",EDATE(F235,VLOOKUP(C235,'Thời hạn'!$A$1:$B$10,2,0))+H235))))</f>
        <v/>
      </c>
      <c r="J235" s="59" t="str">
        <f t="shared" ca="1" si="4"/>
        <v/>
      </c>
      <c r="K235" s="25"/>
      <c r="L235" s="129"/>
      <c r="M235" s="130"/>
      <c r="N235" s="35"/>
      <c r="O235" s="34"/>
      <c r="P235" s="25"/>
      <c r="Q235" s="25"/>
      <c r="R235" s="34"/>
      <c r="S235" s="34"/>
      <c r="T235" s="25"/>
      <c r="U235" s="25"/>
      <c r="V235" s="36"/>
      <c r="W235" s="86"/>
      <c r="X235" s="127"/>
      <c r="Y235" s="71" t="str">
        <f>IF(C235="Trả lại đơn vụ","",IF(C235="Trả lại đơn việc","",IF((NETWORKDAYS(F235,G235,'Danh sách ngày nghỉ lễ'!$B$5:$B$25)-1-3)&gt;0,"Quá hạn"&amp;" "&amp;(NETWORKDAYS(F235,G235,'Danh sách ngày nghỉ lễ'!$B$5:$B$25)-1-3)&amp;" "&amp;"ngày","")))</f>
        <v/>
      </c>
      <c r="Z235" s="72" t="str">
        <f>IF(S235=0,"",IF(P235="Chuyển","",IF(P235="Nhập vào vụ khác","",IF(P235="BA",IF((S235-R235)&gt;10,"Quá hạn"&amp;" "&amp;(S235-R235-10)&amp;" "&amp;"ngày",""),IF((NETWORKDAYS(R235,S235,'Danh sách ngày nghỉ lễ'!$B$5:$B$25)-VLOOKUP(P235,'Thời hạn'!$A$17:$B$23,2,0))&gt;1,"Quá hạn"&amp;" "&amp;(NETWORKDAYS(R235,S235,'Danh sách ngày nghỉ lễ'!$B$5:$B$25)-1-VLOOKUP(P235,'Thời hạn'!$A$17:$B$23,2,0))&amp;" "&amp;"ngày","")))))</f>
        <v/>
      </c>
      <c r="AA235" s="23">
        <v>1</v>
      </c>
    </row>
    <row r="236" spans="1:27" s="24" customFormat="1" ht="15.6" x14ac:dyDescent="0.3">
      <c r="A236" s="24">
        <v>1</v>
      </c>
      <c r="B236" s="85"/>
      <c r="C236" s="33"/>
      <c r="D236" s="25"/>
      <c r="E236" s="25"/>
      <c r="F236" s="34"/>
      <c r="G236" s="34"/>
      <c r="H236" s="25"/>
      <c r="I236" s="70" t="str">
        <f>IF(C236="Trả lại đơn vụ","",IF(C236="Trả lại đơn việc","",IF(C236="Hòa giải thành","",IF(F236=0,"",EDATE(F236,VLOOKUP(C236,'Thời hạn'!$A$1:$B$10,2,0))+H236))))</f>
        <v/>
      </c>
      <c r="J236" s="59" t="str">
        <f t="shared" ca="1" si="4"/>
        <v/>
      </c>
      <c r="K236" s="25"/>
      <c r="L236" s="129"/>
      <c r="M236" s="130"/>
      <c r="N236" s="35"/>
      <c r="O236" s="34"/>
      <c r="P236" s="25"/>
      <c r="Q236" s="25"/>
      <c r="R236" s="34"/>
      <c r="S236" s="34"/>
      <c r="T236" s="25"/>
      <c r="U236" s="25"/>
      <c r="V236" s="36"/>
      <c r="W236" s="86"/>
      <c r="X236" s="127"/>
      <c r="Y236" s="71" t="str">
        <f>IF(C236="Trả lại đơn vụ","",IF(C236="Trả lại đơn việc","",IF((NETWORKDAYS(F236,G236,'Danh sách ngày nghỉ lễ'!$B$5:$B$25)-1-3)&gt;0,"Quá hạn"&amp;" "&amp;(NETWORKDAYS(F236,G236,'Danh sách ngày nghỉ lễ'!$B$5:$B$25)-1-3)&amp;" "&amp;"ngày","")))</f>
        <v/>
      </c>
      <c r="Z236" s="72" t="str">
        <f>IF(S236=0,"",IF(P236="Chuyển","",IF(P236="Nhập vào vụ khác","",IF(P236="BA",IF((S236-R236)&gt;10,"Quá hạn"&amp;" "&amp;(S236-R236-10)&amp;" "&amp;"ngày",""),IF((NETWORKDAYS(R236,S236,'Danh sách ngày nghỉ lễ'!$B$5:$B$25)-VLOOKUP(P236,'Thời hạn'!$A$17:$B$23,2,0))&gt;1,"Quá hạn"&amp;" "&amp;(NETWORKDAYS(R236,S236,'Danh sách ngày nghỉ lễ'!$B$5:$B$25)-1-VLOOKUP(P236,'Thời hạn'!$A$17:$B$23,2,0))&amp;" "&amp;"ngày","")))))</f>
        <v/>
      </c>
      <c r="AA236" s="23">
        <v>1</v>
      </c>
    </row>
    <row r="237" spans="1:27" s="24" customFormat="1" ht="15.6" x14ac:dyDescent="0.3">
      <c r="A237" s="24">
        <v>1</v>
      </c>
      <c r="B237" s="85"/>
      <c r="C237" s="33"/>
      <c r="D237" s="25"/>
      <c r="E237" s="25"/>
      <c r="F237" s="34"/>
      <c r="G237" s="34"/>
      <c r="H237" s="25"/>
      <c r="I237" s="70" t="str">
        <f>IF(C237="Trả lại đơn vụ","",IF(C237="Trả lại đơn việc","",IF(C237="Hòa giải thành","",IF(F237=0,"",EDATE(F237,VLOOKUP(C237,'Thời hạn'!$A$1:$B$10,2,0))+H237))))</f>
        <v/>
      </c>
      <c r="J237" s="59" t="str">
        <f t="shared" ca="1" si="4"/>
        <v/>
      </c>
      <c r="K237" s="25"/>
      <c r="L237" s="129"/>
      <c r="M237" s="130"/>
      <c r="N237" s="35"/>
      <c r="O237" s="34"/>
      <c r="P237" s="25"/>
      <c r="Q237" s="25"/>
      <c r="R237" s="34"/>
      <c r="S237" s="34"/>
      <c r="T237" s="25"/>
      <c r="U237" s="25"/>
      <c r="V237" s="36"/>
      <c r="W237" s="86"/>
      <c r="X237" s="127"/>
      <c r="Y237" s="71" t="str">
        <f>IF(C237="Trả lại đơn vụ","",IF(C237="Trả lại đơn việc","",IF((NETWORKDAYS(F237,G237,'Danh sách ngày nghỉ lễ'!$B$5:$B$25)-1-3)&gt;0,"Quá hạn"&amp;" "&amp;(NETWORKDAYS(F237,G237,'Danh sách ngày nghỉ lễ'!$B$5:$B$25)-1-3)&amp;" "&amp;"ngày","")))</f>
        <v/>
      </c>
      <c r="Z237" s="72" t="str">
        <f>IF(S237=0,"",IF(P237="Chuyển","",IF(P237="Nhập vào vụ khác","",IF(P237="BA",IF((S237-R237)&gt;10,"Quá hạn"&amp;" "&amp;(S237-R237-10)&amp;" "&amp;"ngày",""),IF((NETWORKDAYS(R237,S237,'Danh sách ngày nghỉ lễ'!$B$5:$B$25)-VLOOKUP(P237,'Thời hạn'!$A$17:$B$23,2,0))&gt;1,"Quá hạn"&amp;" "&amp;(NETWORKDAYS(R237,S237,'Danh sách ngày nghỉ lễ'!$B$5:$B$25)-1-VLOOKUP(P237,'Thời hạn'!$A$17:$B$23,2,0))&amp;" "&amp;"ngày","")))))</f>
        <v/>
      </c>
      <c r="AA237" s="23">
        <v>1</v>
      </c>
    </row>
    <row r="238" spans="1:27" s="24" customFormat="1" ht="15.6" x14ac:dyDescent="0.3">
      <c r="A238" s="24">
        <v>1</v>
      </c>
      <c r="B238" s="85"/>
      <c r="C238" s="33"/>
      <c r="D238" s="25"/>
      <c r="E238" s="25"/>
      <c r="F238" s="34"/>
      <c r="G238" s="34"/>
      <c r="H238" s="25"/>
      <c r="I238" s="70" t="str">
        <f>IF(C238="Trả lại đơn vụ","",IF(C238="Trả lại đơn việc","",IF(C238="Hòa giải thành","",IF(F238=0,"",EDATE(F238,VLOOKUP(C238,'Thời hạn'!$A$1:$B$10,2,0))+H238))))</f>
        <v/>
      </c>
      <c r="J238" s="59" t="str">
        <f t="shared" ca="1" si="4"/>
        <v/>
      </c>
      <c r="K238" s="25"/>
      <c r="L238" s="129"/>
      <c r="M238" s="130"/>
      <c r="N238" s="35"/>
      <c r="O238" s="34"/>
      <c r="P238" s="25"/>
      <c r="Q238" s="25"/>
      <c r="R238" s="34"/>
      <c r="S238" s="34"/>
      <c r="T238" s="25"/>
      <c r="U238" s="25"/>
      <c r="V238" s="36"/>
      <c r="W238" s="86"/>
      <c r="X238" s="127"/>
      <c r="Y238" s="71" t="str">
        <f>IF(C238="Trả lại đơn vụ","",IF(C238="Trả lại đơn việc","",IF((NETWORKDAYS(F238,G238,'Danh sách ngày nghỉ lễ'!$B$5:$B$25)-1-3)&gt;0,"Quá hạn"&amp;" "&amp;(NETWORKDAYS(F238,G238,'Danh sách ngày nghỉ lễ'!$B$5:$B$25)-1-3)&amp;" "&amp;"ngày","")))</f>
        <v/>
      </c>
      <c r="Z238" s="72" t="str">
        <f>IF(S238=0,"",IF(P238="Chuyển","",IF(P238="Nhập vào vụ khác","",IF(P238="BA",IF((S238-R238)&gt;10,"Quá hạn"&amp;" "&amp;(S238-R238-10)&amp;" "&amp;"ngày",""),IF((NETWORKDAYS(R238,S238,'Danh sách ngày nghỉ lễ'!$B$5:$B$25)-VLOOKUP(P238,'Thời hạn'!$A$17:$B$23,2,0))&gt;1,"Quá hạn"&amp;" "&amp;(NETWORKDAYS(R238,S238,'Danh sách ngày nghỉ lễ'!$B$5:$B$25)-1-VLOOKUP(P238,'Thời hạn'!$A$17:$B$23,2,0))&amp;" "&amp;"ngày","")))))</f>
        <v/>
      </c>
      <c r="AA238" s="23">
        <v>1</v>
      </c>
    </row>
    <row r="239" spans="1:27" s="24" customFormat="1" ht="15.6" x14ac:dyDescent="0.3">
      <c r="A239" s="24">
        <v>1</v>
      </c>
      <c r="B239" s="85"/>
      <c r="C239" s="33"/>
      <c r="D239" s="25"/>
      <c r="E239" s="25"/>
      <c r="F239" s="34"/>
      <c r="G239" s="34"/>
      <c r="H239" s="25"/>
      <c r="I239" s="70" t="str">
        <f>IF(C239="Trả lại đơn vụ","",IF(C239="Trả lại đơn việc","",IF(C239="Hòa giải thành","",IF(F239=0,"",EDATE(F239,VLOOKUP(C239,'Thời hạn'!$A$1:$B$10,2,0))+H239))))</f>
        <v/>
      </c>
      <c r="J239" s="59" t="str">
        <f t="shared" ca="1" si="4"/>
        <v/>
      </c>
      <c r="K239" s="25"/>
      <c r="L239" s="129"/>
      <c r="M239" s="130"/>
      <c r="N239" s="35"/>
      <c r="O239" s="34"/>
      <c r="P239" s="25"/>
      <c r="Q239" s="25"/>
      <c r="R239" s="34"/>
      <c r="S239" s="34"/>
      <c r="T239" s="25"/>
      <c r="U239" s="25"/>
      <c r="V239" s="36"/>
      <c r="W239" s="86"/>
      <c r="X239" s="127"/>
      <c r="Y239" s="71" t="str">
        <f>IF(C239="Trả lại đơn vụ","",IF(C239="Trả lại đơn việc","",IF((NETWORKDAYS(F239,G239,'Danh sách ngày nghỉ lễ'!$B$5:$B$25)-1-3)&gt;0,"Quá hạn"&amp;" "&amp;(NETWORKDAYS(F239,G239,'Danh sách ngày nghỉ lễ'!$B$5:$B$25)-1-3)&amp;" "&amp;"ngày","")))</f>
        <v/>
      </c>
      <c r="Z239" s="72" t="str">
        <f>IF(S239=0,"",IF(P239="Chuyển","",IF(P239="Nhập vào vụ khác","",IF(P239="BA",IF((S239-R239)&gt;10,"Quá hạn"&amp;" "&amp;(S239-R239-10)&amp;" "&amp;"ngày",""),IF((NETWORKDAYS(R239,S239,'Danh sách ngày nghỉ lễ'!$B$5:$B$25)-VLOOKUP(P239,'Thời hạn'!$A$17:$B$23,2,0))&gt;1,"Quá hạn"&amp;" "&amp;(NETWORKDAYS(R239,S239,'Danh sách ngày nghỉ lễ'!$B$5:$B$25)-1-VLOOKUP(P239,'Thời hạn'!$A$17:$B$23,2,0))&amp;" "&amp;"ngày","")))))</f>
        <v/>
      </c>
      <c r="AA239" s="23">
        <v>1</v>
      </c>
    </row>
    <row r="240" spans="1:27" s="24" customFormat="1" ht="15.6" x14ac:dyDescent="0.3">
      <c r="A240" s="24">
        <v>1</v>
      </c>
      <c r="B240" s="85"/>
      <c r="C240" s="33"/>
      <c r="D240" s="25"/>
      <c r="E240" s="25"/>
      <c r="F240" s="34"/>
      <c r="G240" s="34"/>
      <c r="H240" s="25"/>
      <c r="I240" s="70" t="str">
        <f>IF(C240="Trả lại đơn vụ","",IF(C240="Trả lại đơn việc","",IF(C240="Hòa giải thành","",IF(F240=0,"",EDATE(F240,VLOOKUP(C240,'Thời hạn'!$A$1:$B$10,2,0))+H240))))</f>
        <v/>
      </c>
      <c r="J240" s="59" t="str">
        <f t="shared" ca="1" si="4"/>
        <v/>
      </c>
      <c r="K240" s="25"/>
      <c r="L240" s="129"/>
      <c r="M240" s="130"/>
      <c r="N240" s="35"/>
      <c r="O240" s="34"/>
      <c r="P240" s="25"/>
      <c r="Q240" s="25"/>
      <c r="R240" s="34"/>
      <c r="S240" s="34"/>
      <c r="T240" s="25"/>
      <c r="U240" s="25"/>
      <c r="V240" s="36"/>
      <c r="W240" s="86"/>
      <c r="X240" s="127"/>
      <c r="Y240" s="71" t="str">
        <f>IF(C240="Trả lại đơn vụ","",IF(C240="Trả lại đơn việc","",IF((NETWORKDAYS(F240,G240,'Danh sách ngày nghỉ lễ'!$B$5:$B$25)-1-3)&gt;0,"Quá hạn"&amp;" "&amp;(NETWORKDAYS(F240,G240,'Danh sách ngày nghỉ lễ'!$B$5:$B$25)-1-3)&amp;" "&amp;"ngày","")))</f>
        <v/>
      </c>
      <c r="Z240" s="72" t="str">
        <f>IF(S240=0,"",IF(P240="Chuyển","",IF(P240="Nhập vào vụ khác","",IF(P240="BA",IF((S240-R240)&gt;10,"Quá hạn"&amp;" "&amp;(S240-R240-10)&amp;" "&amp;"ngày",""),IF((NETWORKDAYS(R240,S240,'Danh sách ngày nghỉ lễ'!$B$5:$B$25)-VLOOKUP(P240,'Thời hạn'!$A$17:$B$23,2,0))&gt;1,"Quá hạn"&amp;" "&amp;(NETWORKDAYS(R240,S240,'Danh sách ngày nghỉ lễ'!$B$5:$B$25)-1-VLOOKUP(P240,'Thời hạn'!$A$17:$B$23,2,0))&amp;" "&amp;"ngày","")))))</f>
        <v/>
      </c>
      <c r="AA240" s="23">
        <v>1</v>
      </c>
    </row>
    <row r="241" spans="1:27" s="24" customFormat="1" ht="15.6" x14ac:dyDescent="0.3">
      <c r="A241" s="24">
        <v>1</v>
      </c>
      <c r="B241" s="85"/>
      <c r="C241" s="33"/>
      <c r="D241" s="25"/>
      <c r="E241" s="25"/>
      <c r="F241" s="34"/>
      <c r="G241" s="34"/>
      <c r="H241" s="25"/>
      <c r="I241" s="70" t="str">
        <f>IF(C241="Trả lại đơn vụ","",IF(C241="Trả lại đơn việc","",IF(C241="Hòa giải thành","",IF(F241=0,"",EDATE(F241,VLOOKUP(C241,'Thời hạn'!$A$1:$B$10,2,0))+H241))))</f>
        <v/>
      </c>
      <c r="J241" s="59" t="str">
        <f t="shared" ca="1" si="4"/>
        <v/>
      </c>
      <c r="K241" s="25"/>
      <c r="L241" s="129"/>
      <c r="M241" s="130"/>
      <c r="N241" s="35"/>
      <c r="O241" s="34"/>
      <c r="P241" s="25"/>
      <c r="Q241" s="25"/>
      <c r="R241" s="34"/>
      <c r="S241" s="34"/>
      <c r="T241" s="25"/>
      <c r="U241" s="25"/>
      <c r="V241" s="36"/>
      <c r="W241" s="86"/>
      <c r="X241" s="127"/>
      <c r="Y241" s="71" t="str">
        <f>IF(C241="Trả lại đơn vụ","",IF(C241="Trả lại đơn việc","",IF((NETWORKDAYS(F241,G241,'Danh sách ngày nghỉ lễ'!$B$5:$B$25)-1-3)&gt;0,"Quá hạn"&amp;" "&amp;(NETWORKDAYS(F241,G241,'Danh sách ngày nghỉ lễ'!$B$5:$B$25)-1-3)&amp;" "&amp;"ngày","")))</f>
        <v/>
      </c>
      <c r="Z241" s="72" t="str">
        <f>IF(S241=0,"",IF(P241="Chuyển","",IF(P241="Nhập vào vụ khác","",IF(P241="BA",IF((S241-R241)&gt;10,"Quá hạn"&amp;" "&amp;(S241-R241-10)&amp;" "&amp;"ngày",""),IF((NETWORKDAYS(R241,S241,'Danh sách ngày nghỉ lễ'!$B$5:$B$25)-VLOOKUP(P241,'Thời hạn'!$A$17:$B$23,2,0))&gt;1,"Quá hạn"&amp;" "&amp;(NETWORKDAYS(R241,S241,'Danh sách ngày nghỉ lễ'!$B$5:$B$25)-1-VLOOKUP(P241,'Thời hạn'!$A$17:$B$23,2,0))&amp;" "&amp;"ngày","")))))</f>
        <v/>
      </c>
      <c r="AA241" s="23">
        <v>1</v>
      </c>
    </row>
    <row r="242" spans="1:27" s="24" customFormat="1" ht="15.6" x14ac:dyDescent="0.3">
      <c r="A242" s="24">
        <v>1</v>
      </c>
      <c r="B242" s="85"/>
      <c r="C242" s="33"/>
      <c r="D242" s="25"/>
      <c r="E242" s="25"/>
      <c r="F242" s="34"/>
      <c r="G242" s="34"/>
      <c r="H242" s="25"/>
      <c r="I242" s="70" t="str">
        <f>IF(C242="Trả lại đơn vụ","",IF(C242="Trả lại đơn việc","",IF(C242="Hòa giải thành","",IF(F242=0,"",EDATE(F242,VLOOKUP(C242,'Thời hạn'!$A$1:$B$10,2,0))+H242))))</f>
        <v/>
      </c>
      <c r="J242" s="59" t="str">
        <f t="shared" ca="1" si="4"/>
        <v/>
      </c>
      <c r="K242" s="25"/>
      <c r="L242" s="129"/>
      <c r="M242" s="130"/>
      <c r="N242" s="35"/>
      <c r="O242" s="34"/>
      <c r="P242" s="25"/>
      <c r="Q242" s="25"/>
      <c r="R242" s="34"/>
      <c r="S242" s="34"/>
      <c r="T242" s="25"/>
      <c r="U242" s="25"/>
      <c r="V242" s="36"/>
      <c r="W242" s="86"/>
      <c r="X242" s="127"/>
      <c r="Y242" s="71" t="str">
        <f>IF(C242="Trả lại đơn vụ","",IF(C242="Trả lại đơn việc","",IF((NETWORKDAYS(F242,G242,'Danh sách ngày nghỉ lễ'!$B$5:$B$25)-1-3)&gt;0,"Quá hạn"&amp;" "&amp;(NETWORKDAYS(F242,G242,'Danh sách ngày nghỉ lễ'!$B$5:$B$25)-1-3)&amp;" "&amp;"ngày","")))</f>
        <v/>
      </c>
      <c r="Z242" s="72" t="str">
        <f>IF(S242=0,"",IF(P242="Chuyển","",IF(P242="Nhập vào vụ khác","",IF(P242="BA",IF((S242-R242)&gt;10,"Quá hạn"&amp;" "&amp;(S242-R242-10)&amp;" "&amp;"ngày",""),IF((NETWORKDAYS(R242,S242,'Danh sách ngày nghỉ lễ'!$B$5:$B$25)-VLOOKUP(P242,'Thời hạn'!$A$17:$B$23,2,0))&gt;1,"Quá hạn"&amp;" "&amp;(NETWORKDAYS(R242,S242,'Danh sách ngày nghỉ lễ'!$B$5:$B$25)-1-VLOOKUP(P242,'Thời hạn'!$A$17:$B$23,2,0))&amp;" "&amp;"ngày","")))))</f>
        <v/>
      </c>
      <c r="AA242" s="23">
        <v>1</v>
      </c>
    </row>
    <row r="243" spans="1:27" s="24" customFormat="1" ht="15.6" x14ac:dyDescent="0.3">
      <c r="A243" s="24">
        <v>1</v>
      </c>
      <c r="B243" s="85"/>
      <c r="C243" s="33"/>
      <c r="D243" s="25"/>
      <c r="E243" s="25"/>
      <c r="F243" s="34"/>
      <c r="G243" s="34"/>
      <c r="H243" s="25"/>
      <c r="I243" s="70" t="str">
        <f>IF(C243="Trả lại đơn vụ","",IF(C243="Trả lại đơn việc","",IF(C243="Hòa giải thành","",IF(F243=0,"",EDATE(F243,VLOOKUP(C243,'Thời hạn'!$A$1:$B$10,2,0))+H243))))</f>
        <v/>
      </c>
      <c r="J243" s="59" t="str">
        <f t="shared" ca="1" si="4"/>
        <v/>
      </c>
      <c r="K243" s="25"/>
      <c r="L243" s="129"/>
      <c r="M243" s="130"/>
      <c r="N243" s="35"/>
      <c r="O243" s="34"/>
      <c r="P243" s="25"/>
      <c r="Q243" s="25"/>
      <c r="R243" s="34"/>
      <c r="S243" s="34"/>
      <c r="T243" s="25"/>
      <c r="U243" s="25"/>
      <c r="V243" s="36"/>
      <c r="W243" s="86"/>
      <c r="X243" s="127"/>
      <c r="Y243" s="71" t="str">
        <f>IF(C243="Trả lại đơn vụ","",IF(C243="Trả lại đơn việc","",IF((NETWORKDAYS(F243,G243,'Danh sách ngày nghỉ lễ'!$B$5:$B$25)-1-3)&gt;0,"Quá hạn"&amp;" "&amp;(NETWORKDAYS(F243,G243,'Danh sách ngày nghỉ lễ'!$B$5:$B$25)-1-3)&amp;" "&amp;"ngày","")))</f>
        <v/>
      </c>
      <c r="Z243" s="72" t="str">
        <f>IF(S243=0,"",IF(P243="Chuyển","",IF(P243="Nhập vào vụ khác","",IF(P243="BA",IF((S243-R243)&gt;10,"Quá hạn"&amp;" "&amp;(S243-R243-10)&amp;" "&amp;"ngày",""),IF((NETWORKDAYS(R243,S243,'Danh sách ngày nghỉ lễ'!$B$5:$B$25)-VLOOKUP(P243,'Thời hạn'!$A$17:$B$23,2,0))&gt;1,"Quá hạn"&amp;" "&amp;(NETWORKDAYS(R243,S243,'Danh sách ngày nghỉ lễ'!$B$5:$B$25)-1-VLOOKUP(P243,'Thời hạn'!$A$17:$B$23,2,0))&amp;" "&amp;"ngày","")))))</f>
        <v/>
      </c>
      <c r="AA243" s="23">
        <v>1</v>
      </c>
    </row>
    <row r="244" spans="1:27" s="24" customFormat="1" ht="15.6" x14ac:dyDescent="0.3">
      <c r="A244" s="24">
        <v>1</v>
      </c>
      <c r="B244" s="85"/>
      <c r="C244" s="33"/>
      <c r="D244" s="25"/>
      <c r="E244" s="25"/>
      <c r="F244" s="34"/>
      <c r="G244" s="34"/>
      <c r="H244" s="25"/>
      <c r="I244" s="70" t="str">
        <f>IF(C244="Trả lại đơn vụ","",IF(C244="Trả lại đơn việc","",IF(C244="Hòa giải thành","",IF(F244=0,"",EDATE(F244,VLOOKUP(C244,'Thời hạn'!$A$1:$B$10,2,0))+H244))))</f>
        <v/>
      </c>
      <c r="J244" s="59" t="str">
        <f t="shared" ca="1" si="4"/>
        <v/>
      </c>
      <c r="K244" s="25"/>
      <c r="L244" s="129"/>
      <c r="M244" s="130"/>
      <c r="N244" s="35"/>
      <c r="O244" s="34"/>
      <c r="P244" s="25"/>
      <c r="Q244" s="25"/>
      <c r="R244" s="34"/>
      <c r="S244" s="34"/>
      <c r="T244" s="25"/>
      <c r="U244" s="25"/>
      <c r="V244" s="36"/>
      <c r="W244" s="86"/>
      <c r="X244" s="127"/>
      <c r="Y244" s="71" t="str">
        <f>IF(C244="Trả lại đơn vụ","",IF(C244="Trả lại đơn việc","",IF((NETWORKDAYS(F244,G244,'Danh sách ngày nghỉ lễ'!$B$5:$B$25)-1-3)&gt;0,"Quá hạn"&amp;" "&amp;(NETWORKDAYS(F244,G244,'Danh sách ngày nghỉ lễ'!$B$5:$B$25)-1-3)&amp;" "&amp;"ngày","")))</f>
        <v/>
      </c>
      <c r="Z244" s="72" t="str">
        <f>IF(S244=0,"",IF(P244="Chuyển","",IF(P244="Nhập vào vụ khác","",IF(P244="BA",IF((S244-R244)&gt;10,"Quá hạn"&amp;" "&amp;(S244-R244-10)&amp;" "&amp;"ngày",""),IF((NETWORKDAYS(R244,S244,'Danh sách ngày nghỉ lễ'!$B$5:$B$25)-VLOOKUP(P244,'Thời hạn'!$A$17:$B$23,2,0))&gt;1,"Quá hạn"&amp;" "&amp;(NETWORKDAYS(R244,S244,'Danh sách ngày nghỉ lễ'!$B$5:$B$25)-1-VLOOKUP(P244,'Thời hạn'!$A$17:$B$23,2,0))&amp;" "&amp;"ngày","")))))</f>
        <v/>
      </c>
      <c r="AA244" s="23">
        <v>1</v>
      </c>
    </row>
    <row r="245" spans="1:27" s="24" customFormat="1" ht="15.6" x14ac:dyDescent="0.3">
      <c r="A245" s="24">
        <v>1</v>
      </c>
      <c r="B245" s="85"/>
      <c r="C245" s="33"/>
      <c r="D245" s="25"/>
      <c r="E245" s="25"/>
      <c r="F245" s="34"/>
      <c r="G245" s="34"/>
      <c r="H245" s="25"/>
      <c r="I245" s="70" t="str">
        <f>IF(C245="Trả lại đơn vụ","",IF(C245="Trả lại đơn việc","",IF(C245="Hòa giải thành","",IF(F245=0,"",EDATE(F245,VLOOKUP(C245,'Thời hạn'!$A$1:$B$10,2,0))+H245))))</f>
        <v/>
      </c>
      <c r="J245" s="59" t="str">
        <f t="shared" ca="1" si="4"/>
        <v/>
      </c>
      <c r="K245" s="25"/>
      <c r="L245" s="129"/>
      <c r="M245" s="130"/>
      <c r="N245" s="35"/>
      <c r="O245" s="34"/>
      <c r="P245" s="25"/>
      <c r="Q245" s="25"/>
      <c r="R245" s="34"/>
      <c r="S245" s="34"/>
      <c r="T245" s="25"/>
      <c r="U245" s="25"/>
      <c r="V245" s="36"/>
      <c r="W245" s="86"/>
      <c r="X245" s="127"/>
      <c r="Y245" s="71" t="str">
        <f>IF(C245="Trả lại đơn vụ","",IF(C245="Trả lại đơn việc","",IF((NETWORKDAYS(F245,G245,'Danh sách ngày nghỉ lễ'!$B$5:$B$25)-1-3)&gt;0,"Quá hạn"&amp;" "&amp;(NETWORKDAYS(F245,G245,'Danh sách ngày nghỉ lễ'!$B$5:$B$25)-1-3)&amp;" "&amp;"ngày","")))</f>
        <v/>
      </c>
      <c r="Z245" s="72" t="str">
        <f>IF(S245=0,"",IF(P245="Chuyển","",IF(P245="Nhập vào vụ khác","",IF(P245="BA",IF((S245-R245)&gt;10,"Quá hạn"&amp;" "&amp;(S245-R245-10)&amp;" "&amp;"ngày",""),IF((NETWORKDAYS(R245,S245,'Danh sách ngày nghỉ lễ'!$B$5:$B$25)-VLOOKUP(P245,'Thời hạn'!$A$17:$B$23,2,0))&gt;1,"Quá hạn"&amp;" "&amp;(NETWORKDAYS(R245,S245,'Danh sách ngày nghỉ lễ'!$B$5:$B$25)-1-VLOOKUP(P245,'Thời hạn'!$A$17:$B$23,2,0))&amp;" "&amp;"ngày","")))))</f>
        <v/>
      </c>
      <c r="AA245" s="23">
        <v>1</v>
      </c>
    </row>
    <row r="246" spans="1:27" s="24" customFormat="1" ht="15.6" x14ac:dyDescent="0.3">
      <c r="A246" s="24">
        <v>1</v>
      </c>
      <c r="B246" s="85"/>
      <c r="C246" s="33"/>
      <c r="D246" s="25"/>
      <c r="E246" s="25"/>
      <c r="F246" s="34"/>
      <c r="G246" s="34"/>
      <c r="H246" s="25"/>
      <c r="I246" s="70" t="str">
        <f>IF(C246="Trả lại đơn vụ","",IF(C246="Trả lại đơn việc","",IF(C246="Hòa giải thành","",IF(F246=0,"",EDATE(F246,VLOOKUP(C246,'Thời hạn'!$A$1:$B$10,2,0))+H246))))</f>
        <v/>
      </c>
      <c r="J246" s="59" t="str">
        <f t="shared" ca="1" si="4"/>
        <v/>
      </c>
      <c r="K246" s="25"/>
      <c r="L246" s="129"/>
      <c r="M246" s="130"/>
      <c r="N246" s="35"/>
      <c r="O246" s="34"/>
      <c r="P246" s="25"/>
      <c r="Q246" s="25"/>
      <c r="R246" s="34"/>
      <c r="S246" s="34"/>
      <c r="T246" s="25"/>
      <c r="U246" s="25"/>
      <c r="V246" s="36"/>
      <c r="W246" s="86"/>
      <c r="X246" s="127"/>
      <c r="Y246" s="71" t="str">
        <f>IF(C246="Trả lại đơn vụ","",IF(C246="Trả lại đơn việc","",IF((NETWORKDAYS(F246,G246,'Danh sách ngày nghỉ lễ'!$B$5:$B$25)-1-3)&gt;0,"Quá hạn"&amp;" "&amp;(NETWORKDAYS(F246,G246,'Danh sách ngày nghỉ lễ'!$B$5:$B$25)-1-3)&amp;" "&amp;"ngày","")))</f>
        <v/>
      </c>
      <c r="Z246" s="72" t="str">
        <f>IF(S246=0,"",IF(P246="Chuyển","",IF(P246="Nhập vào vụ khác","",IF(P246="BA",IF((S246-R246)&gt;10,"Quá hạn"&amp;" "&amp;(S246-R246-10)&amp;" "&amp;"ngày",""),IF((NETWORKDAYS(R246,S246,'Danh sách ngày nghỉ lễ'!$B$5:$B$25)-VLOOKUP(P246,'Thời hạn'!$A$17:$B$23,2,0))&gt;1,"Quá hạn"&amp;" "&amp;(NETWORKDAYS(R246,S246,'Danh sách ngày nghỉ lễ'!$B$5:$B$25)-1-VLOOKUP(P246,'Thời hạn'!$A$17:$B$23,2,0))&amp;" "&amp;"ngày","")))))</f>
        <v/>
      </c>
      <c r="AA246" s="23">
        <v>1</v>
      </c>
    </row>
    <row r="247" spans="1:27" s="24" customFormat="1" ht="15.6" x14ac:dyDescent="0.3">
      <c r="A247" s="24">
        <v>1</v>
      </c>
      <c r="B247" s="85"/>
      <c r="C247" s="33"/>
      <c r="D247" s="25"/>
      <c r="E247" s="25"/>
      <c r="F247" s="34"/>
      <c r="G247" s="34"/>
      <c r="H247" s="25"/>
      <c r="I247" s="70" t="str">
        <f>IF(C247="Trả lại đơn vụ","",IF(C247="Trả lại đơn việc","",IF(C247="Hòa giải thành","",IF(F247=0,"",EDATE(F247,VLOOKUP(C247,'Thời hạn'!$A$1:$B$10,2,0))+H247))))</f>
        <v/>
      </c>
      <c r="J247" s="59" t="str">
        <f t="shared" ca="1" si="4"/>
        <v/>
      </c>
      <c r="K247" s="25"/>
      <c r="L247" s="129"/>
      <c r="M247" s="130"/>
      <c r="N247" s="35"/>
      <c r="O247" s="34"/>
      <c r="P247" s="25"/>
      <c r="Q247" s="25"/>
      <c r="R247" s="34"/>
      <c r="S247" s="34"/>
      <c r="T247" s="25"/>
      <c r="U247" s="25"/>
      <c r="V247" s="36"/>
      <c r="W247" s="86"/>
      <c r="X247" s="127"/>
      <c r="Y247" s="71" t="str">
        <f>IF(C247="Trả lại đơn vụ","",IF(C247="Trả lại đơn việc","",IF((NETWORKDAYS(F247,G247,'Danh sách ngày nghỉ lễ'!$B$5:$B$25)-1-3)&gt;0,"Quá hạn"&amp;" "&amp;(NETWORKDAYS(F247,G247,'Danh sách ngày nghỉ lễ'!$B$5:$B$25)-1-3)&amp;" "&amp;"ngày","")))</f>
        <v/>
      </c>
      <c r="Z247" s="72" t="str">
        <f>IF(S247=0,"",IF(P247="Chuyển","",IF(P247="Nhập vào vụ khác","",IF(P247="BA",IF((S247-R247)&gt;10,"Quá hạn"&amp;" "&amp;(S247-R247-10)&amp;" "&amp;"ngày",""),IF((NETWORKDAYS(R247,S247,'Danh sách ngày nghỉ lễ'!$B$5:$B$25)-VLOOKUP(P247,'Thời hạn'!$A$17:$B$23,2,0))&gt;1,"Quá hạn"&amp;" "&amp;(NETWORKDAYS(R247,S247,'Danh sách ngày nghỉ lễ'!$B$5:$B$25)-1-VLOOKUP(P247,'Thời hạn'!$A$17:$B$23,2,0))&amp;" "&amp;"ngày","")))))</f>
        <v/>
      </c>
      <c r="AA247" s="23">
        <v>1</v>
      </c>
    </row>
    <row r="248" spans="1:27" s="24" customFormat="1" ht="15.6" x14ac:dyDescent="0.3">
      <c r="A248" s="24">
        <v>1</v>
      </c>
      <c r="B248" s="85"/>
      <c r="C248" s="33"/>
      <c r="D248" s="25"/>
      <c r="E248" s="25"/>
      <c r="F248" s="34"/>
      <c r="G248" s="34"/>
      <c r="H248" s="25"/>
      <c r="I248" s="70" t="str">
        <f>IF(C248="Trả lại đơn vụ","",IF(C248="Trả lại đơn việc","",IF(C248="Hòa giải thành","",IF(F248=0,"",EDATE(F248,VLOOKUP(C248,'Thời hạn'!$A$1:$B$10,2,0))+H248))))</f>
        <v/>
      </c>
      <c r="J248" s="59" t="str">
        <f t="shared" ca="1" si="4"/>
        <v/>
      </c>
      <c r="K248" s="25"/>
      <c r="L248" s="129"/>
      <c r="M248" s="130"/>
      <c r="N248" s="35"/>
      <c r="O248" s="34"/>
      <c r="P248" s="25"/>
      <c r="Q248" s="25"/>
      <c r="R248" s="34"/>
      <c r="S248" s="34"/>
      <c r="T248" s="25"/>
      <c r="U248" s="25"/>
      <c r="V248" s="36"/>
      <c r="W248" s="86"/>
      <c r="X248" s="127"/>
      <c r="Y248" s="71" t="str">
        <f>IF(C248="Trả lại đơn vụ","",IF(C248="Trả lại đơn việc","",IF((NETWORKDAYS(F248,G248,'Danh sách ngày nghỉ lễ'!$B$5:$B$25)-1-3)&gt;0,"Quá hạn"&amp;" "&amp;(NETWORKDAYS(F248,G248,'Danh sách ngày nghỉ lễ'!$B$5:$B$25)-1-3)&amp;" "&amp;"ngày","")))</f>
        <v/>
      </c>
      <c r="Z248" s="72" t="str">
        <f>IF(S248=0,"",IF(P248="Chuyển","",IF(P248="Nhập vào vụ khác","",IF(P248="BA",IF((S248-R248)&gt;10,"Quá hạn"&amp;" "&amp;(S248-R248-10)&amp;" "&amp;"ngày",""),IF((NETWORKDAYS(R248,S248,'Danh sách ngày nghỉ lễ'!$B$5:$B$25)-VLOOKUP(P248,'Thời hạn'!$A$17:$B$23,2,0))&gt;1,"Quá hạn"&amp;" "&amp;(NETWORKDAYS(R248,S248,'Danh sách ngày nghỉ lễ'!$B$5:$B$25)-1-VLOOKUP(P248,'Thời hạn'!$A$17:$B$23,2,0))&amp;" "&amp;"ngày","")))))</f>
        <v/>
      </c>
      <c r="AA248" s="23">
        <v>1</v>
      </c>
    </row>
    <row r="249" spans="1:27" s="24" customFormat="1" ht="15.6" x14ac:dyDescent="0.3">
      <c r="A249" s="24">
        <v>1</v>
      </c>
      <c r="B249" s="85"/>
      <c r="C249" s="33"/>
      <c r="D249" s="25"/>
      <c r="E249" s="25"/>
      <c r="F249" s="34"/>
      <c r="G249" s="34"/>
      <c r="H249" s="25"/>
      <c r="I249" s="70" t="str">
        <f>IF(C249="Trả lại đơn vụ","",IF(C249="Trả lại đơn việc","",IF(C249="Hòa giải thành","",IF(F249=0,"",EDATE(F249,VLOOKUP(C249,'Thời hạn'!$A$1:$B$10,2,0))+H249))))</f>
        <v/>
      </c>
      <c r="J249" s="59" t="str">
        <f t="shared" ca="1" si="4"/>
        <v/>
      </c>
      <c r="K249" s="25"/>
      <c r="L249" s="129"/>
      <c r="M249" s="130"/>
      <c r="N249" s="35"/>
      <c r="O249" s="34"/>
      <c r="P249" s="25"/>
      <c r="Q249" s="25"/>
      <c r="R249" s="34"/>
      <c r="S249" s="34"/>
      <c r="T249" s="25"/>
      <c r="U249" s="25"/>
      <c r="V249" s="36"/>
      <c r="W249" s="86"/>
      <c r="X249" s="127"/>
      <c r="Y249" s="71" t="str">
        <f>IF(C249="Trả lại đơn vụ","",IF(C249="Trả lại đơn việc","",IF((NETWORKDAYS(F249,G249,'Danh sách ngày nghỉ lễ'!$B$5:$B$25)-1-3)&gt;0,"Quá hạn"&amp;" "&amp;(NETWORKDAYS(F249,G249,'Danh sách ngày nghỉ lễ'!$B$5:$B$25)-1-3)&amp;" "&amp;"ngày","")))</f>
        <v/>
      </c>
      <c r="Z249" s="72" t="str">
        <f>IF(S249=0,"",IF(P249="Chuyển","",IF(P249="Nhập vào vụ khác","",IF(P249="BA",IF((S249-R249)&gt;10,"Quá hạn"&amp;" "&amp;(S249-R249-10)&amp;" "&amp;"ngày",""),IF((NETWORKDAYS(R249,S249,'Danh sách ngày nghỉ lễ'!$B$5:$B$25)-VLOOKUP(P249,'Thời hạn'!$A$17:$B$23,2,0))&gt;1,"Quá hạn"&amp;" "&amp;(NETWORKDAYS(R249,S249,'Danh sách ngày nghỉ lễ'!$B$5:$B$25)-1-VLOOKUP(P249,'Thời hạn'!$A$17:$B$23,2,0))&amp;" "&amp;"ngày","")))))</f>
        <v/>
      </c>
      <c r="AA249" s="23">
        <v>1</v>
      </c>
    </row>
    <row r="250" spans="1:27" s="24" customFormat="1" ht="15.6" x14ac:dyDescent="0.3">
      <c r="A250" s="24">
        <v>1</v>
      </c>
      <c r="B250" s="85"/>
      <c r="C250" s="33"/>
      <c r="D250" s="25"/>
      <c r="E250" s="25"/>
      <c r="F250" s="34"/>
      <c r="G250" s="34"/>
      <c r="H250" s="25"/>
      <c r="I250" s="70" t="str">
        <f>IF(C250="Trả lại đơn vụ","",IF(C250="Trả lại đơn việc","",IF(C250="Hòa giải thành","",IF(F250=0,"",EDATE(F250,VLOOKUP(C250,'Thời hạn'!$A$1:$B$10,2,0))+H250))))</f>
        <v/>
      </c>
      <c r="J250" s="59" t="str">
        <f t="shared" ca="1" si="4"/>
        <v/>
      </c>
      <c r="K250" s="25"/>
      <c r="L250" s="129"/>
      <c r="M250" s="130"/>
      <c r="N250" s="35"/>
      <c r="O250" s="34"/>
      <c r="P250" s="25"/>
      <c r="Q250" s="25"/>
      <c r="R250" s="34"/>
      <c r="S250" s="34"/>
      <c r="T250" s="25"/>
      <c r="U250" s="25"/>
      <c r="V250" s="36"/>
      <c r="W250" s="86"/>
      <c r="X250" s="127"/>
      <c r="Y250" s="71" t="str">
        <f>IF(C250="Trả lại đơn vụ","",IF(C250="Trả lại đơn việc","",IF((NETWORKDAYS(F250,G250,'Danh sách ngày nghỉ lễ'!$B$5:$B$25)-1-3)&gt;0,"Quá hạn"&amp;" "&amp;(NETWORKDAYS(F250,G250,'Danh sách ngày nghỉ lễ'!$B$5:$B$25)-1-3)&amp;" "&amp;"ngày","")))</f>
        <v/>
      </c>
      <c r="Z250" s="72" t="str">
        <f>IF(S250=0,"",IF(P250="Chuyển","",IF(P250="Nhập vào vụ khác","",IF(P250="BA",IF((S250-R250)&gt;10,"Quá hạn"&amp;" "&amp;(S250-R250-10)&amp;" "&amp;"ngày",""),IF((NETWORKDAYS(R250,S250,'Danh sách ngày nghỉ lễ'!$B$5:$B$25)-VLOOKUP(P250,'Thời hạn'!$A$17:$B$23,2,0))&gt;1,"Quá hạn"&amp;" "&amp;(NETWORKDAYS(R250,S250,'Danh sách ngày nghỉ lễ'!$B$5:$B$25)-1-VLOOKUP(P250,'Thời hạn'!$A$17:$B$23,2,0))&amp;" "&amp;"ngày","")))))</f>
        <v/>
      </c>
      <c r="AA250" s="23">
        <v>1</v>
      </c>
    </row>
    <row r="251" spans="1:27" s="24" customFormat="1" ht="15.6" x14ac:dyDescent="0.3">
      <c r="A251" s="24">
        <v>1</v>
      </c>
      <c r="B251" s="85"/>
      <c r="C251" s="33"/>
      <c r="D251" s="25"/>
      <c r="E251" s="25"/>
      <c r="F251" s="34"/>
      <c r="G251" s="34"/>
      <c r="H251" s="25"/>
      <c r="I251" s="70" t="str">
        <f>IF(C251="Trả lại đơn vụ","",IF(C251="Trả lại đơn việc","",IF(C251="Hòa giải thành","",IF(F251=0,"",EDATE(F251,VLOOKUP(C251,'Thời hạn'!$A$1:$B$10,2,0))+H251))))</f>
        <v/>
      </c>
      <c r="J251" s="59" t="str">
        <f t="shared" ca="1" si="4"/>
        <v/>
      </c>
      <c r="K251" s="25"/>
      <c r="L251" s="129"/>
      <c r="M251" s="130"/>
      <c r="N251" s="35"/>
      <c r="O251" s="34"/>
      <c r="P251" s="25"/>
      <c r="Q251" s="25"/>
      <c r="R251" s="34"/>
      <c r="S251" s="34"/>
      <c r="T251" s="25"/>
      <c r="U251" s="25"/>
      <c r="V251" s="36"/>
      <c r="W251" s="86"/>
      <c r="X251" s="127"/>
      <c r="Y251" s="71" t="str">
        <f>IF(C251="Trả lại đơn vụ","",IF(C251="Trả lại đơn việc","",IF((NETWORKDAYS(F251,G251,'Danh sách ngày nghỉ lễ'!$B$5:$B$25)-1-3)&gt;0,"Quá hạn"&amp;" "&amp;(NETWORKDAYS(F251,G251,'Danh sách ngày nghỉ lễ'!$B$5:$B$25)-1-3)&amp;" "&amp;"ngày","")))</f>
        <v/>
      </c>
      <c r="Z251" s="72" t="str">
        <f>IF(S251=0,"",IF(P251="Chuyển","",IF(P251="Nhập vào vụ khác","",IF(P251="BA",IF((S251-R251)&gt;10,"Quá hạn"&amp;" "&amp;(S251-R251-10)&amp;" "&amp;"ngày",""),IF((NETWORKDAYS(R251,S251,'Danh sách ngày nghỉ lễ'!$B$5:$B$25)-VLOOKUP(P251,'Thời hạn'!$A$17:$B$23,2,0))&gt;1,"Quá hạn"&amp;" "&amp;(NETWORKDAYS(R251,S251,'Danh sách ngày nghỉ lễ'!$B$5:$B$25)-1-VLOOKUP(P251,'Thời hạn'!$A$17:$B$23,2,0))&amp;" "&amp;"ngày","")))))</f>
        <v/>
      </c>
      <c r="AA251" s="23">
        <v>1</v>
      </c>
    </row>
    <row r="252" spans="1:27" s="24" customFormat="1" ht="15.6" x14ac:dyDescent="0.3">
      <c r="A252" s="24">
        <v>1</v>
      </c>
      <c r="B252" s="85"/>
      <c r="C252" s="33"/>
      <c r="D252" s="25"/>
      <c r="E252" s="25"/>
      <c r="F252" s="34"/>
      <c r="G252" s="34"/>
      <c r="H252" s="25"/>
      <c r="I252" s="70" t="str">
        <f>IF(C252="Trả lại đơn vụ","",IF(C252="Trả lại đơn việc","",IF(C252="Hòa giải thành","",IF(F252=0,"",EDATE(F252,VLOOKUP(C252,'Thời hạn'!$A$1:$B$10,2,0))+H252))))</f>
        <v/>
      </c>
      <c r="J252" s="59" t="str">
        <f t="shared" ca="1" si="4"/>
        <v/>
      </c>
      <c r="K252" s="25"/>
      <c r="L252" s="129"/>
      <c r="M252" s="130"/>
      <c r="N252" s="35"/>
      <c r="O252" s="34"/>
      <c r="P252" s="25"/>
      <c r="Q252" s="25"/>
      <c r="R252" s="34"/>
      <c r="S252" s="34"/>
      <c r="T252" s="25"/>
      <c r="U252" s="25"/>
      <c r="V252" s="36"/>
      <c r="W252" s="86"/>
      <c r="X252" s="127"/>
      <c r="Y252" s="71" t="str">
        <f>IF(C252="Trả lại đơn vụ","",IF(C252="Trả lại đơn việc","",IF((NETWORKDAYS(F252,G252,'Danh sách ngày nghỉ lễ'!$B$5:$B$25)-1-3)&gt;0,"Quá hạn"&amp;" "&amp;(NETWORKDAYS(F252,G252,'Danh sách ngày nghỉ lễ'!$B$5:$B$25)-1-3)&amp;" "&amp;"ngày","")))</f>
        <v/>
      </c>
      <c r="Z252" s="72" t="str">
        <f>IF(S252=0,"",IF(P252="Chuyển","",IF(P252="Nhập vào vụ khác","",IF(P252="BA",IF((S252-R252)&gt;10,"Quá hạn"&amp;" "&amp;(S252-R252-10)&amp;" "&amp;"ngày",""),IF((NETWORKDAYS(R252,S252,'Danh sách ngày nghỉ lễ'!$B$5:$B$25)-VLOOKUP(P252,'Thời hạn'!$A$17:$B$23,2,0))&gt;1,"Quá hạn"&amp;" "&amp;(NETWORKDAYS(R252,S252,'Danh sách ngày nghỉ lễ'!$B$5:$B$25)-1-VLOOKUP(P252,'Thời hạn'!$A$17:$B$23,2,0))&amp;" "&amp;"ngày","")))))</f>
        <v/>
      </c>
      <c r="AA252" s="23">
        <v>1</v>
      </c>
    </row>
    <row r="253" spans="1:27" s="24" customFormat="1" ht="15.6" x14ac:dyDescent="0.3">
      <c r="A253" s="24">
        <v>1</v>
      </c>
      <c r="B253" s="85"/>
      <c r="C253" s="33"/>
      <c r="D253" s="25"/>
      <c r="E253" s="25"/>
      <c r="F253" s="34"/>
      <c r="G253" s="34"/>
      <c r="H253" s="25"/>
      <c r="I253" s="70" t="str">
        <f>IF(C253="Trả lại đơn vụ","",IF(C253="Trả lại đơn việc","",IF(C253="Hòa giải thành","",IF(F253=0,"",EDATE(F253,VLOOKUP(C253,'Thời hạn'!$A$1:$B$10,2,0))+H253))))</f>
        <v/>
      </c>
      <c r="J253" s="59" t="str">
        <f t="shared" ca="1" si="4"/>
        <v/>
      </c>
      <c r="K253" s="25"/>
      <c r="L253" s="129"/>
      <c r="M253" s="130"/>
      <c r="N253" s="35"/>
      <c r="O253" s="34"/>
      <c r="P253" s="25"/>
      <c r="Q253" s="25"/>
      <c r="R253" s="34"/>
      <c r="S253" s="34"/>
      <c r="T253" s="25"/>
      <c r="U253" s="25"/>
      <c r="V253" s="36"/>
      <c r="W253" s="86"/>
      <c r="X253" s="127"/>
      <c r="Y253" s="71" t="str">
        <f>IF(C253="Trả lại đơn vụ","",IF(C253="Trả lại đơn việc","",IF((NETWORKDAYS(F253,G253,'Danh sách ngày nghỉ lễ'!$B$5:$B$25)-1-3)&gt;0,"Quá hạn"&amp;" "&amp;(NETWORKDAYS(F253,G253,'Danh sách ngày nghỉ lễ'!$B$5:$B$25)-1-3)&amp;" "&amp;"ngày","")))</f>
        <v/>
      </c>
      <c r="Z253" s="72" t="str">
        <f>IF(S253=0,"",IF(P253="Chuyển","",IF(P253="Nhập vào vụ khác","",IF(P253="BA",IF((S253-R253)&gt;10,"Quá hạn"&amp;" "&amp;(S253-R253-10)&amp;" "&amp;"ngày",""),IF((NETWORKDAYS(R253,S253,'Danh sách ngày nghỉ lễ'!$B$5:$B$25)-VLOOKUP(P253,'Thời hạn'!$A$17:$B$23,2,0))&gt;1,"Quá hạn"&amp;" "&amp;(NETWORKDAYS(R253,S253,'Danh sách ngày nghỉ lễ'!$B$5:$B$25)-1-VLOOKUP(P253,'Thời hạn'!$A$17:$B$23,2,0))&amp;" "&amp;"ngày","")))))</f>
        <v/>
      </c>
      <c r="AA253" s="23">
        <v>1</v>
      </c>
    </row>
    <row r="254" spans="1:27" s="24" customFormat="1" ht="15.6" x14ac:dyDescent="0.3">
      <c r="A254" s="24">
        <v>1</v>
      </c>
      <c r="B254" s="85"/>
      <c r="C254" s="33"/>
      <c r="D254" s="25"/>
      <c r="E254" s="25"/>
      <c r="F254" s="34"/>
      <c r="G254" s="34"/>
      <c r="H254" s="25"/>
      <c r="I254" s="70" t="str">
        <f>IF(C254="Trả lại đơn vụ","",IF(C254="Trả lại đơn việc","",IF(C254="Hòa giải thành","",IF(F254=0,"",EDATE(F254,VLOOKUP(C254,'Thời hạn'!$A$1:$B$10,2,0))+H254))))</f>
        <v/>
      </c>
      <c r="J254" s="59" t="str">
        <f t="shared" ca="1" si="4"/>
        <v/>
      </c>
      <c r="K254" s="25"/>
      <c r="L254" s="129"/>
      <c r="M254" s="130"/>
      <c r="N254" s="35"/>
      <c r="O254" s="34"/>
      <c r="P254" s="25"/>
      <c r="Q254" s="25"/>
      <c r="R254" s="34"/>
      <c r="S254" s="34"/>
      <c r="T254" s="25"/>
      <c r="U254" s="25"/>
      <c r="V254" s="36"/>
      <c r="W254" s="86"/>
      <c r="X254" s="127"/>
      <c r="Y254" s="71" t="str">
        <f>IF(C254="Trả lại đơn vụ","",IF(C254="Trả lại đơn việc","",IF((NETWORKDAYS(F254,G254,'Danh sách ngày nghỉ lễ'!$B$5:$B$25)-1-3)&gt;0,"Quá hạn"&amp;" "&amp;(NETWORKDAYS(F254,G254,'Danh sách ngày nghỉ lễ'!$B$5:$B$25)-1-3)&amp;" "&amp;"ngày","")))</f>
        <v/>
      </c>
      <c r="Z254" s="72" t="str">
        <f>IF(S254=0,"",IF(P254="Chuyển","",IF(P254="Nhập vào vụ khác","",IF(P254="BA",IF((S254-R254)&gt;10,"Quá hạn"&amp;" "&amp;(S254-R254-10)&amp;" "&amp;"ngày",""),IF((NETWORKDAYS(R254,S254,'Danh sách ngày nghỉ lễ'!$B$5:$B$25)-VLOOKUP(P254,'Thời hạn'!$A$17:$B$23,2,0))&gt;1,"Quá hạn"&amp;" "&amp;(NETWORKDAYS(R254,S254,'Danh sách ngày nghỉ lễ'!$B$5:$B$25)-1-VLOOKUP(P254,'Thời hạn'!$A$17:$B$23,2,0))&amp;" "&amp;"ngày","")))))</f>
        <v/>
      </c>
      <c r="AA254" s="23">
        <v>1</v>
      </c>
    </row>
    <row r="255" spans="1:27" s="24" customFormat="1" ht="15.6" x14ac:dyDescent="0.3">
      <c r="A255" s="24">
        <v>1</v>
      </c>
      <c r="B255" s="85"/>
      <c r="C255" s="33"/>
      <c r="D255" s="25"/>
      <c r="E255" s="25"/>
      <c r="F255" s="34"/>
      <c r="G255" s="34"/>
      <c r="H255" s="25"/>
      <c r="I255" s="70" t="str">
        <f>IF(C255="Trả lại đơn vụ","",IF(C255="Trả lại đơn việc","",IF(C255="Hòa giải thành","",IF(F255=0,"",EDATE(F255,VLOOKUP(C255,'Thời hạn'!$A$1:$B$10,2,0))+H255))))</f>
        <v/>
      </c>
      <c r="J255" s="59" t="str">
        <f t="shared" ca="1" si="4"/>
        <v/>
      </c>
      <c r="K255" s="25"/>
      <c r="L255" s="129"/>
      <c r="M255" s="130"/>
      <c r="N255" s="35"/>
      <c r="O255" s="34"/>
      <c r="P255" s="25"/>
      <c r="Q255" s="25"/>
      <c r="R255" s="34"/>
      <c r="S255" s="34"/>
      <c r="T255" s="25"/>
      <c r="U255" s="25"/>
      <c r="V255" s="36"/>
      <c r="W255" s="86"/>
      <c r="X255" s="127"/>
      <c r="Y255" s="71" t="str">
        <f>IF(C255="Trả lại đơn vụ","",IF(C255="Trả lại đơn việc","",IF((NETWORKDAYS(F255,G255,'Danh sách ngày nghỉ lễ'!$B$5:$B$25)-1-3)&gt;0,"Quá hạn"&amp;" "&amp;(NETWORKDAYS(F255,G255,'Danh sách ngày nghỉ lễ'!$B$5:$B$25)-1-3)&amp;" "&amp;"ngày","")))</f>
        <v/>
      </c>
      <c r="Z255" s="72" t="str">
        <f>IF(S255=0,"",IF(P255="Chuyển","",IF(P255="Nhập vào vụ khác","",IF(P255="BA",IF((S255-R255)&gt;10,"Quá hạn"&amp;" "&amp;(S255-R255-10)&amp;" "&amp;"ngày",""),IF((NETWORKDAYS(R255,S255,'Danh sách ngày nghỉ lễ'!$B$5:$B$25)-VLOOKUP(P255,'Thời hạn'!$A$17:$B$23,2,0))&gt;1,"Quá hạn"&amp;" "&amp;(NETWORKDAYS(R255,S255,'Danh sách ngày nghỉ lễ'!$B$5:$B$25)-1-VLOOKUP(P255,'Thời hạn'!$A$17:$B$23,2,0))&amp;" "&amp;"ngày","")))))</f>
        <v/>
      </c>
      <c r="AA255" s="23">
        <v>1</v>
      </c>
    </row>
    <row r="256" spans="1:27" s="24" customFormat="1" ht="15.6" x14ac:dyDescent="0.3">
      <c r="A256" s="24">
        <v>1</v>
      </c>
      <c r="B256" s="85"/>
      <c r="C256" s="33"/>
      <c r="D256" s="25"/>
      <c r="E256" s="25"/>
      <c r="F256" s="34"/>
      <c r="G256" s="34"/>
      <c r="H256" s="25"/>
      <c r="I256" s="70" t="str">
        <f>IF(C256="Trả lại đơn vụ","",IF(C256="Trả lại đơn việc","",IF(C256="Hòa giải thành","",IF(F256=0,"",EDATE(F256,VLOOKUP(C256,'Thời hạn'!$A$1:$B$10,2,0))+H256))))</f>
        <v/>
      </c>
      <c r="J256" s="59" t="str">
        <f t="shared" ca="1" si="4"/>
        <v/>
      </c>
      <c r="K256" s="25"/>
      <c r="L256" s="129"/>
      <c r="M256" s="130"/>
      <c r="N256" s="35"/>
      <c r="O256" s="34"/>
      <c r="P256" s="25"/>
      <c r="Q256" s="25"/>
      <c r="R256" s="34"/>
      <c r="S256" s="34"/>
      <c r="T256" s="25"/>
      <c r="U256" s="25"/>
      <c r="V256" s="36"/>
      <c r="W256" s="86"/>
      <c r="X256" s="127"/>
      <c r="Y256" s="71" t="str">
        <f>IF(C256="Trả lại đơn vụ","",IF(C256="Trả lại đơn việc","",IF((NETWORKDAYS(F256,G256,'Danh sách ngày nghỉ lễ'!$B$5:$B$25)-1-3)&gt;0,"Quá hạn"&amp;" "&amp;(NETWORKDAYS(F256,G256,'Danh sách ngày nghỉ lễ'!$B$5:$B$25)-1-3)&amp;" "&amp;"ngày","")))</f>
        <v/>
      </c>
      <c r="Z256" s="72" t="str">
        <f>IF(S256=0,"",IF(P256="Chuyển","",IF(P256="Nhập vào vụ khác","",IF(P256="BA",IF((S256-R256)&gt;10,"Quá hạn"&amp;" "&amp;(S256-R256-10)&amp;" "&amp;"ngày",""),IF((NETWORKDAYS(R256,S256,'Danh sách ngày nghỉ lễ'!$B$5:$B$25)-VLOOKUP(P256,'Thời hạn'!$A$17:$B$23,2,0))&gt;1,"Quá hạn"&amp;" "&amp;(NETWORKDAYS(R256,S256,'Danh sách ngày nghỉ lễ'!$B$5:$B$25)-1-VLOOKUP(P256,'Thời hạn'!$A$17:$B$23,2,0))&amp;" "&amp;"ngày","")))))</f>
        <v/>
      </c>
      <c r="AA256" s="23">
        <v>1</v>
      </c>
    </row>
    <row r="257" spans="1:27" s="24" customFormat="1" ht="15.6" x14ac:dyDescent="0.3">
      <c r="A257" s="24">
        <v>1</v>
      </c>
      <c r="B257" s="85"/>
      <c r="C257" s="33"/>
      <c r="D257" s="25"/>
      <c r="E257" s="25"/>
      <c r="F257" s="34"/>
      <c r="G257" s="34"/>
      <c r="H257" s="25"/>
      <c r="I257" s="70" t="str">
        <f>IF(C257="Trả lại đơn vụ","",IF(C257="Trả lại đơn việc","",IF(C257="Hòa giải thành","",IF(F257=0,"",EDATE(F257,VLOOKUP(C257,'Thời hạn'!$A$1:$B$10,2,0))+H257))))</f>
        <v/>
      </c>
      <c r="J257" s="59" t="str">
        <f t="shared" ca="1" si="4"/>
        <v/>
      </c>
      <c r="K257" s="25"/>
      <c r="L257" s="129"/>
      <c r="M257" s="130"/>
      <c r="N257" s="35"/>
      <c r="O257" s="34"/>
      <c r="P257" s="25"/>
      <c r="Q257" s="25"/>
      <c r="R257" s="34"/>
      <c r="S257" s="34"/>
      <c r="T257" s="25"/>
      <c r="U257" s="25"/>
      <c r="V257" s="36"/>
      <c r="W257" s="86"/>
      <c r="X257" s="127"/>
      <c r="Y257" s="71" t="str">
        <f>IF(C257="Trả lại đơn vụ","",IF(C257="Trả lại đơn việc","",IF((NETWORKDAYS(F257,G257,'Danh sách ngày nghỉ lễ'!$B$5:$B$25)-1-3)&gt;0,"Quá hạn"&amp;" "&amp;(NETWORKDAYS(F257,G257,'Danh sách ngày nghỉ lễ'!$B$5:$B$25)-1-3)&amp;" "&amp;"ngày","")))</f>
        <v/>
      </c>
      <c r="Z257" s="72" t="str">
        <f>IF(S257=0,"",IF(P257="Chuyển","",IF(P257="Nhập vào vụ khác","",IF(P257="BA",IF((S257-R257)&gt;10,"Quá hạn"&amp;" "&amp;(S257-R257-10)&amp;" "&amp;"ngày",""),IF((NETWORKDAYS(R257,S257,'Danh sách ngày nghỉ lễ'!$B$5:$B$25)-VLOOKUP(P257,'Thời hạn'!$A$17:$B$23,2,0))&gt;1,"Quá hạn"&amp;" "&amp;(NETWORKDAYS(R257,S257,'Danh sách ngày nghỉ lễ'!$B$5:$B$25)-1-VLOOKUP(P257,'Thời hạn'!$A$17:$B$23,2,0))&amp;" "&amp;"ngày","")))))</f>
        <v/>
      </c>
      <c r="AA257" s="23">
        <v>1</v>
      </c>
    </row>
    <row r="258" spans="1:27" s="24" customFormat="1" ht="15.6" x14ac:dyDescent="0.3">
      <c r="A258" s="24">
        <v>1</v>
      </c>
      <c r="B258" s="85"/>
      <c r="C258" s="33"/>
      <c r="D258" s="25"/>
      <c r="E258" s="25"/>
      <c r="F258" s="34"/>
      <c r="G258" s="34"/>
      <c r="H258" s="25"/>
      <c r="I258" s="70" t="str">
        <f>IF(C258="Trả lại đơn vụ","",IF(C258="Trả lại đơn việc","",IF(C258="Hòa giải thành","",IF(F258=0,"",EDATE(F258,VLOOKUP(C258,'Thời hạn'!$A$1:$B$10,2,0))+H258))))</f>
        <v/>
      </c>
      <c r="J258" s="59" t="str">
        <f t="shared" ca="1" si="4"/>
        <v/>
      </c>
      <c r="K258" s="25"/>
      <c r="L258" s="129"/>
      <c r="M258" s="130"/>
      <c r="N258" s="35"/>
      <c r="O258" s="34"/>
      <c r="P258" s="25"/>
      <c r="Q258" s="25"/>
      <c r="R258" s="34"/>
      <c r="S258" s="34"/>
      <c r="T258" s="25"/>
      <c r="U258" s="25"/>
      <c r="V258" s="36"/>
      <c r="W258" s="86"/>
      <c r="X258" s="127"/>
      <c r="Y258" s="71" t="str">
        <f>IF(C258="Trả lại đơn vụ","",IF(C258="Trả lại đơn việc","",IF((NETWORKDAYS(F258,G258,'Danh sách ngày nghỉ lễ'!$B$5:$B$25)-1-3)&gt;0,"Quá hạn"&amp;" "&amp;(NETWORKDAYS(F258,G258,'Danh sách ngày nghỉ lễ'!$B$5:$B$25)-1-3)&amp;" "&amp;"ngày","")))</f>
        <v/>
      </c>
      <c r="Z258" s="72" t="str">
        <f>IF(S258=0,"",IF(P258="Chuyển","",IF(P258="Nhập vào vụ khác","",IF(P258="BA",IF((S258-R258)&gt;10,"Quá hạn"&amp;" "&amp;(S258-R258-10)&amp;" "&amp;"ngày",""),IF((NETWORKDAYS(R258,S258,'Danh sách ngày nghỉ lễ'!$B$5:$B$25)-VLOOKUP(P258,'Thời hạn'!$A$17:$B$23,2,0))&gt;1,"Quá hạn"&amp;" "&amp;(NETWORKDAYS(R258,S258,'Danh sách ngày nghỉ lễ'!$B$5:$B$25)-1-VLOOKUP(P258,'Thời hạn'!$A$17:$B$23,2,0))&amp;" "&amp;"ngày","")))))</f>
        <v/>
      </c>
      <c r="AA258" s="23">
        <v>1</v>
      </c>
    </row>
    <row r="259" spans="1:27" s="24" customFormat="1" ht="15.6" x14ac:dyDescent="0.3">
      <c r="A259" s="24">
        <v>1</v>
      </c>
      <c r="B259" s="85"/>
      <c r="C259" s="33"/>
      <c r="D259" s="25"/>
      <c r="E259" s="25"/>
      <c r="F259" s="34"/>
      <c r="G259" s="34"/>
      <c r="H259" s="25"/>
      <c r="I259" s="70" t="str">
        <f>IF(C259="Trả lại đơn vụ","",IF(C259="Trả lại đơn việc","",IF(C259="Hòa giải thành","",IF(F259=0,"",EDATE(F259,VLOOKUP(C259,'Thời hạn'!$A$1:$B$10,2,0))+H259))))</f>
        <v/>
      </c>
      <c r="J259" s="59" t="str">
        <f t="shared" ca="1" si="4"/>
        <v/>
      </c>
      <c r="K259" s="25"/>
      <c r="L259" s="129"/>
      <c r="M259" s="130"/>
      <c r="N259" s="35"/>
      <c r="O259" s="34"/>
      <c r="P259" s="25"/>
      <c r="Q259" s="25"/>
      <c r="R259" s="34"/>
      <c r="S259" s="34"/>
      <c r="T259" s="25"/>
      <c r="U259" s="25"/>
      <c r="V259" s="36"/>
      <c r="W259" s="86"/>
      <c r="X259" s="127"/>
      <c r="Y259" s="71" t="str">
        <f>IF(C259="Trả lại đơn vụ","",IF(C259="Trả lại đơn việc","",IF((NETWORKDAYS(F259,G259,'Danh sách ngày nghỉ lễ'!$B$5:$B$25)-1-3)&gt;0,"Quá hạn"&amp;" "&amp;(NETWORKDAYS(F259,G259,'Danh sách ngày nghỉ lễ'!$B$5:$B$25)-1-3)&amp;" "&amp;"ngày","")))</f>
        <v/>
      </c>
      <c r="Z259" s="72" t="str">
        <f>IF(S259=0,"",IF(P259="Chuyển","",IF(P259="Nhập vào vụ khác","",IF(P259="BA",IF((S259-R259)&gt;10,"Quá hạn"&amp;" "&amp;(S259-R259-10)&amp;" "&amp;"ngày",""),IF((NETWORKDAYS(R259,S259,'Danh sách ngày nghỉ lễ'!$B$5:$B$25)-VLOOKUP(P259,'Thời hạn'!$A$17:$B$23,2,0))&gt;1,"Quá hạn"&amp;" "&amp;(NETWORKDAYS(R259,S259,'Danh sách ngày nghỉ lễ'!$B$5:$B$25)-1-VLOOKUP(P259,'Thời hạn'!$A$17:$B$23,2,0))&amp;" "&amp;"ngày","")))))</f>
        <v/>
      </c>
      <c r="AA259" s="23">
        <v>1</v>
      </c>
    </row>
    <row r="260" spans="1:27" s="24" customFormat="1" ht="15.6" x14ac:dyDescent="0.3">
      <c r="A260" s="24">
        <v>1</v>
      </c>
      <c r="B260" s="85"/>
      <c r="C260" s="33"/>
      <c r="D260" s="25"/>
      <c r="E260" s="25"/>
      <c r="F260" s="34"/>
      <c r="G260" s="34"/>
      <c r="H260" s="25"/>
      <c r="I260" s="70" t="str">
        <f>IF(C260="Trả lại đơn vụ","",IF(C260="Trả lại đơn việc","",IF(C260="Hòa giải thành","",IF(F260=0,"",EDATE(F260,VLOOKUP(C260,'Thời hạn'!$A$1:$B$10,2,0))+H260))))</f>
        <v/>
      </c>
      <c r="J260" s="59" t="str">
        <f t="shared" ca="1" si="4"/>
        <v/>
      </c>
      <c r="K260" s="25"/>
      <c r="L260" s="129"/>
      <c r="M260" s="130"/>
      <c r="N260" s="35"/>
      <c r="O260" s="34"/>
      <c r="P260" s="25"/>
      <c r="Q260" s="25"/>
      <c r="R260" s="34"/>
      <c r="S260" s="34"/>
      <c r="T260" s="25"/>
      <c r="U260" s="25"/>
      <c r="V260" s="36"/>
      <c r="W260" s="86"/>
      <c r="X260" s="127"/>
      <c r="Y260" s="71" t="str">
        <f>IF(C260="Trả lại đơn vụ","",IF(C260="Trả lại đơn việc","",IF((NETWORKDAYS(F260,G260,'Danh sách ngày nghỉ lễ'!$B$5:$B$25)-1-3)&gt;0,"Quá hạn"&amp;" "&amp;(NETWORKDAYS(F260,G260,'Danh sách ngày nghỉ lễ'!$B$5:$B$25)-1-3)&amp;" "&amp;"ngày","")))</f>
        <v/>
      </c>
      <c r="Z260" s="72" t="str">
        <f>IF(S260=0,"",IF(P260="Chuyển","",IF(P260="Nhập vào vụ khác","",IF(P260="BA",IF((S260-R260)&gt;10,"Quá hạn"&amp;" "&amp;(S260-R260-10)&amp;" "&amp;"ngày",""),IF((NETWORKDAYS(R260,S260,'Danh sách ngày nghỉ lễ'!$B$5:$B$25)-VLOOKUP(P260,'Thời hạn'!$A$17:$B$23,2,0))&gt;1,"Quá hạn"&amp;" "&amp;(NETWORKDAYS(R260,S260,'Danh sách ngày nghỉ lễ'!$B$5:$B$25)-1-VLOOKUP(P260,'Thời hạn'!$A$17:$B$23,2,0))&amp;" "&amp;"ngày","")))))</f>
        <v/>
      </c>
      <c r="AA260" s="23">
        <v>1</v>
      </c>
    </row>
    <row r="261" spans="1:27" s="24" customFormat="1" ht="15.6" x14ac:dyDescent="0.3">
      <c r="A261" s="24">
        <v>1</v>
      </c>
      <c r="B261" s="85"/>
      <c r="C261" s="33"/>
      <c r="D261" s="25"/>
      <c r="E261" s="25"/>
      <c r="F261" s="34"/>
      <c r="G261" s="34"/>
      <c r="H261" s="25"/>
      <c r="I261" s="70" t="str">
        <f>IF(C261="Trả lại đơn vụ","",IF(C261="Trả lại đơn việc","",IF(C261="Hòa giải thành","",IF(F261=0,"",EDATE(F261,VLOOKUP(C261,'Thời hạn'!$A$1:$B$10,2,0))+H261))))</f>
        <v/>
      </c>
      <c r="J261" s="59" t="str">
        <f t="shared" ca="1" si="4"/>
        <v/>
      </c>
      <c r="K261" s="25"/>
      <c r="L261" s="129"/>
      <c r="M261" s="130"/>
      <c r="N261" s="35"/>
      <c r="O261" s="34"/>
      <c r="P261" s="25"/>
      <c r="Q261" s="25"/>
      <c r="R261" s="34"/>
      <c r="S261" s="34"/>
      <c r="T261" s="25"/>
      <c r="U261" s="25"/>
      <c r="V261" s="36"/>
      <c r="W261" s="86"/>
      <c r="X261" s="127"/>
      <c r="Y261" s="71" t="str">
        <f>IF(C261="Trả lại đơn vụ","",IF(C261="Trả lại đơn việc","",IF((NETWORKDAYS(F261,G261,'Danh sách ngày nghỉ lễ'!$B$5:$B$25)-1-3)&gt;0,"Quá hạn"&amp;" "&amp;(NETWORKDAYS(F261,G261,'Danh sách ngày nghỉ lễ'!$B$5:$B$25)-1-3)&amp;" "&amp;"ngày","")))</f>
        <v/>
      </c>
      <c r="Z261" s="72" t="str">
        <f>IF(S261=0,"",IF(P261="Chuyển","",IF(P261="Nhập vào vụ khác","",IF(P261="BA",IF((S261-R261)&gt;10,"Quá hạn"&amp;" "&amp;(S261-R261-10)&amp;" "&amp;"ngày",""),IF((NETWORKDAYS(R261,S261,'Danh sách ngày nghỉ lễ'!$B$5:$B$25)-VLOOKUP(P261,'Thời hạn'!$A$17:$B$23,2,0))&gt;1,"Quá hạn"&amp;" "&amp;(NETWORKDAYS(R261,S261,'Danh sách ngày nghỉ lễ'!$B$5:$B$25)-1-VLOOKUP(P261,'Thời hạn'!$A$17:$B$23,2,0))&amp;" "&amp;"ngày","")))))</f>
        <v/>
      </c>
      <c r="AA261" s="23">
        <v>1</v>
      </c>
    </row>
    <row r="262" spans="1:27" s="24" customFormat="1" ht="15.6" x14ac:dyDescent="0.3">
      <c r="A262" s="24">
        <v>1</v>
      </c>
      <c r="B262" s="85"/>
      <c r="C262" s="33"/>
      <c r="D262" s="25"/>
      <c r="E262" s="25"/>
      <c r="F262" s="34"/>
      <c r="G262" s="34"/>
      <c r="H262" s="25"/>
      <c r="I262" s="70" t="str">
        <f>IF(C262="Trả lại đơn vụ","",IF(C262="Trả lại đơn việc","",IF(C262="Hòa giải thành","",IF(F262=0,"",EDATE(F262,VLOOKUP(C262,'Thời hạn'!$A$1:$B$10,2,0))+H262))))</f>
        <v/>
      </c>
      <c r="J262" s="59" t="str">
        <f t="shared" ca="1" si="4"/>
        <v/>
      </c>
      <c r="K262" s="25"/>
      <c r="L262" s="129"/>
      <c r="M262" s="130"/>
      <c r="N262" s="35"/>
      <c r="O262" s="34"/>
      <c r="P262" s="25"/>
      <c r="Q262" s="25"/>
      <c r="R262" s="34"/>
      <c r="S262" s="34"/>
      <c r="T262" s="25"/>
      <c r="U262" s="25"/>
      <c r="V262" s="36"/>
      <c r="W262" s="86"/>
      <c r="X262" s="127"/>
      <c r="Y262" s="71" t="str">
        <f>IF(C262="Trả lại đơn vụ","",IF(C262="Trả lại đơn việc","",IF((NETWORKDAYS(F262,G262,'Danh sách ngày nghỉ lễ'!$B$5:$B$25)-1-3)&gt;0,"Quá hạn"&amp;" "&amp;(NETWORKDAYS(F262,G262,'Danh sách ngày nghỉ lễ'!$B$5:$B$25)-1-3)&amp;" "&amp;"ngày","")))</f>
        <v/>
      </c>
      <c r="Z262" s="72" t="str">
        <f>IF(S262=0,"",IF(P262="Chuyển","",IF(P262="Nhập vào vụ khác","",IF(P262="BA",IF((S262-R262)&gt;10,"Quá hạn"&amp;" "&amp;(S262-R262-10)&amp;" "&amp;"ngày",""),IF((NETWORKDAYS(R262,S262,'Danh sách ngày nghỉ lễ'!$B$5:$B$25)-VLOOKUP(P262,'Thời hạn'!$A$17:$B$23,2,0))&gt;1,"Quá hạn"&amp;" "&amp;(NETWORKDAYS(R262,S262,'Danh sách ngày nghỉ lễ'!$B$5:$B$25)-1-VLOOKUP(P262,'Thời hạn'!$A$17:$B$23,2,0))&amp;" "&amp;"ngày","")))))</f>
        <v/>
      </c>
      <c r="AA262" s="23">
        <v>1</v>
      </c>
    </row>
    <row r="263" spans="1:27" s="24" customFormat="1" ht="15.6" x14ac:dyDescent="0.3">
      <c r="A263" s="24">
        <v>1</v>
      </c>
      <c r="B263" s="85"/>
      <c r="C263" s="33"/>
      <c r="D263" s="25"/>
      <c r="E263" s="25"/>
      <c r="F263" s="34"/>
      <c r="G263" s="34"/>
      <c r="H263" s="25"/>
      <c r="I263" s="70" t="str">
        <f>IF(C263="Trả lại đơn vụ","",IF(C263="Trả lại đơn việc","",IF(C263="Hòa giải thành","",IF(F263=0,"",EDATE(F263,VLOOKUP(C263,'Thời hạn'!$A$1:$B$10,2,0))+H263))))</f>
        <v/>
      </c>
      <c r="J263" s="59" t="str">
        <f t="shared" ca="1" si="4"/>
        <v/>
      </c>
      <c r="K263" s="25"/>
      <c r="L263" s="129"/>
      <c r="M263" s="130"/>
      <c r="N263" s="35"/>
      <c r="O263" s="34"/>
      <c r="P263" s="25"/>
      <c r="Q263" s="25"/>
      <c r="R263" s="34"/>
      <c r="S263" s="34"/>
      <c r="T263" s="25"/>
      <c r="U263" s="25"/>
      <c r="V263" s="36"/>
      <c r="W263" s="86"/>
      <c r="X263" s="127"/>
      <c r="Y263" s="71" t="str">
        <f>IF(C263="Trả lại đơn vụ","",IF(C263="Trả lại đơn việc","",IF((NETWORKDAYS(F263,G263,'Danh sách ngày nghỉ lễ'!$B$5:$B$25)-1-3)&gt;0,"Quá hạn"&amp;" "&amp;(NETWORKDAYS(F263,G263,'Danh sách ngày nghỉ lễ'!$B$5:$B$25)-1-3)&amp;" "&amp;"ngày","")))</f>
        <v/>
      </c>
      <c r="Z263" s="72" t="str">
        <f>IF(S263=0,"",IF(P263="Chuyển","",IF(P263="Nhập vào vụ khác","",IF(P263="BA",IF((S263-R263)&gt;10,"Quá hạn"&amp;" "&amp;(S263-R263-10)&amp;" "&amp;"ngày",""),IF((NETWORKDAYS(R263,S263,'Danh sách ngày nghỉ lễ'!$B$5:$B$25)-VLOOKUP(P263,'Thời hạn'!$A$17:$B$23,2,0))&gt;1,"Quá hạn"&amp;" "&amp;(NETWORKDAYS(R263,S263,'Danh sách ngày nghỉ lễ'!$B$5:$B$25)-1-VLOOKUP(P263,'Thời hạn'!$A$17:$B$23,2,0))&amp;" "&amp;"ngày","")))))</f>
        <v/>
      </c>
      <c r="AA263" s="23">
        <v>1</v>
      </c>
    </row>
    <row r="264" spans="1:27" s="24" customFormat="1" ht="15.6" x14ac:dyDescent="0.3">
      <c r="A264" s="24">
        <v>1</v>
      </c>
      <c r="B264" s="85"/>
      <c r="C264" s="33"/>
      <c r="D264" s="25"/>
      <c r="E264" s="25"/>
      <c r="F264" s="34"/>
      <c r="G264" s="34"/>
      <c r="H264" s="25"/>
      <c r="I264" s="70" t="str">
        <f>IF(C264="Trả lại đơn vụ","",IF(C264="Trả lại đơn việc","",IF(C264="Hòa giải thành","",IF(F264=0,"",EDATE(F264,VLOOKUP(C264,'Thời hạn'!$A$1:$B$10,2,0))+H264))))</f>
        <v/>
      </c>
      <c r="J264" s="59" t="str">
        <f t="shared" ca="1" si="4"/>
        <v/>
      </c>
      <c r="K264" s="25"/>
      <c r="L264" s="129"/>
      <c r="M264" s="130"/>
      <c r="N264" s="35"/>
      <c r="O264" s="34"/>
      <c r="P264" s="25"/>
      <c r="Q264" s="25"/>
      <c r="R264" s="34"/>
      <c r="S264" s="34"/>
      <c r="T264" s="25"/>
      <c r="U264" s="25"/>
      <c r="V264" s="36"/>
      <c r="W264" s="86"/>
      <c r="X264" s="127"/>
      <c r="Y264" s="71" t="str">
        <f>IF(C264="Trả lại đơn vụ","",IF(C264="Trả lại đơn việc","",IF((NETWORKDAYS(F264,G264,'Danh sách ngày nghỉ lễ'!$B$5:$B$25)-1-3)&gt;0,"Quá hạn"&amp;" "&amp;(NETWORKDAYS(F264,G264,'Danh sách ngày nghỉ lễ'!$B$5:$B$25)-1-3)&amp;" "&amp;"ngày","")))</f>
        <v/>
      </c>
      <c r="Z264" s="72" t="str">
        <f>IF(S264=0,"",IF(P264="Chuyển","",IF(P264="Nhập vào vụ khác","",IF(P264="BA",IF((S264-R264)&gt;10,"Quá hạn"&amp;" "&amp;(S264-R264-10)&amp;" "&amp;"ngày",""),IF((NETWORKDAYS(R264,S264,'Danh sách ngày nghỉ lễ'!$B$5:$B$25)-VLOOKUP(P264,'Thời hạn'!$A$17:$B$23,2,0))&gt;1,"Quá hạn"&amp;" "&amp;(NETWORKDAYS(R264,S264,'Danh sách ngày nghỉ lễ'!$B$5:$B$25)-1-VLOOKUP(P264,'Thời hạn'!$A$17:$B$23,2,0))&amp;" "&amp;"ngày","")))))</f>
        <v/>
      </c>
      <c r="AA264" s="23">
        <v>1</v>
      </c>
    </row>
    <row r="265" spans="1:27" s="24" customFormat="1" ht="15.6" x14ac:dyDescent="0.3">
      <c r="A265" s="24">
        <v>1</v>
      </c>
      <c r="B265" s="85"/>
      <c r="C265" s="33"/>
      <c r="D265" s="25"/>
      <c r="E265" s="25"/>
      <c r="F265" s="34"/>
      <c r="G265" s="34"/>
      <c r="H265" s="25"/>
      <c r="I265" s="70" t="str">
        <f>IF(C265="Trả lại đơn vụ","",IF(C265="Trả lại đơn việc","",IF(C265="Hòa giải thành","",IF(F265=0,"",EDATE(F265,VLOOKUP(C265,'Thời hạn'!$A$1:$B$10,2,0))+H265))))</f>
        <v/>
      </c>
      <c r="J265" s="59" t="str">
        <f t="shared" ca="1" si="4"/>
        <v/>
      </c>
      <c r="K265" s="25"/>
      <c r="L265" s="129"/>
      <c r="M265" s="130"/>
      <c r="N265" s="35"/>
      <c r="O265" s="34"/>
      <c r="P265" s="25"/>
      <c r="Q265" s="25"/>
      <c r="R265" s="34"/>
      <c r="S265" s="34"/>
      <c r="T265" s="25"/>
      <c r="U265" s="25"/>
      <c r="V265" s="36"/>
      <c r="W265" s="86"/>
      <c r="X265" s="127"/>
      <c r="Y265" s="71" t="str">
        <f>IF(C265="Trả lại đơn vụ","",IF(C265="Trả lại đơn việc","",IF((NETWORKDAYS(F265,G265,'Danh sách ngày nghỉ lễ'!$B$5:$B$25)-1-3)&gt;0,"Quá hạn"&amp;" "&amp;(NETWORKDAYS(F265,G265,'Danh sách ngày nghỉ lễ'!$B$5:$B$25)-1-3)&amp;" "&amp;"ngày","")))</f>
        <v/>
      </c>
      <c r="Z265" s="72" t="str">
        <f>IF(S265=0,"",IF(P265="Chuyển","",IF(P265="Nhập vào vụ khác","",IF(P265="BA",IF((S265-R265)&gt;10,"Quá hạn"&amp;" "&amp;(S265-R265-10)&amp;" "&amp;"ngày",""),IF((NETWORKDAYS(R265,S265,'Danh sách ngày nghỉ lễ'!$B$5:$B$25)-VLOOKUP(P265,'Thời hạn'!$A$17:$B$23,2,0))&gt;1,"Quá hạn"&amp;" "&amp;(NETWORKDAYS(R265,S265,'Danh sách ngày nghỉ lễ'!$B$5:$B$25)-1-VLOOKUP(P265,'Thời hạn'!$A$17:$B$23,2,0))&amp;" "&amp;"ngày","")))))</f>
        <v/>
      </c>
      <c r="AA265" s="23">
        <v>1</v>
      </c>
    </row>
    <row r="266" spans="1:27" s="24" customFormat="1" ht="15.6" x14ac:dyDescent="0.3">
      <c r="A266" s="24">
        <v>1</v>
      </c>
      <c r="B266" s="85"/>
      <c r="C266" s="33"/>
      <c r="D266" s="25"/>
      <c r="E266" s="25"/>
      <c r="F266" s="34"/>
      <c r="G266" s="34"/>
      <c r="H266" s="25"/>
      <c r="I266" s="70" t="str">
        <f>IF(C266="Trả lại đơn vụ","",IF(C266="Trả lại đơn việc","",IF(C266="Hòa giải thành","",IF(F266=0,"",EDATE(F266,VLOOKUP(C266,'Thời hạn'!$A$1:$B$10,2,0))+H266))))</f>
        <v/>
      </c>
      <c r="J266" s="59" t="str">
        <f t="shared" ca="1" si="4"/>
        <v/>
      </c>
      <c r="K266" s="25"/>
      <c r="L266" s="129"/>
      <c r="M266" s="130"/>
      <c r="N266" s="35"/>
      <c r="O266" s="34"/>
      <c r="P266" s="25"/>
      <c r="Q266" s="25"/>
      <c r="R266" s="34"/>
      <c r="S266" s="34"/>
      <c r="T266" s="25"/>
      <c r="U266" s="25"/>
      <c r="V266" s="36"/>
      <c r="W266" s="86"/>
      <c r="X266" s="127"/>
      <c r="Y266" s="71" t="str">
        <f>IF(C266="Trả lại đơn vụ","",IF(C266="Trả lại đơn việc","",IF((NETWORKDAYS(F266,G266,'Danh sách ngày nghỉ lễ'!$B$5:$B$25)-1-3)&gt;0,"Quá hạn"&amp;" "&amp;(NETWORKDAYS(F266,G266,'Danh sách ngày nghỉ lễ'!$B$5:$B$25)-1-3)&amp;" "&amp;"ngày","")))</f>
        <v/>
      </c>
      <c r="Z266" s="72" t="str">
        <f>IF(S266=0,"",IF(P266="Chuyển","",IF(P266="Nhập vào vụ khác","",IF(P266="BA",IF((S266-R266)&gt;10,"Quá hạn"&amp;" "&amp;(S266-R266-10)&amp;" "&amp;"ngày",""),IF((NETWORKDAYS(R266,S266,'Danh sách ngày nghỉ lễ'!$B$5:$B$25)-VLOOKUP(P266,'Thời hạn'!$A$17:$B$23,2,0))&gt;1,"Quá hạn"&amp;" "&amp;(NETWORKDAYS(R266,S266,'Danh sách ngày nghỉ lễ'!$B$5:$B$25)-1-VLOOKUP(P266,'Thời hạn'!$A$17:$B$23,2,0))&amp;" "&amp;"ngày","")))))</f>
        <v/>
      </c>
      <c r="AA266" s="23">
        <v>1</v>
      </c>
    </row>
    <row r="267" spans="1:27" s="24" customFormat="1" ht="15.6" x14ac:dyDescent="0.3">
      <c r="A267" s="24">
        <v>1</v>
      </c>
      <c r="B267" s="85"/>
      <c r="C267" s="33"/>
      <c r="D267" s="25"/>
      <c r="E267" s="25"/>
      <c r="F267" s="34"/>
      <c r="G267" s="34"/>
      <c r="H267" s="25"/>
      <c r="I267" s="70" t="str">
        <f>IF(C267="Trả lại đơn vụ","",IF(C267="Trả lại đơn việc","",IF(C267="Hòa giải thành","",IF(F267=0,"",EDATE(F267,VLOOKUP(C267,'Thời hạn'!$A$1:$B$10,2,0))+H267))))</f>
        <v/>
      </c>
      <c r="J267" s="59" t="str">
        <f t="shared" ca="1" si="4"/>
        <v/>
      </c>
      <c r="K267" s="25"/>
      <c r="L267" s="129"/>
      <c r="M267" s="130"/>
      <c r="N267" s="35"/>
      <c r="O267" s="34"/>
      <c r="P267" s="25"/>
      <c r="Q267" s="25"/>
      <c r="R267" s="34"/>
      <c r="S267" s="34"/>
      <c r="T267" s="25"/>
      <c r="U267" s="25"/>
      <c r="V267" s="36"/>
      <c r="W267" s="86"/>
      <c r="X267" s="127"/>
      <c r="Y267" s="71" t="str">
        <f>IF(C267="Trả lại đơn vụ","",IF(C267="Trả lại đơn việc","",IF((NETWORKDAYS(F267,G267,'Danh sách ngày nghỉ lễ'!$B$5:$B$25)-1-3)&gt;0,"Quá hạn"&amp;" "&amp;(NETWORKDAYS(F267,G267,'Danh sách ngày nghỉ lễ'!$B$5:$B$25)-1-3)&amp;" "&amp;"ngày","")))</f>
        <v/>
      </c>
      <c r="Z267" s="72" t="str">
        <f>IF(S267=0,"",IF(P267="Chuyển","",IF(P267="Nhập vào vụ khác","",IF(P267="BA",IF((S267-R267)&gt;10,"Quá hạn"&amp;" "&amp;(S267-R267-10)&amp;" "&amp;"ngày",""),IF((NETWORKDAYS(R267,S267,'Danh sách ngày nghỉ lễ'!$B$5:$B$25)-VLOOKUP(P267,'Thời hạn'!$A$17:$B$23,2,0))&gt;1,"Quá hạn"&amp;" "&amp;(NETWORKDAYS(R267,S267,'Danh sách ngày nghỉ lễ'!$B$5:$B$25)-1-VLOOKUP(P267,'Thời hạn'!$A$17:$B$23,2,0))&amp;" "&amp;"ngày","")))))</f>
        <v/>
      </c>
      <c r="AA267" s="23">
        <v>1</v>
      </c>
    </row>
    <row r="268" spans="1:27" s="24" customFormat="1" ht="15.6" x14ac:dyDescent="0.3">
      <c r="A268" s="24">
        <v>1</v>
      </c>
      <c r="B268" s="85"/>
      <c r="C268" s="33"/>
      <c r="D268" s="25"/>
      <c r="E268" s="25"/>
      <c r="F268" s="34"/>
      <c r="G268" s="34"/>
      <c r="H268" s="25"/>
      <c r="I268" s="70" t="str">
        <f>IF(C268="Trả lại đơn vụ","",IF(C268="Trả lại đơn việc","",IF(C268="Hòa giải thành","",IF(F268=0,"",EDATE(F268,VLOOKUP(C268,'Thời hạn'!$A$1:$B$10,2,0))+H268))))</f>
        <v/>
      </c>
      <c r="J268" s="59" t="str">
        <f t="shared" ca="1" si="4"/>
        <v/>
      </c>
      <c r="K268" s="25"/>
      <c r="L268" s="129"/>
      <c r="M268" s="130"/>
      <c r="N268" s="35"/>
      <c r="O268" s="34"/>
      <c r="P268" s="25"/>
      <c r="Q268" s="25"/>
      <c r="R268" s="34"/>
      <c r="S268" s="34"/>
      <c r="T268" s="25"/>
      <c r="U268" s="25"/>
      <c r="V268" s="36"/>
      <c r="W268" s="86"/>
      <c r="X268" s="127"/>
      <c r="Y268" s="71" t="str">
        <f>IF(C268="Trả lại đơn vụ","",IF(C268="Trả lại đơn việc","",IF((NETWORKDAYS(F268,G268,'Danh sách ngày nghỉ lễ'!$B$5:$B$25)-1-3)&gt;0,"Quá hạn"&amp;" "&amp;(NETWORKDAYS(F268,G268,'Danh sách ngày nghỉ lễ'!$B$5:$B$25)-1-3)&amp;" "&amp;"ngày","")))</f>
        <v/>
      </c>
      <c r="Z268" s="72" t="str">
        <f>IF(S268=0,"",IF(P268="Chuyển","",IF(P268="Nhập vào vụ khác","",IF(P268="BA",IF((S268-R268)&gt;10,"Quá hạn"&amp;" "&amp;(S268-R268-10)&amp;" "&amp;"ngày",""),IF((NETWORKDAYS(R268,S268,'Danh sách ngày nghỉ lễ'!$B$5:$B$25)-VLOOKUP(P268,'Thời hạn'!$A$17:$B$23,2,0))&gt;1,"Quá hạn"&amp;" "&amp;(NETWORKDAYS(R268,S268,'Danh sách ngày nghỉ lễ'!$B$5:$B$25)-1-VLOOKUP(P268,'Thời hạn'!$A$17:$B$23,2,0))&amp;" "&amp;"ngày","")))))</f>
        <v/>
      </c>
      <c r="AA268" s="23">
        <v>1</v>
      </c>
    </row>
    <row r="269" spans="1:27" s="24" customFormat="1" ht="15.6" x14ac:dyDescent="0.3">
      <c r="A269" s="24">
        <v>1</v>
      </c>
      <c r="B269" s="85"/>
      <c r="C269" s="33"/>
      <c r="D269" s="25"/>
      <c r="E269" s="25"/>
      <c r="F269" s="34"/>
      <c r="G269" s="34"/>
      <c r="H269" s="25"/>
      <c r="I269" s="70" t="str">
        <f>IF(C269="Trả lại đơn vụ","",IF(C269="Trả lại đơn việc","",IF(C269="Hòa giải thành","",IF(F269=0,"",EDATE(F269,VLOOKUP(C269,'Thời hạn'!$A$1:$B$10,2,0))+H269))))</f>
        <v/>
      </c>
      <c r="J269" s="59" t="str">
        <f t="shared" ca="1" si="4"/>
        <v/>
      </c>
      <c r="K269" s="25"/>
      <c r="L269" s="129"/>
      <c r="M269" s="130"/>
      <c r="N269" s="35"/>
      <c r="O269" s="34"/>
      <c r="P269" s="25"/>
      <c r="Q269" s="25"/>
      <c r="R269" s="34"/>
      <c r="S269" s="34"/>
      <c r="T269" s="25"/>
      <c r="U269" s="25"/>
      <c r="V269" s="36"/>
      <c r="W269" s="86"/>
      <c r="X269" s="127"/>
      <c r="Y269" s="71" t="str">
        <f>IF(C269="Trả lại đơn vụ","",IF(C269="Trả lại đơn việc","",IF((NETWORKDAYS(F269,G269,'Danh sách ngày nghỉ lễ'!$B$5:$B$25)-1-3)&gt;0,"Quá hạn"&amp;" "&amp;(NETWORKDAYS(F269,G269,'Danh sách ngày nghỉ lễ'!$B$5:$B$25)-1-3)&amp;" "&amp;"ngày","")))</f>
        <v/>
      </c>
      <c r="Z269" s="72" t="str">
        <f>IF(S269=0,"",IF(P269="Chuyển","",IF(P269="Nhập vào vụ khác","",IF(P269="BA",IF((S269-R269)&gt;10,"Quá hạn"&amp;" "&amp;(S269-R269-10)&amp;" "&amp;"ngày",""),IF((NETWORKDAYS(R269,S269,'Danh sách ngày nghỉ lễ'!$B$5:$B$25)-VLOOKUP(P269,'Thời hạn'!$A$17:$B$23,2,0))&gt;1,"Quá hạn"&amp;" "&amp;(NETWORKDAYS(R269,S269,'Danh sách ngày nghỉ lễ'!$B$5:$B$25)-1-VLOOKUP(P269,'Thời hạn'!$A$17:$B$23,2,0))&amp;" "&amp;"ngày","")))))</f>
        <v/>
      </c>
      <c r="AA269" s="23">
        <v>1</v>
      </c>
    </row>
    <row r="270" spans="1:27" s="24" customFormat="1" ht="15.6" x14ac:dyDescent="0.3">
      <c r="A270" s="24">
        <v>1</v>
      </c>
      <c r="B270" s="85"/>
      <c r="C270" s="33"/>
      <c r="D270" s="25"/>
      <c r="E270" s="25"/>
      <c r="F270" s="34"/>
      <c r="G270" s="34"/>
      <c r="H270" s="25"/>
      <c r="I270" s="70" t="str">
        <f>IF(C270="Trả lại đơn vụ","",IF(C270="Trả lại đơn việc","",IF(C270="Hòa giải thành","",IF(F270=0,"",EDATE(F270,VLOOKUP(C270,'Thời hạn'!$A$1:$B$10,2,0))+H270))))</f>
        <v/>
      </c>
      <c r="J270" s="59" t="str">
        <f t="shared" ca="1" si="4"/>
        <v/>
      </c>
      <c r="K270" s="25"/>
      <c r="L270" s="129"/>
      <c r="M270" s="130"/>
      <c r="N270" s="35"/>
      <c r="O270" s="34"/>
      <c r="P270" s="25"/>
      <c r="Q270" s="25"/>
      <c r="R270" s="34"/>
      <c r="S270" s="34"/>
      <c r="T270" s="25"/>
      <c r="U270" s="25"/>
      <c r="V270" s="36"/>
      <c r="W270" s="86"/>
      <c r="X270" s="127"/>
      <c r="Y270" s="71" t="str">
        <f>IF(C270="Trả lại đơn vụ","",IF(C270="Trả lại đơn việc","",IF((NETWORKDAYS(F270,G270,'Danh sách ngày nghỉ lễ'!$B$5:$B$25)-1-3)&gt;0,"Quá hạn"&amp;" "&amp;(NETWORKDAYS(F270,G270,'Danh sách ngày nghỉ lễ'!$B$5:$B$25)-1-3)&amp;" "&amp;"ngày","")))</f>
        <v/>
      </c>
      <c r="Z270" s="72" t="str">
        <f>IF(S270=0,"",IF(P270="Chuyển","",IF(P270="Nhập vào vụ khác","",IF(P270="BA",IF((S270-R270)&gt;10,"Quá hạn"&amp;" "&amp;(S270-R270-10)&amp;" "&amp;"ngày",""),IF((NETWORKDAYS(R270,S270,'Danh sách ngày nghỉ lễ'!$B$5:$B$25)-VLOOKUP(P270,'Thời hạn'!$A$17:$B$23,2,0))&gt;1,"Quá hạn"&amp;" "&amp;(NETWORKDAYS(R270,S270,'Danh sách ngày nghỉ lễ'!$B$5:$B$25)-1-VLOOKUP(P270,'Thời hạn'!$A$17:$B$23,2,0))&amp;" "&amp;"ngày","")))))</f>
        <v/>
      </c>
      <c r="AA270" s="23">
        <v>1</v>
      </c>
    </row>
    <row r="271" spans="1:27" s="24" customFormat="1" ht="15.6" x14ac:dyDescent="0.3">
      <c r="A271" s="24">
        <v>1</v>
      </c>
      <c r="B271" s="39"/>
      <c r="C271" s="33"/>
      <c r="D271" s="25"/>
      <c r="E271" s="25"/>
      <c r="F271" s="34"/>
      <c r="G271" s="34"/>
      <c r="H271" s="25"/>
      <c r="I271" s="70" t="str">
        <f>IF(C271="Trả lại đơn vụ","",IF(C271="Trả lại đơn việc","",IF(C271="Hòa giải thành","",IF(F271=0,"",EDATE(F271,VLOOKUP(C271,'Thời hạn'!$A$1:$B$10,2,0))+H271))))</f>
        <v/>
      </c>
      <c r="J271" s="59" t="str">
        <f t="shared" ca="1" si="4"/>
        <v/>
      </c>
      <c r="K271" s="25"/>
      <c r="L271" s="129"/>
      <c r="M271" s="130"/>
      <c r="N271" s="35"/>
      <c r="O271" s="34"/>
      <c r="P271" s="25"/>
      <c r="Q271" s="25"/>
      <c r="R271" s="34"/>
      <c r="S271" s="34"/>
      <c r="T271" s="25"/>
      <c r="U271" s="25"/>
      <c r="V271" s="36"/>
      <c r="W271" s="86"/>
      <c r="X271" s="127"/>
      <c r="Y271" s="71" t="str">
        <f>IF(C271="Trả lại đơn vụ","",IF(C271="Trả lại đơn việc","",IF((NETWORKDAYS(F271,G271,'Danh sách ngày nghỉ lễ'!$B$5:$B$25)-1-3)&gt;0,"Quá hạn"&amp;" "&amp;(NETWORKDAYS(F271,G271,'Danh sách ngày nghỉ lễ'!$B$5:$B$25)-1-3)&amp;" "&amp;"ngày","")))</f>
        <v/>
      </c>
      <c r="Z271" s="72" t="str">
        <f>IF(S271=0,"",IF(P271="Chuyển","",IF(P271="Nhập vào vụ khác","",IF(P271="BA",IF((S271-R271)&gt;10,"Quá hạn"&amp;" "&amp;(S271-R271-10)&amp;" "&amp;"ngày",""),IF((NETWORKDAYS(R271,S271,'Danh sách ngày nghỉ lễ'!$B$5:$B$25)-VLOOKUP(P271,'Thời hạn'!$A$17:$B$23,2,0))&gt;1,"Quá hạn"&amp;" "&amp;(NETWORKDAYS(R271,S271,'Danh sách ngày nghỉ lễ'!$B$5:$B$25)-1-VLOOKUP(P271,'Thời hạn'!$A$17:$B$23,2,0))&amp;" "&amp;"ngày","")))))</f>
        <v/>
      </c>
      <c r="AA271" s="23">
        <v>1</v>
      </c>
    </row>
    <row r="272" spans="1:27" s="24" customFormat="1" ht="15.6" x14ac:dyDescent="0.3">
      <c r="A272" s="24">
        <v>1</v>
      </c>
      <c r="B272" s="39"/>
      <c r="C272" s="33"/>
      <c r="D272" s="25"/>
      <c r="E272" s="25"/>
      <c r="F272" s="34"/>
      <c r="G272" s="34"/>
      <c r="H272" s="25"/>
      <c r="I272" s="70" t="str">
        <f>IF(C272="Trả lại đơn vụ","",IF(C272="Trả lại đơn việc","",IF(C272="Hòa giải thành","",IF(F272=0,"",EDATE(F272,VLOOKUP(C272,'Thời hạn'!$A$1:$B$10,2,0))+H272))))</f>
        <v/>
      </c>
      <c r="J272" s="59" t="str">
        <f t="shared" ca="1" si="4"/>
        <v/>
      </c>
      <c r="K272" s="25"/>
      <c r="L272" s="129"/>
      <c r="M272" s="130"/>
      <c r="N272" s="35"/>
      <c r="O272" s="34"/>
      <c r="P272" s="25"/>
      <c r="Q272" s="25"/>
      <c r="R272" s="34"/>
      <c r="S272" s="34"/>
      <c r="T272" s="25"/>
      <c r="U272" s="25"/>
      <c r="V272" s="36"/>
      <c r="W272" s="86"/>
      <c r="X272" s="127"/>
      <c r="Y272" s="71" t="str">
        <f>IF(C272="Trả lại đơn vụ","",IF(C272="Trả lại đơn việc","",IF((NETWORKDAYS(F272,G272,'Danh sách ngày nghỉ lễ'!$B$5:$B$25)-1-3)&gt;0,"Quá hạn"&amp;" "&amp;(NETWORKDAYS(F272,G272,'Danh sách ngày nghỉ lễ'!$B$5:$B$25)-1-3)&amp;" "&amp;"ngày","")))</f>
        <v/>
      </c>
      <c r="Z272" s="72" t="str">
        <f>IF(S272=0,"",IF(P272="Chuyển","",IF(P272="Nhập vào vụ khác","",IF(P272="BA",IF((S272-R272)&gt;10,"Quá hạn"&amp;" "&amp;(S272-R272-10)&amp;" "&amp;"ngày",""),IF((NETWORKDAYS(R272,S272,'Danh sách ngày nghỉ lễ'!$B$5:$B$25)-VLOOKUP(P272,'Thời hạn'!$A$17:$B$23,2,0))&gt;1,"Quá hạn"&amp;" "&amp;(NETWORKDAYS(R272,S272,'Danh sách ngày nghỉ lễ'!$B$5:$B$25)-1-VLOOKUP(P272,'Thời hạn'!$A$17:$B$23,2,0))&amp;" "&amp;"ngày","")))))</f>
        <v/>
      </c>
      <c r="AA272" s="23">
        <v>1</v>
      </c>
    </row>
    <row r="273" spans="1:27" s="24" customFormat="1" ht="15.6" x14ac:dyDescent="0.3">
      <c r="A273" s="24">
        <v>1</v>
      </c>
      <c r="B273" s="39"/>
      <c r="C273" s="33"/>
      <c r="D273" s="25"/>
      <c r="E273" s="25"/>
      <c r="F273" s="34"/>
      <c r="G273" s="34"/>
      <c r="H273" s="25"/>
      <c r="I273" s="70" t="str">
        <f>IF(C273="Trả lại đơn vụ","",IF(C273="Trả lại đơn việc","",IF(C273="Hòa giải thành","",IF(F273=0,"",EDATE(F273,VLOOKUP(C273,'Thời hạn'!$A$1:$B$10,2,0))+H273))))</f>
        <v/>
      </c>
      <c r="J273" s="59" t="str">
        <f t="shared" ca="1" si="4"/>
        <v/>
      </c>
      <c r="K273" s="25"/>
      <c r="L273" s="129"/>
      <c r="M273" s="130"/>
      <c r="N273" s="35"/>
      <c r="O273" s="34"/>
      <c r="P273" s="25"/>
      <c r="Q273" s="25"/>
      <c r="R273" s="34"/>
      <c r="S273" s="34"/>
      <c r="T273" s="25"/>
      <c r="U273" s="25"/>
      <c r="V273" s="36"/>
      <c r="W273" s="86"/>
      <c r="X273" s="127"/>
      <c r="Y273" s="71" t="str">
        <f>IF(C273="Trả lại đơn vụ","",IF(C273="Trả lại đơn việc","",IF((NETWORKDAYS(F273,G273,'Danh sách ngày nghỉ lễ'!$B$5:$B$25)-1-3)&gt;0,"Quá hạn"&amp;" "&amp;(NETWORKDAYS(F273,G273,'Danh sách ngày nghỉ lễ'!$B$5:$B$25)-1-3)&amp;" "&amp;"ngày","")))</f>
        <v/>
      </c>
      <c r="Z273" s="72" t="str">
        <f>IF(S273=0,"",IF(P273="Chuyển","",IF(P273="Nhập vào vụ khác","",IF(P273="BA",IF((S273-R273)&gt;10,"Quá hạn"&amp;" "&amp;(S273-R273-10)&amp;" "&amp;"ngày",""),IF((NETWORKDAYS(R273,S273,'Danh sách ngày nghỉ lễ'!$B$5:$B$25)-VLOOKUP(P273,'Thời hạn'!$A$17:$B$23,2,0))&gt;1,"Quá hạn"&amp;" "&amp;(NETWORKDAYS(R273,S273,'Danh sách ngày nghỉ lễ'!$B$5:$B$25)-1-VLOOKUP(P273,'Thời hạn'!$A$17:$B$23,2,0))&amp;" "&amp;"ngày","")))))</f>
        <v/>
      </c>
      <c r="AA273" s="23">
        <v>1</v>
      </c>
    </row>
    <row r="274" spans="1:27" s="24" customFormat="1" ht="15.6" x14ac:dyDescent="0.3">
      <c r="A274" s="24">
        <v>1</v>
      </c>
      <c r="B274" s="39"/>
      <c r="C274" s="33"/>
      <c r="D274" s="25"/>
      <c r="E274" s="25"/>
      <c r="F274" s="34"/>
      <c r="G274" s="34"/>
      <c r="H274" s="25"/>
      <c r="I274" s="70" t="str">
        <f>IF(C274="Trả lại đơn vụ","",IF(C274="Trả lại đơn việc","",IF(C274="Hòa giải thành","",IF(F274=0,"",EDATE(F274,VLOOKUP(C274,'Thời hạn'!$A$1:$B$10,2,0))+H274))))</f>
        <v/>
      </c>
      <c r="J274" s="59" t="str">
        <f t="shared" ca="1" si="4"/>
        <v/>
      </c>
      <c r="K274" s="25"/>
      <c r="L274" s="129"/>
      <c r="M274" s="130"/>
      <c r="N274" s="35"/>
      <c r="O274" s="34"/>
      <c r="P274" s="25"/>
      <c r="Q274" s="25"/>
      <c r="R274" s="34"/>
      <c r="S274" s="34"/>
      <c r="T274" s="25"/>
      <c r="U274" s="25"/>
      <c r="V274" s="36"/>
      <c r="W274" s="86"/>
      <c r="X274" s="127"/>
      <c r="Y274" s="71" t="str">
        <f>IF(C274="Trả lại đơn vụ","",IF(C274="Trả lại đơn việc","",IF((NETWORKDAYS(F274,G274,'Danh sách ngày nghỉ lễ'!$B$5:$B$25)-1-3)&gt;0,"Quá hạn"&amp;" "&amp;(NETWORKDAYS(F274,G274,'Danh sách ngày nghỉ lễ'!$B$5:$B$25)-1-3)&amp;" "&amp;"ngày","")))</f>
        <v/>
      </c>
      <c r="Z274" s="72" t="str">
        <f>IF(S274=0,"",IF(P274="Chuyển","",IF(P274="Nhập vào vụ khác","",IF(P274="BA",IF((S274-R274)&gt;10,"Quá hạn"&amp;" "&amp;(S274-R274-10)&amp;" "&amp;"ngày",""),IF((NETWORKDAYS(R274,S274,'Danh sách ngày nghỉ lễ'!$B$5:$B$25)-VLOOKUP(P274,'Thời hạn'!$A$17:$B$23,2,0))&gt;1,"Quá hạn"&amp;" "&amp;(NETWORKDAYS(R274,S274,'Danh sách ngày nghỉ lễ'!$B$5:$B$25)-1-VLOOKUP(P274,'Thời hạn'!$A$17:$B$23,2,0))&amp;" "&amp;"ngày","")))))</f>
        <v/>
      </c>
      <c r="AA274" s="23">
        <v>1</v>
      </c>
    </row>
    <row r="275" spans="1:27" s="24" customFormat="1" ht="15.6" x14ac:dyDescent="0.3">
      <c r="A275" s="24">
        <v>1</v>
      </c>
      <c r="B275" s="39"/>
      <c r="C275" s="33"/>
      <c r="D275" s="25"/>
      <c r="E275" s="25"/>
      <c r="F275" s="34"/>
      <c r="G275" s="34"/>
      <c r="H275" s="25"/>
      <c r="I275" s="70" t="str">
        <f>IF(C275="Trả lại đơn vụ","",IF(C275="Trả lại đơn việc","",IF(C275="Hòa giải thành","",IF(F275=0,"",EDATE(F275,VLOOKUP(C275,'Thời hạn'!$A$1:$B$10,2,0))+H275))))</f>
        <v/>
      </c>
      <c r="J275" s="59" t="str">
        <f t="shared" ca="1" si="4"/>
        <v/>
      </c>
      <c r="K275" s="25"/>
      <c r="L275" s="129"/>
      <c r="M275" s="130"/>
      <c r="N275" s="35"/>
      <c r="O275" s="34"/>
      <c r="P275" s="25"/>
      <c r="Q275" s="25"/>
      <c r="R275" s="34"/>
      <c r="S275" s="34"/>
      <c r="T275" s="25"/>
      <c r="U275" s="25"/>
      <c r="V275" s="36"/>
      <c r="W275" s="86"/>
      <c r="X275" s="127"/>
      <c r="Y275" s="71" t="str">
        <f>IF(C275="Trả lại đơn vụ","",IF(C275="Trả lại đơn việc","",IF((NETWORKDAYS(F275,G275,'Danh sách ngày nghỉ lễ'!$B$5:$B$25)-1-3)&gt;0,"Quá hạn"&amp;" "&amp;(NETWORKDAYS(F275,G275,'Danh sách ngày nghỉ lễ'!$B$5:$B$25)-1-3)&amp;" "&amp;"ngày","")))</f>
        <v/>
      </c>
      <c r="Z275" s="72" t="str">
        <f>IF(S275=0,"",IF(P275="Chuyển","",IF(P275="Nhập vào vụ khác","",IF(P275="BA",IF((S275-R275)&gt;10,"Quá hạn"&amp;" "&amp;(S275-R275-10)&amp;" "&amp;"ngày",""),IF((NETWORKDAYS(R275,S275,'Danh sách ngày nghỉ lễ'!$B$5:$B$25)-VLOOKUP(P275,'Thời hạn'!$A$17:$B$23,2,0))&gt;1,"Quá hạn"&amp;" "&amp;(NETWORKDAYS(R275,S275,'Danh sách ngày nghỉ lễ'!$B$5:$B$25)-1-VLOOKUP(P275,'Thời hạn'!$A$17:$B$23,2,0))&amp;" "&amp;"ngày","")))))</f>
        <v/>
      </c>
      <c r="AA275" s="23">
        <v>1</v>
      </c>
    </row>
    <row r="276" spans="1:27" s="24" customFormat="1" ht="15.6" x14ac:dyDescent="0.3">
      <c r="A276" s="24">
        <v>1</v>
      </c>
      <c r="B276" s="39"/>
      <c r="C276" s="33"/>
      <c r="D276" s="25"/>
      <c r="E276" s="25"/>
      <c r="F276" s="34"/>
      <c r="G276" s="34"/>
      <c r="H276" s="25"/>
      <c r="I276" s="70" t="str">
        <f>IF(C276="Trả lại đơn vụ","",IF(C276="Trả lại đơn việc","",IF(C276="Hòa giải thành","",IF(F276=0,"",EDATE(F276,VLOOKUP(C276,'Thời hạn'!$A$1:$B$10,2,0))+H276))))</f>
        <v/>
      </c>
      <c r="J276" s="59" t="str">
        <f t="shared" ca="1" si="4"/>
        <v/>
      </c>
      <c r="K276" s="25"/>
      <c r="L276" s="129"/>
      <c r="M276" s="130"/>
      <c r="N276" s="35"/>
      <c r="O276" s="34"/>
      <c r="P276" s="25"/>
      <c r="Q276" s="25"/>
      <c r="R276" s="34"/>
      <c r="S276" s="34"/>
      <c r="T276" s="25"/>
      <c r="U276" s="25"/>
      <c r="V276" s="36"/>
      <c r="W276" s="86"/>
      <c r="X276" s="127"/>
      <c r="Y276" s="71" t="str">
        <f>IF(C276="Trả lại đơn vụ","",IF(C276="Trả lại đơn việc","",IF((NETWORKDAYS(F276,G276,'Danh sách ngày nghỉ lễ'!$B$5:$B$25)-1-3)&gt;0,"Quá hạn"&amp;" "&amp;(NETWORKDAYS(F276,G276,'Danh sách ngày nghỉ lễ'!$B$5:$B$25)-1-3)&amp;" "&amp;"ngày","")))</f>
        <v/>
      </c>
      <c r="Z276" s="72" t="str">
        <f>IF(S276=0,"",IF(P276="Chuyển","",IF(P276="Nhập vào vụ khác","",IF(P276="BA",IF((S276-R276)&gt;10,"Quá hạn"&amp;" "&amp;(S276-R276-10)&amp;" "&amp;"ngày",""),IF((NETWORKDAYS(R276,S276,'Danh sách ngày nghỉ lễ'!$B$5:$B$25)-VLOOKUP(P276,'Thời hạn'!$A$17:$B$23,2,0))&gt;1,"Quá hạn"&amp;" "&amp;(NETWORKDAYS(R276,S276,'Danh sách ngày nghỉ lễ'!$B$5:$B$25)-1-VLOOKUP(P276,'Thời hạn'!$A$17:$B$23,2,0))&amp;" "&amp;"ngày","")))))</f>
        <v/>
      </c>
      <c r="AA276" s="23">
        <v>1</v>
      </c>
    </row>
    <row r="277" spans="1:27" s="24" customFormat="1" ht="15.6" x14ac:dyDescent="0.3">
      <c r="A277" s="24">
        <v>1</v>
      </c>
      <c r="B277" s="39"/>
      <c r="C277" s="33"/>
      <c r="D277" s="25"/>
      <c r="E277" s="25"/>
      <c r="F277" s="34"/>
      <c r="G277" s="34"/>
      <c r="H277" s="25"/>
      <c r="I277" s="70" t="str">
        <f>IF(C277="Trả lại đơn vụ","",IF(C277="Trả lại đơn việc","",IF(C277="Hòa giải thành","",IF(F277=0,"",EDATE(F277,VLOOKUP(C277,'Thời hạn'!$A$1:$B$10,2,0))+H277))))</f>
        <v/>
      </c>
      <c r="J277" s="59" t="str">
        <f t="shared" ca="1" si="4"/>
        <v/>
      </c>
      <c r="K277" s="25"/>
      <c r="L277" s="129"/>
      <c r="M277" s="130"/>
      <c r="N277" s="35"/>
      <c r="O277" s="34"/>
      <c r="P277" s="25"/>
      <c r="Q277" s="25"/>
      <c r="R277" s="34"/>
      <c r="S277" s="34"/>
      <c r="T277" s="25"/>
      <c r="U277" s="25"/>
      <c r="V277" s="36"/>
      <c r="W277" s="86"/>
      <c r="X277" s="127"/>
      <c r="Y277" s="71" t="str">
        <f>IF(C277="Trả lại đơn vụ","",IF(C277="Trả lại đơn việc","",IF((NETWORKDAYS(F277,G277,'Danh sách ngày nghỉ lễ'!$B$5:$B$25)-1-3)&gt;0,"Quá hạn"&amp;" "&amp;(NETWORKDAYS(F277,G277,'Danh sách ngày nghỉ lễ'!$B$5:$B$25)-1-3)&amp;" "&amp;"ngày","")))</f>
        <v/>
      </c>
      <c r="Z277" s="72" t="str">
        <f>IF(S277=0,"",IF(P277="Chuyển","",IF(P277="Nhập vào vụ khác","",IF(P277="BA",IF((S277-R277)&gt;10,"Quá hạn"&amp;" "&amp;(S277-R277-10)&amp;" "&amp;"ngày",""),IF((NETWORKDAYS(R277,S277,'Danh sách ngày nghỉ lễ'!$B$5:$B$25)-VLOOKUP(P277,'Thời hạn'!$A$17:$B$23,2,0))&gt;1,"Quá hạn"&amp;" "&amp;(NETWORKDAYS(R277,S277,'Danh sách ngày nghỉ lễ'!$B$5:$B$25)-1-VLOOKUP(P277,'Thời hạn'!$A$17:$B$23,2,0))&amp;" "&amp;"ngày","")))))</f>
        <v/>
      </c>
      <c r="AA277" s="23">
        <v>1</v>
      </c>
    </row>
    <row r="278" spans="1:27" s="24" customFormat="1" ht="15.6" x14ac:dyDescent="0.3">
      <c r="A278" s="24">
        <v>1</v>
      </c>
      <c r="B278" s="39"/>
      <c r="C278" s="33"/>
      <c r="D278" s="25"/>
      <c r="E278" s="25"/>
      <c r="F278" s="34"/>
      <c r="G278" s="34"/>
      <c r="H278" s="25"/>
      <c r="I278" s="70" t="str">
        <f>IF(C278="Trả lại đơn vụ","",IF(C278="Trả lại đơn việc","",IF(C278="Hòa giải thành","",IF(F278=0,"",EDATE(F278,VLOOKUP(C278,'Thời hạn'!$A$1:$B$10,2,0))+H278))))</f>
        <v/>
      </c>
      <c r="J278" s="59" t="str">
        <f t="shared" ref="J278:J293" ca="1" si="5">IF(C278="Trả lại đơn vụ","",IF(C278="Trả lại đơn việc","",IF(C278="Hòa giải thành","",IF(N278=0,IF(P278=0,IF(F278=0,"",I278-TODAY()+1),""),""))))</f>
        <v/>
      </c>
      <c r="K278" s="25"/>
      <c r="L278" s="129"/>
      <c r="M278" s="130"/>
      <c r="N278" s="35"/>
      <c r="O278" s="34"/>
      <c r="P278" s="25"/>
      <c r="Q278" s="25"/>
      <c r="R278" s="34"/>
      <c r="S278" s="34"/>
      <c r="T278" s="25"/>
      <c r="U278" s="25"/>
      <c r="V278" s="36"/>
      <c r="W278" s="86"/>
      <c r="X278" s="127"/>
      <c r="Y278" s="71" t="str">
        <f>IF(C278="Trả lại đơn vụ","",IF(C278="Trả lại đơn việc","",IF((NETWORKDAYS(F278,G278,'Danh sách ngày nghỉ lễ'!$B$5:$B$25)-1-3)&gt;0,"Quá hạn"&amp;" "&amp;(NETWORKDAYS(F278,G278,'Danh sách ngày nghỉ lễ'!$B$5:$B$25)-1-3)&amp;" "&amp;"ngày","")))</f>
        <v/>
      </c>
      <c r="Z278" s="72" t="str">
        <f>IF(S278=0,"",IF(P278="Chuyển","",IF(P278="Nhập vào vụ khác","",IF(P278="BA",IF((S278-R278)&gt;10,"Quá hạn"&amp;" "&amp;(S278-R278-10)&amp;" "&amp;"ngày",""),IF((NETWORKDAYS(R278,S278,'Danh sách ngày nghỉ lễ'!$B$5:$B$25)-VLOOKUP(P278,'Thời hạn'!$A$17:$B$23,2,0))&gt;1,"Quá hạn"&amp;" "&amp;(NETWORKDAYS(R278,S278,'Danh sách ngày nghỉ lễ'!$B$5:$B$25)-1-VLOOKUP(P278,'Thời hạn'!$A$17:$B$23,2,0))&amp;" "&amp;"ngày","")))))</f>
        <v/>
      </c>
      <c r="AA278" s="23">
        <v>1</v>
      </c>
    </row>
    <row r="279" spans="1:27" s="24" customFormat="1" ht="15.6" x14ac:dyDescent="0.3">
      <c r="A279" s="24">
        <v>1</v>
      </c>
      <c r="B279" s="39"/>
      <c r="C279" s="33"/>
      <c r="D279" s="25"/>
      <c r="E279" s="25"/>
      <c r="F279" s="34"/>
      <c r="G279" s="34"/>
      <c r="H279" s="25"/>
      <c r="I279" s="70" t="str">
        <f>IF(C279="Trả lại đơn vụ","",IF(C279="Trả lại đơn việc","",IF(C279="Hòa giải thành","",IF(F279=0,"",EDATE(F279,VLOOKUP(C279,'Thời hạn'!$A$1:$B$10,2,0))+H279))))</f>
        <v/>
      </c>
      <c r="J279" s="59" t="str">
        <f t="shared" ca="1" si="5"/>
        <v/>
      </c>
      <c r="K279" s="25"/>
      <c r="L279" s="129"/>
      <c r="M279" s="130"/>
      <c r="N279" s="35"/>
      <c r="O279" s="34"/>
      <c r="P279" s="25"/>
      <c r="Q279" s="25"/>
      <c r="R279" s="34"/>
      <c r="S279" s="34"/>
      <c r="T279" s="25"/>
      <c r="U279" s="25"/>
      <c r="V279" s="36"/>
      <c r="W279" s="86"/>
      <c r="X279" s="127"/>
      <c r="Y279" s="71" t="str">
        <f>IF(C279="Trả lại đơn vụ","",IF(C279="Trả lại đơn việc","",IF((NETWORKDAYS(F279,G279,'Danh sách ngày nghỉ lễ'!$B$5:$B$25)-1-3)&gt;0,"Quá hạn"&amp;" "&amp;(NETWORKDAYS(F279,G279,'Danh sách ngày nghỉ lễ'!$B$5:$B$25)-1-3)&amp;" "&amp;"ngày","")))</f>
        <v/>
      </c>
      <c r="Z279" s="72" t="str">
        <f>IF(S279=0,"",IF(P279="Chuyển","",IF(P279="Nhập vào vụ khác","",IF(P279="BA",IF((S279-R279)&gt;10,"Quá hạn"&amp;" "&amp;(S279-R279-10)&amp;" "&amp;"ngày",""),IF((NETWORKDAYS(R279,S279,'Danh sách ngày nghỉ lễ'!$B$5:$B$25)-VLOOKUP(P279,'Thời hạn'!$A$17:$B$23,2,0))&gt;1,"Quá hạn"&amp;" "&amp;(NETWORKDAYS(R279,S279,'Danh sách ngày nghỉ lễ'!$B$5:$B$25)-1-VLOOKUP(P279,'Thời hạn'!$A$17:$B$23,2,0))&amp;" "&amp;"ngày","")))))</f>
        <v/>
      </c>
      <c r="AA279" s="23">
        <v>1</v>
      </c>
    </row>
    <row r="280" spans="1:27" s="24" customFormat="1" ht="15.6" x14ac:dyDescent="0.3">
      <c r="A280" s="24">
        <v>1</v>
      </c>
      <c r="B280" s="39"/>
      <c r="C280" s="33"/>
      <c r="D280" s="25"/>
      <c r="E280" s="25"/>
      <c r="F280" s="34"/>
      <c r="G280" s="34"/>
      <c r="H280" s="25"/>
      <c r="I280" s="70" t="str">
        <f>IF(C280="Trả lại đơn vụ","",IF(C280="Trả lại đơn việc","",IF(C280="Hòa giải thành","",IF(F280=0,"",EDATE(F280,VLOOKUP(C280,'Thời hạn'!$A$1:$B$10,2,0))+H280))))</f>
        <v/>
      </c>
      <c r="J280" s="59" t="str">
        <f t="shared" ca="1" si="5"/>
        <v/>
      </c>
      <c r="K280" s="25"/>
      <c r="L280" s="129"/>
      <c r="M280" s="130"/>
      <c r="N280" s="35"/>
      <c r="O280" s="34"/>
      <c r="P280" s="25"/>
      <c r="Q280" s="25"/>
      <c r="R280" s="34"/>
      <c r="S280" s="34"/>
      <c r="T280" s="25"/>
      <c r="U280" s="25"/>
      <c r="V280" s="36"/>
      <c r="W280" s="86"/>
      <c r="X280" s="127"/>
      <c r="Y280" s="71" t="str">
        <f>IF(C280="Trả lại đơn vụ","",IF(C280="Trả lại đơn việc","",IF((NETWORKDAYS(F280,G280,'Danh sách ngày nghỉ lễ'!$B$5:$B$25)-1-3)&gt;0,"Quá hạn"&amp;" "&amp;(NETWORKDAYS(F280,G280,'Danh sách ngày nghỉ lễ'!$B$5:$B$25)-1-3)&amp;" "&amp;"ngày","")))</f>
        <v/>
      </c>
      <c r="Z280" s="72" t="str">
        <f>IF(S280=0,"",IF(P280="Chuyển","",IF(P280="Nhập vào vụ khác","",IF(P280="BA",IF((S280-R280)&gt;10,"Quá hạn"&amp;" "&amp;(S280-R280-10)&amp;" "&amp;"ngày",""),IF((NETWORKDAYS(R280,S280,'Danh sách ngày nghỉ lễ'!$B$5:$B$25)-VLOOKUP(P280,'Thời hạn'!$A$17:$B$23,2,0))&gt;1,"Quá hạn"&amp;" "&amp;(NETWORKDAYS(R280,S280,'Danh sách ngày nghỉ lễ'!$B$5:$B$25)-1-VLOOKUP(P280,'Thời hạn'!$A$17:$B$23,2,0))&amp;" "&amp;"ngày","")))))</f>
        <v/>
      </c>
      <c r="AA280" s="23">
        <v>1</v>
      </c>
    </row>
    <row r="281" spans="1:27" s="24" customFormat="1" ht="15.6" x14ac:dyDescent="0.3">
      <c r="A281" s="24">
        <v>1</v>
      </c>
      <c r="B281" s="39"/>
      <c r="C281" s="33"/>
      <c r="D281" s="25"/>
      <c r="E281" s="25"/>
      <c r="F281" s="34"/>
      <c r="G281" s="34"/>
      <c r="H281" s="25"/>
      <c r="I281" s="70" t="str">
        <f>IF(C281="Trả lại đơn vụ","",IF(C281="Trả lại đơn việc","",IF(C281="Hòa giải thành","",IF(F281=0,"",EDATE(F281,VLOOKUP(C281,'Thời hạn'!$A$1:$B$10,2,0))+H281))))</f>
        <v/>
      </c>
      <c r="J281" s="59" t="str">
        <f t="shared" ca="1" si="5"/>
        <v/>
      </c>
      <c r="K281" s="25"/>
      <c r="L281" s="129"/>
      <c r="M281" s="130"/>
      <c r="N281" s="35"/>
      <c r="O281" s="34"/>
      <c r="P281" s="25"/>
      <c r="Q281" s="25"/>
      <c r="R281" s="34"/>
      <c r="S281" s="34"/>
      <c r="T281" s="25"/>
      <c r="U281" s="25"/>
      <c r="V281" s="36"/>
      <c r="W281" s="86"/>
      <c r="X281" s="127"/>
      <c r="Y281" s="71" t="str">
        <f>IF(C281="Trả lại đơn vụ","",IF(C281="Trả lại đơn việc","",IF((NETWORKDAYS(F281,G281,'Danh sách ngày nghỉ lễ'!$B$5:$B$25)-1-3)&gt;0,"Quá hạn"&amp;" "&amp;(NETWORKDAYS(F281,G281,'Danh sách ngày nghỉ lễ'!$B$5:$B$25)-1-3)&amp;" "&amp;"ngày","")))</f>
        <v/>
      </c>
      <c r="Z281" s="72" t="str">
        <f>IF(S281=0,"",IF(P281="Chuyển","",IF(P281="Nhập vào vụ khác","",IF(P281="BA",IF((S281-R281)&gt;10,"Quá hạn"&amp;" "&amp;(S281-R281-10)&amp;" "&amp;"ngày",""),IF((NETWORKDAYS(R281,S281,'Danh sách ngày nghỉ lễ'!$B$5:$B$25)-VLOOKUP(P281,'Thời hạn'!$A$17:$B$23,2,0))&gt;1,"Quá hạn"&amp;" "&amp;(NETWORKDAYS(R281,S281,'Danh sách ngày nghỉ lễ'!$B$5:$B$25)-1-VLOOKUP(P281,'Thời hạn'!$A$17:$B$23,2,0))&amp;" "&amp;"ngày","")))))</f>
        <v/>
      </c>
      <c r="AA281" s="23">
        <v>1</v>
      </c>
    </row>
    <row r="282" spans="1:27" s="24" customFormat="1" ht="15.6" x14ac:dyDescent="0.3">
      <c r="A282" s="24">
        <v>1</v>
      </c>
      <c r="B282" s="39"/>
      <c r="C282" s="33"/>
      <c r="D282" s="25"/>
      <c r="E282" s="25"/>
      <c r="F282" s="34"/>
      <c r="G282" s="34"/>
      <c r="H282" s="25"/>
      <c r="I282" s="70" t="str">
        <f>IF(C282="Trả lại đơn vụ","",IF(C282="Trả lại đơn việc","",IF(C282="Hòa giải thành","",IF(F282=0,"",EDATE(F282,VLOOKUP(C282,'Thời hạn'!$A$1:$B$10,2,0))+H282))))</f>
        <v/>
      </c>
      <c r="J282" s="59" t="str">
        <f t="shared" ca="1" si="5"/>
        <v/>
      </c>
      <c r="K282" s="25"/>
      <c r="L282" s="129"/>
      <c r="M282" s="130"/>
      <c r="N282" s="35"/>
      <c r="O282" s="34"/>
      <c r="P282" s="25"/>
      <c r="Q282" s="25"/>
      <c r="R282" s="34"/>
      <c r="S282" s="34"/>
      <c r="T282" s="25"/>
      <c r="U282" s="25"/>
      <c r="V282" s="36"/>
      <c r="W282" s="86"/>
      <c r="X282" s="127"/>
      <c r="Y282" s="71" t="str">
        <f>IF(C282="Trả lại đơn vụ","",IF(C282="Trả lại đơn việc","",IF((NETWORKDAYS(F282,G282,'Danh sách ngày nghỉ lễ'!$B$5:$B$25)-1-3)&gt;0,"Quá hạn"&amp;" "&amp;(NETWORKDAYS(F282,G282,'Danh sách ngày nghỉ lễ'!$B$5:$B$25)-1-3)&amp;" "&amp;"ngày","")))</f>
        <v/>
      </c>
      <c r="Z282" s="72" t="str">
        <f>IF(S282=0,"",IF(P282="Chuyển","",IF(P282="Nhập vào vụ khác","",IF(P282="BA",IF((S282-R282)&gt;10,"Quá hạn"&amp;" "&amp;(S282-R282-10)&amp;" "&amp;"ngày",""),IF((NETWORKDAYS(R282,S282,'Danh sách ngày nghỉ lễ'!$B$5:$B$25)-VLOOKUP(P282,'Thời hạn'!$A$17:$B$23,2,0))&gt;1,"Quá hạn"&amp;" "&amp;(NETWORKDAYS(R282,S282,'Danh sách ngày nghỉ lễ'!$B$5:$B$25)-1-VLOOKUP(P282,'Thời hạn'!$A$17:$B$23,2,0))&amp;" "&amp;"ngày","")))))</f>
        <v/>
      </c>
      <c r="AA282" s="23">
        <v>1</v>
      </c>
    </row>
    <row r="283" spans="1:27" s="24" customFormat="1" ht="15.6" x14ac:dyDescent="0.3">
      <c r="A283" s="24">
        <v>1</v>
      </c>
      <c r="B283" s="39"/>
      <c r="C283" s="33"/>
      <c r="D283" s="25"/>
      <c r="E283" s="25"/>
      <c r="F283" s="34"/>
      <c r="G283" s="34"/>
      <c r="H283" s="25"/>
      <c r="I283" s="70" t="str">
        <f>IF(C283="Trả lại đơn vụ","",IF(C283="Trả lại đơn việc","",IF(C283="Hòa giải thành","",IF(F283=0,"",EDATE(F283,VLOOKUP(C283,'Thời hạn'!$A$1:$B$10,2,0))+H283))))</f>
        <v/>
      </c>
      <c r="J283" s="59" t="str">
        <f t="shared" ca="1" si="5"/>
        <v/>
      </c>
      <c r="K283" s="25"/>
      <c r="L283" s="129"/>
      <c r="M283" s="130"/>
      <c r="N283" s="35"/>
      <c r="O283" s="34"/>
      <c r="P283" s="25"/>
      <c r="Q283" s="25"/>
      <c r="R283" s="34"/>
      <c r="S283" s="34"/>
      <c r="T283" s="25"/>
      <c r="U283" s="25"/>
      <c r="V283" s="36"/>
      <c r="W283" s="86"/>
      <c r="X283" s="127"/>
      <c r="Y283" s="71" t="str">
        <f>IF(C283="Trả lại đơn vụ","",IF(C283="Trả lại đơn việc","",IF((NETWORKDAYS(F283,G283,'Danh sách ngày nghỉ lễ'!$B$5:$B$25)-1-3)&gt;0,"Quá hạn"&amp;" "&amp;(NETWORKDAYS(F283,G283,'Danh sách ngày nghỉ lễ'!$B$5:$B$25)-1-3)&amp;" "&amp;"ngày","")))</f>
        <v/>
      </c>
      <c r="Z283" s="72" t="str">
        <f>IF(S283=0,"",IF(P283="Chuyển","",IF(P283="Nhập vào vụ khác","",IF(P283="BA",IF((S283-R283)&gt;10,"Quá hạn"&amp;" "&amp;(S283-R283-10)&amp;" "&amp;"ngày",""),IF((NETWORKDAYS(R283,S283,'Danh sách ngày nghỉ lễ'!$B$5:$B$25)-VLOOKUP(P283,'Thời hạn'!$A$17:$B$23,2,0))&gt;1,"Quá hạn"&amp;" "&amp;(NETWORKDAYS(R283,S283,'Danh sách ngày nghỉ lễ'!$B$5:$B$25)-1-VLOOKUP(P283,'Thời hạn'!$A$17:$B$23,2,0))&amp;" "&amp;"ngày","")))))</f>
        <v/>
      </c>
      <c r="AA283" s="23">
        <v>1</v>
      </c>
    </row>
    <row r="284" spans="1:27" s="24" customFormat="1" ht="15.6" x14ac:dyDescent="0.3">
      <c r="A284" s="24">
        <v>1</v>
      </c>
      <c r="B284" s="39"/>
      <c r="C284" s="33"/>
      <c r="D284" s="25"/>
      <c r="E284" s="25"/>
      <c r="F284" s="34"/>
      <c r="G284" s="34"/>
      <c r="H284" s="25"/>
      <c r="I284" s="70" t="str">
        <f>IF(C284="Trả lại đơn vụ","",IF(C284="Trả lại đơn việc","",IF(C284="Hòa giải thành","",IF(F284=0,"",EDATE(F284,VLOOKUP(C284,'Thời hạn'!$A$1:$B$10,2,0))+H284))))</f>
        <v/>
      </c>
      <c r="J284" s="59" t="str">
        <f t="shared" ca="1" si="5"/>
        <v/>
      </c>
      <c r="K284" s="25"/>
      <c r="L284" s="129"/>
      <c r="M284" s="130"/>
      <c r="N284" s="35"/>
      <c r="O284" s="34"/>
      <c r="P284" s="25"/>
      <c r="Q284" s="25"/>
      <c r="R284" s="34"/>
      <c r="S284" s="34"/>
      <c r="T284" s="25"/>
      <c r="U284" s="25"/>
      <c r="V284" s="36"/>
      <c r="W284" s="86"/>
      <c r="X284" s="127"/>
      <c r="Y284" s="71" t="str">
        <f>IF(C284="Trả lại đơn vụ","",IF(C284="Trả lại đơn việc","",IF((NETWORKDAYS(F284,G284,'Danh sách ngày nghỉ lễ'!$B$5:$B$25)-1-3)&gt;0,"Quá hạn"&amp;" "&amp;(NETWORKDAYS(F284,G284,'Danh sách ngày nghỉ lễ'!$B$5:$B$25)-1-3)&amp;" "&amp;"ngày","")))</f>
        <v/>
      </c>
      <c r="Z284" s="72" t="str">
        <f>IF(S284=0,"",IF(P284="Chuyển","",IF(P284="Nhập vào vụ khác","",IF(P284="BA",IF((S284-R284)&gt;10,"Quá hạn"&amp;" "&amp;(S284-R284-10)&amp;" "&amp;"ngày",""),IF((NETWORKDAYS(R284,S284,'Danh sách ngày nghỉ lễ'!$B$5:$B$25)-VLOOKUP(P284,'Thời hạn'!$A$17:$B$23,2,0))&gt;1,"Quá hạn"&amp;" "&amp;(NETWORKDAYS(R284,S284,'Danh sách ngày nghỉ lễ'!$B$5:$B$25)-1-VLOOKUP(P284,'Thời hạn'!$A$17:$B$23,2,0))&amp;" "&amp;"ngày","")))))</f>
        <v/>
      </c>
      <c r="AA284" s="23">
        <v>1</v>
      </c>
    </row>
    <row r="285" spans="1:27" s="24" customFormat="1" ht="15.6" x14ac:dyDescent="0.3">
      <c r="A285" s="24">
        <v>1</v>
      </c>
      <c r="B285" s="39"/>
      <c r="C285" s="33"/>
      <c r="D285" s="25"/>
      <c r="E285" s="25"/>
      <c r="F285" s="34"/>
      <c r="G285" s="34"/>
      <c r="H285" s="25"/>
      <c r="I285" s="70" t="str">
        <f>IF(C285="Trả lại đơn vụ","",IF(C285="Trả lại đơn việc","",IF(C285="Hòa giải thành","",IF(F285=0,"",EDATE(F285,VLOOKUP(C285,'Thời hạn'!$A$1:$B$10,2,0))+H285))))</f>
        <v/>
      </c>
      <c r="J285" s="59" t="str">
        <f t="shared" ca="1" si="5"/>
        <v/>
      </c>
      <c r="K285" s="25"/>
      <c r="L285" s="129"/>
      <c r="M285" s="130"/>
      <c r="N285" s="35"/>
      <c r="O285" s="34"/>
      <c r="P285" s="25"/>
      <c r="Q285" s="25"/>
      <c r="R285" s="34"/>
      <c r="S285" s="34"/>
      <c r="T285" s="25"/>
      <c r="U285" s="25"/>
      <c r="V285" s="36"/>
      <c r="W285" s="86"/>
      <c r="X285" s="127"/>
      <c r="Y285" s="71" t="str">
        <f>IF(C285="Trả lại đơn vụ","",IF(C285="Trả lại đơn việc","",IF((NETWORKDAYS(F285,G285,'Danh sách ngày nghỉ lễ'!$B$5:$B$25)-1-3)&gt;0,"Quá hạn"&amp;" "&amp;(NETWORKDAYS(F285,G285,'Danh sách ngày nghỉ lễ'!$B$5:$B$25)-1-3)&amp;" "&amp;"ngày","")))</f>
        <v/>
      </c>
      <c r="Z285" s="72" t="str">
        <f>IF(S285=0,"",IF(P285="Chuyển","",IF(P285="Nhập vào vụ khác","",IF(P285="BA",IF((S285-R285)&gt;10,"Quá hạn"&amp;" "&amp;(S285-R285-10)&amp;" "&amp;"ngày",""),IF((NETWORKDAYS(R285,S285,'Danh sách ngày nghỉ lễ'!$B$5:$B$25)-VLOOKUP(P285,'Thời hạn'!$A$17:$B$23,2,0))&gt;1,"Quá hạn"&amp;" "&amp;(NETWORKDAYS(R285,S285,'Danh sách ngày nghỉ lễ'!$B$5:$B$25)-1-VLOOKUP(P285,'Thời hạn'!$A$17:$B$23,2,0))&amp;" "&amp;"ngày","")))))</f>
        <v/>
      </c>
      <c r="AA285" s="23">
        <v>1</v>
      </c>
    </row>
    <row r="286" spans="1:27" s="24" customFormat="1" ht="15.6" x14ac:dyDescent="0.3">
      <c r="A286" s="24">
        <v>1</v>
      </c>
      <c r="B286" s="39"/>
      <c r="C286" s="33"/>
      <c r="D286" s="25"/>
      <c r="E286" s="25"/>
      <c r="F286" s="34"/>
      <c r="G286" s="34"/>
      <c r="H286" s="25"/>
      <c r="I286" s="70" t="str">
        <f>IF(C286="Trả lại đơn vụ","",IF(C286="Trả lại đơn việc","",IF(C286="Hòa giải thành","",IF(F286=0,"",EDATE(F286,VLOOKUP(C286,'Thời hạn'!$A$1:$B$10,2,0))+H286))))</f>
        <v/>
      </c>
      <c r="J286" s="59" t="str">
        <f t="shared" ca="1" si="5"/>
        <v/>
      </c>
      <c r="K286" s="25"/>
      <c r="L286" s="129"/>
      <c r="M286" s="130"/>
      <c r="N286" s="35"/>
      <c r="O286" s="34"/>
      <c r="P286" s="25"/>
      <c r="Q286" s="25"/>
      <c r="R286" s="34"/>
      <c r="S286" s="34"/>
      <c r="T286" s="25"/>
      <c r="U286" s="25"/>
      <c r="V286" s="36"/>
      <c r="W286" s="86"/>
      <c r="X286" s="127"/>
      <c r="Y286" s="71" t="str">
        <f>IF(C286="Trả lại đơn vụ","",IF(C286="Trả lại đơn việc","",IF((NETWORKDAYS(F286,G286,'Danh sách ngày nghỉ lễ'!$B$5:$B$25)-1-3)&gt;0,"Quá hạn"&amp;" "&amp;(NETWORKDAYS(F286,G286,'Danh sách ngày nghỉ lễ'!$B$5:$B$25)-1-3)&amp;" "&amp;"ngày","")))</f>
        <v/>
      </c>
      <c r="Z286" s="72" t="str">
        <f>IF(S286=0,"",IF(P286="Chuyển","",IF(P286="Nhập vào vụ khác","",IF(P286="BA",IF((S286-R286)&gt;10,"Quá hạn"&amp;" "&amp;(S286-R286-10)&amp;" "&amp;"ngày",""),IF((NETWORKDAYS(R286,S286,'Danh sách ngày nghỉ lễ'!$B$5:$B$25)-VLOOKUP(P286,'Thời hạn'!$A$17:$B$23,2,0))&gt;1,"Quá hạn"&amp;" "&amp;(NETWORKDAYS(R286,S286,'Danh sách ngày nghỉ lễ'!$B$5:$B$25)-1-VLOOKUP(P286,'Thời hạn'!$A$17:$B$23,2,0))&amp;" "&amp;"ngày","")))))</f>
        <v/>
      </c>
      <c r="AA286" s="23">
        <v>1</v>
      </c>
    </row>
    <row r="287" spans="1:27" s="24" customFormat="1" ht="15.6" x14ac:dyDescent="0.3">
      <c r="A287" s="24">
        <v>1</v>
      </c>
      <c r="B287" s="39"/>
      <c r="C287" s="33"/>
      <c r="D287" s="25"/>
      <c r="E287" s="25"/>
      <c r="F287" s="34"/>
      <c r="G287" s="34"/>
      <c r="H287" s="25"/>
      <c r="I287" s="70" t="str">
        <f>IF(C287="Trả lại đơn vụ","",IF(C287="Trả lại đơn việc","",IF(C287="Hòa giải thành","",IF(F287=0,"",EDATE(F287,VLOOKUP(C287,'Thời hạn'!$A$1:$B$10,2,0))+H287))))</f>
        <v/>
      </c>
      <c r="J287" s="59" t="str">
        <f t="shared" ca="1" si="5"/>
        <v/>
      </c>
      <c r="K287" s="25"/>
      <c r="L287" s="129"/>
      <c r="M287" s="130"/>
      <c r="N287" s="35"/>
      <c r="O287" s="34"/>
      <c r="P287" s="25"/>
      <c r="Q287" s="25"/>
      <c r="R287" s="34"/>
      <c r="S287" s="34"/>
      <c r="T287" s="25"/>
      <c r="U287" s="25"/>
      <c r="V287" s="36"/>
      <c r="W287" s="86"/>
      <c r="X287" s="127"/>
      <c r="Y287" s="71" t="str">
        <f>IF(C287="Trả lại đơn vụ","",IF(C287="Trả lại đơn việc","",IF((NETWORKDAYS(F287,G287,'Danh sách ngày nghỉ lễ'!$B$5:$B$25)-1-3)&gt;0,"Quá hạn"&amp;" "&amp;(NETWORKDAYS(F287,G287,'Danh sách ngày nghỉ lễ'!$B$5:$B$25)-1-3)&amp;" "&amp;"ngày","")))</f>
        <v/>
      </c>
      <c r="Z287" s="72" t="str">
        <f>IF(S287=0,"",IF(P287="Chuyển","",IF(P287="Nhập vào vụ khác","",IF(P287="BA",IF((S287-R287)&gt;10,"Quá hạn"&amp;" "&amp;(S287-R287-10)&amp;" "&amp;"ngày",""),IF((NETWORKDAYS(R287,S287,'Danh sách ngày nghỉ lễ'!$B$5:$B$25)-VLOOKUP(P287,'Thời hạn'!$A$17:$B$23,2,0))&gt;1,"Quá hạn"&amp;" "&amp;(NETWORKDAYS(R287,S287,'Danh sách ngày nghỉ lễ'!$B$5:$B$25)-1-VLOOKUP(P287,'Thời hạn'!$A$17:$B$23,2,0))&amp;" "&amp;"ngày","")))))</f>
        <v/>
      </c>
      <c r="AA287" s="23">
        <v>1</v>
      </c>
    </row>
    <row r="288" spans="1:27" s="24" customFormat="1" ht="15.6" x14ac:dyDescent="0.3">
      <c r="A288" s="24">
        <v>1</v>
      </c>
      <c r="B288" s="39"/>
      <c r="C288" s="33"/>
      <c r="D288" s="25"/>
      <c r="E288" s="25"/>
      <c r="F288" s="34"/>
      <c r="G288" s="34"/>
      <c r="H288" s="25"/>
      <c r="I288" s="70" t="str">
        <f>IF(C288="Trả lại đơn vụ","",IF(C288="Trả lại đơn việc","",IF(C288="Hòa giải thành","",IF(F288=0,"",EDATE(F288,VLOOKUP(C288,'Thời hạn'!$A$1:$B$10,2,0))+H288))))</f>
        <v/>
      </c>
      <c r="J288" s="59" t="str">
        <f t="shared" ca="1" si="5"/>
        <v/>
      </c>
      <c r="K288" s="25"/>
      <c r="L288" s="129"/>
      <c r="M288" s="130"/>
      <c r="N288" s="35"/>
      <c r="O288" s="34"/>
      <c r="P288" s="25"/>
      <c r="Q288" s="25"/>
      <c r="R288" s="34"/>
      <c r="S288" s="34"/>
      <c r="T288" s="25"/>
      <c r="U288" s="25"/>
      <c r="V288" s="36"/>
      <c r="W288" s="86"/>
      <c r="X288" s="127"/>
      <c r="Y288" s="71" t="str">
        <f>IF(C288="Trả lại đơn vụ","",IF(C288="Trả lại đơn việc","",IF((NETWORKDAYS(F288,G288,'Danh sách ngày nghỉ lễ'!$B$5:$B$25)-1-3)&gt;0,"Quá hạn"&amp;" "&amp;(NETWORKDAYS(F288,G288,'Danh sách ngày nghỉ lễ'!$B$5:$B$25)-1-3)&amp;" "&amp;"ngày","")))</f>
        <v/>
      </c>
      <c r="Z288" s="72" t="str">
        <f>IF(S288=0,"",IF(P288="Chuyển","",IF(P288="Nhập vào vụ khác","",IF(P288="BA",IF((S288-R288)&gt;10,"Quá hạn"&amp;" "&amp;(S288-R288-10)&amp;" "&amp;"ngày",""),IF((NETWORKDAYS(R288,S288,'Danh sách ngày nghỉ lễ'!$B$5:$B$25)-VLOOKUP(P288,'Thời hạn'!$A$17:$B$23,2,0))&gt;1,"Quá hạn"&amp;" "&amp;(NETWORKDAYS(R288,S288,'Danh sách ngày nghỉ lễ'!$B$5:$B$25)-1-VLOOKUP(P288,'Thời hạn'!$A$17:$B$23,2,0))&amp;" "&amp;"ngày","")))))</f>
        <v/>
      </c>
      <c r="AA288" s="23">
        <v>1</v>
      </c>
    </row>
    <row r="289" spans="1:27" s="24" customFormat="1" ht="15.6" x14ac:dyDescent="0.3">
      <c r="A289" s="24">
        <v>1</v>
      </c>
      <c r="B289" s="39"/>
      <c r="C289" s="33"/>
      <c r="D289" s="25"/>
      <c r="E289" s="25"/>
      <c r="F289" s="34"/>
      <c r="G289" s="34"/>
      <c r="H289" s="25"/>
      <c r="I289" s="70" t="str">
        <f>IF(C289="Trả lại đơn vụ","",IF(C289="Trả lại đơn việc","",IF(C289="Hòa giải thành","",IF(F289=0,"",EDATE(F289,VLOOKUP(C289,'Thời hạn'!$A$1:$B$10,2,0))+H289))))</f>
        <v/>
      </c>
      <c r="J289" s="59" t="str">
        <f t="shared" ca="1" si="5"/>
        <v/>
      </c>
      <c r="K289" s="25"/>
      <c r="L289" s="129"/>
      <c r="M289" s="130"/>
      <c r="N289" s="35"/>
      <c r="O289" s="34"/>
      <c r="P289" s="25"/>
      <c r="Q289" s="25"/>
      <c r="R289" s="34"/>
      <c r="S289" s="34"/>
      <c r="T289" s="25"/>
      <c r="U289" s="25"/>
      <c r="V289" s="36"/>
      <c r="W289" s="86"/>
      <c r="X289" s="127"/>
      <c r="Y289" s="71" t="str">
        <f>IF(C289="Trả lại đơn vụ","",IF(C289="Trả lại đơn việc","",IF((NETWORKDAYS(F289,G289,'Danh sách ngày nghỉ lễ'!$B$5:$B$25)-1-3)&gt;0,"Quá hạn"&amp;" "&amp;(NETWORKDAYS(F289,G289,'Danh sách ngày nghỉ lễ'!$B$5:$B$25)-1-3)&amp;" "&amp;"ngày","")))</f>
        <v/>
      </c>
      <c r="Z289" s="72" t="str">
        <f>IF(S289=0,"",IF(P289="Chuyển","",IF(P289="Nhập vào vụ khác","",IF(P289="BA",IF((S289-R289)&gt;10,"Quá hạn"&amp;" "&amp;(S289-R289-10)&amp;" "&amp;"ngày",""),IF((NETWORKDAYS(R289,S289,'Danh sách ngày nghỉ lễ'!$B$5:$B$25)-VLOOKUP(P289,'Thời hạn'!$A$17:$B$23,2,0))&gt;1,"Quá hạn"&amp;" "&amp;(NETWORKDAYS(R289,S289,'Danh sách ngày nghỉ lễ'!$B$5:$B$25)-1-VLOOKUP(P289,'Thời hạn'!$A$17:$B$23,2,0))&amp;" "&amp;"ngày","")))))</f>
        <v/>
      </c>
      <c r="AA289" s="23">
        <v>1</v>
      </c>
    </row>
    <row r="290" spans="1:27" s="24" customFormat="1" ht="15.6" x14ac:dyDescent="0.3">
      <c r="A290" s="24">
        <v>1</v>
      </c>
      <c r="B290" s="39"/>
      <c r="C290" s="33"/>
      <c r="D290" s="25"/>
      <c r="E290" s="25"/>
      <c r="F290" s="34"/>
      <c r="G290" s="34"/>
      <c r="H290" s="25"/>
      <c r="I290" s="70" t="str">
        <f>IF(C290="Trả lại đơn vụ","",IF(C290="Trả lại đơn việc","",IF(C290="Hòa giải thành","",IF(F290=0,"",EDATE(F290,VLOOKUP(C290,'Thời hạn'!$A$1:$B$10,2,0))+H290))))</f>
        <v/>
      </c>
      <c r="J290" s="59" t="str">
        <f t="shared" ca="1" si="5"/>
        <v/>
      </c>
      <c r="K290" s="25"/>
      <c r="L290" s="129"/>
      <c r="M290" s="130"/>
      <c r="N290" s="35"/>
      <c r="O290" s="34"/>
      <c r="P290" s="25"/>
      <c r="Q290" s="25"/>
      <c r="R290" s="34"/>
      <c r="S290" s="34"/>
      <c r="T290" s="25"/>
      <c r="U290" s="25"/>
      <c r="V290" s="36"/>
      <c r="W290" s="86"/>
      <c r="X290" s="127"/>
      <c r="Y290" s="71" t="str">
        <f>IF(C290="Trả lại đơn vụ","",IF(C290="Trả lại đơn việc","",IF((NETWORKDAYS(F290,G290,'Danh sách ngày nghỉ lễ'!$B$5:$B$25)-1-3)&gt;0,"Quá hạn"&amp;" "&amp;(NETWORKDAYS(F290,G290,'Danh sách ngày nghỉ lễ'!$B$5:$B$25)-1-3)&amp;" "&amp;"ngày","")))</f>
        <v/>
      </c>
      <c r="Z290" s="72" t="str">
        <f>IF(S290=0,"",IF(P290="Chuyển","",IF(P290="Nhập vào vụ khác","",IF(P290="BA",IF((S290-R290)&gt;10,"Quá hạn"&amp;" "&amp;(S290-R290-10)&amp;" "&amp;"ngày",""),IF((NETWORKDAYS(R290,S290,'Danh sách ngày nghỉ lễ'!$B$5:$B$25)-VLOOKUP(P290,'Thời hạn'!$A$17:$B$23,2,0))&gt;1,"Quá hạn"&amp;" "&amp;(NETWORKDAYS(R290,S290,'Danh sách ngày nghỉ lễ'!$B$5:$B$25)-1-VLOOKUP(P290,'Thời hạn'!$A$17:$B$23,2,0))&amp;" "&amp;"ngày","")))))</f>
        <v/>
      </c>
      <c r="AA290" s="23">
        <v>1</v>
      </c>
    </row>
    <row r="291" spans="1:27" s="24" customFormat="1" ht="15.6" x14ac:dyDescent="0.3">
      <c r="A291" s="24">
        <v>1</v>
      </c>
      <c r="B291" s="39"/>
      <c r="C291" s="33"/>
      <c r="D291" s="25"/>
      <c r="E291" s="25"/>
      <c r="F291" s="34"/>
      <c r="G291" s="34"/>
      <c r="H291" s="25"/>
      <c r="I291" s="70" t="str">
        <f>IF(C291="Trả lại đơn vụ","",IF(C291="Trả lại đơn việc","",IF(C291="Hòa giải thành","",IF(F291=0,"",EDATE(F291,VLOOKUP(C291,'Thời hạn'!$A$1:$B$10,2,0))+H291))))</f>
        <v/>
      </c>
      <c r="J291" s="59" t="str">
        <f t="shared" ca="1" si="5"/>
        <v/>
      </c>
      <c r="K291" s="25"/>
      <c r="L291" s="129"/>
      <c r="M291" s="130"/>
      <c r="N291" s="35"/>
      <c r="O291" s="34"/>
      <c r="P291" s="25"/>
      <c r="Q291" s="25"/>
      <c r="R291" s="34"/>
      <c r="S291" s="34"/>
      <c r="T291" s="25"/>
      <c r="U291" s="25"/>
      <c r="V291" s="36"/>
      <c r="W291" s="86"/>
      <c r="X291" s="127"/>
      <c r="Y291" s="71" t="str">
        <f>IF(C291="Trả lại đơn vụ","",IF(C291="Trả lại đơn việc","",IF((NETWORKDAYS(F291,G291,'Danh sách ngày nghỉ lễ'!$B$5:$B$25)-1-3)&gt;0,"Quá hạn"&amp;" "&amp;(NETWORKDAYS(F291,G291,'Danh sách ngày nghỉ lễ'!$B$5:$B$25)-1-3)&amp;" "&amp;"ngày","")))</f>
        <v/>
      </c>
      <c r="Z291" s="72" t="str">
        <f>IF(S291=0,"",IF(P291="Chuyển","",IF(P291="Nhập vào vụ khác","",IF(P291="BA",IF((S291-R291)&gt;10,"Quá hạn"&amp;" "&amp;(S291-R291-10)&amp;" "&amp;"ngày",""),IF((NETWORKDAYS(R291,S291,'Danh sách ngày nghỉ lễ'!$B$5:$B$25)-VLOOKUP(P291,'Thời hạn'!$A$17:$B$23,2,0))&gt;1,"Quá hạn"&amp;" "&amp;(NETWORKDAYS(R291,S291,'Danh sách ngày nghỉ lễ'!$B$5:$B$25)-1-VLOOKUP(P291,'Thời hạn'!$A$17:$B$23,2,0))&amp;" "&amp;"ngày","")))))</f>
        <v/>
      </c>
      <c r="AA291" s="23">
        <v>1</v>
      </c>
    </row>
    <row r="292" spans="1:27" s="24" customFormat="1" ht="15.6" x14ac:dyDescent="0.3">
      <c r="A292" s="24">
        <v>1</v>
      </c>
      <c r="B292" s="39"/>
      <c r="C292" s="33"/>
      <c r="D292" s="25"/>
      <c r="E292" s="25"/>
      <c r="F292" s="34"/>
      <c r="G292" s="34"/>
      <c r="H292" s="25"/>
      <c r="I292" s="70" t="str">
        <f>IF(C292="Trả lại đơn vụ","",IF(C292="Trả lại đơn việc","",IF(C292="Hòa giải thành","",IF(F292=0,"",EDATE(F292,VLOOKUP(C292,'Thời hạn'!$A$1:$B$10,2,0))+H292))))</f>
        <v/>
      </c>
      <c r="J292" s="59" t="str">
        <f t="shared" ca="1" si="5"/>
        <v/>
      </c>
      <c r="K292" s="25"/>
      <c r="L292" s="129"/>
      <c r="M292" s="130"/>
      <c r="N292" s="35"/>
      <c r="O292" s="34"/>
      <c r="P292" s="25"/>
      <c r="Q292" s="25"/>
      <c r="R292" s="34"/>
      <c r="S292" s="34"/>
      <c r="T292" s="25"/>
      <c r="U292" s="25"/>
      <c r="V292" s="36"/>
      <c r="W292" s="86"/>
      <c r="X292" s="127"/>
      <c r="Y292" s="71" t="str">
        <f>IF(C292="Trả lại đơn vụ","",IF(C292="Trả lại đơn việc","",IF((NETWORKDAYS(F292,G292,'Danh sách ngày nghỉ lễ'!$B$5:$B$25)-1-3)&gt;0,"Quá hạn"&amp;" "&amp;(NETWORKDAYS(F292,G292,'Danh sách ngày nghỉ lễ'!$B$5:$B$25)-1-3)&amp;" "&amp;"ngày","")))</f>
        <v/>
      </c>
      <c r="Z292" s="72" t="str">
        <f>IF(S292=0,"",IF(P292="Chuyển","",IF(P292="Nhập vào vụ khác","",IF(P292="BA",IF((S292-R292)&gt;10,"Quá hạn"&amp;" "&amp;(S292-R292-10)&amp;" "&amp;"ngày",""),IF((NETWORKDAYS(R292,S292,'Danh sách ngày nghỉ lễ'!$B$5:$B$25)-VLOOKUP(P292,'Thời hạn'!$A$17:$B$23,2,0))&gt;1,"Quá hạn"&amp;" "&amp;(NETWORKDAYS(R292,S292,'Danh sách ngày nghỉ lễ'!$B$5:$B$25)-1-VLOOKUP(P292,'Thời hạn'!$A$17:$B$23,2,0))&amp;" "&amp;"ngày","")))))</f>
        <v/>
      </c>
      <c r="AA292" s="23">
        <v>1</v>
      </c>
    </row>
    <row r="293" spans="1:27" s="24" customFormat="1" ht="15.6" x14ac:dyDescent="0.3">
      <c r="A293" s="24">
        <v>1</v>
      </c>
      <c r="B293" s="39"/>
      <c r="C293" s="33"/>
      <c r="D293" s="25"/>
      <c r="E293" s="25"/>
      <c r="F293" s="34"/>
      <c r="G293" s="34"/>
      <c r="H293" s="25"/>
      <c r="I293" s="70" t="str">
        <f>IF(C293="Trả lại đơn vụ","",IF(C293="Trả lại đơn việc","",IF(C293="Hòa giải thành","",IF(F293=0,"",EDATE(F293,VLOOKUP(C293,'Thời hạn'!$A$1:$B$10,2,0))+H293))))</f>
        <v/>
      </c>
      <c r="J293" s="59" t="str">
        <f t="shared" ca="1" si="5"/>
        <v/>
      </c>
      <c r="K293" s="25"/>
      <c r="L293" s="129"/>
      <c r="M293" s="130"/>
      <c r="N293" s="35"/>
      <c r="O293" s="34"/>
      <c r="P293" s="25"/>
      <c r="Q293" s="25"/>
      <c r="R293" s="34"/>
      <c r="S293" s="34"/>
      <c r="T293" s="25"/>
      <c r="U293" s="25"/>
      <c r="V293" s="36"/>
      <c r="W293" s="86"/>
      <c r="X293" s="127"/>
      <c r="Y293" s="71" t="str">
        <f>IF(C293="Trả lại đơn vụ","",IF(C293="Trả lại đơn việc","",IF((NETWORKDAYS(F293,G293,'Danh sách ngày nghỉ lễ'!$B$5:$B$25)-1-3)&gt;0,"Quá hạn"&amp;" "&amp;(NETWORKDAYS(F293,G293,'Danh sách ngày nghỉ lễ'!$B$5:$B$25)-1-3)&amp;" "&amp;"ngày","")))</f>
        <v/>
      </c>
      <c r="Z293" s="72" t="str">
        <f>IF(S293=0,"",IF(P293="Chuyển","",IF(P293="Nhập vào vụ khác","",IF(P293="BA",IF((S293-R293)&gt;10,"Quá hạn"&amp;" "&amp;(S293-R293-10)&amp;" "&amp;"ngày",""),IF((NETWORKDAYS(R293,S293,'Danh sách ngày nghỉ lễ'!$B$5:$B$25)-VLOOKUP(P293,'Thời hạn'!$A$17:$B$23,2,0))&gt;1,"Quá hạn"&amp;" "&amp;(NETWORKDAYS(R293,S293,'Danh sách ngày nghỉ lễ'!$B$5:$B$25)-1-VLOOKUP(P293,'Thời hạn'!$A$17:$B$23,2,0))&amp;" "&amp;"ngày","")))))</f>
        <v/>
      </c>
      <c r="AA293" s="23">
        <v>1</v>
      </c>
    </row>
    <row r="294" spans="1:27" s="24" customFormat="1" ht="15.6" x14ac:dyDescent="0.3">
      <c r="A294" s="24">
        <v>1</v>
      </c>
      <c r="B294" s="39"/>
      <c r="C294" s="33"/>
      <c r="D294" s="25"/>
      <c r="E294" s="25"/>
      <c r="F294" s="34"/>
      <c r="G294" s="34"/>
      <c r="H294" s="25"/>
      <c r="I294" s="70" t="str">
        <f>IF(C294="Trả lại đơn vụ","",IF(C294="Trả lại đơn việc","",IF(C294="Hòa giải thành","",IF(F294=0,"",EDATE(F294,VLOOKUP(C294,'Thời hạn'!$A$1:$B$10,2,0))+H294))))</f>
        <v/>
      </c>
      <c r="J294" s="59" t="str">
        <f t="shared" ref="J294:J300" ca="1" si="6">IF(C294="Trả lại đơn vụ","",IF(C294="Trả lại đơn việc","",IF(C294="Hòa giải thành","",IF(N294=0,IF(P294=0,IF(F294=0,"",I294-TODAY()+1),""),""))))</f>
        <v/>
      </c>
      <c r="K294" s="25"/>
      <c r="L294" s="129"/>
      <c r="M294" s="130"/>
      <c r="N294" s="35"/>
      <c r="O294" s="34"/>
      <c r="P294" s="25"/>
      <c r="Q294" s="25"/>
      <c r="R294" s="34"/>
      <c r="S294" s="34"/>
      <c r="T294" s="25"/>
      <c r="U294" s="25"/>
      <c r="V294" s="36"/>
      <c r="W294" s="86"/>
      <c r="X294" s="127"/>
      <c r="Y294" s="71" t="str">
        <f>IF(C294="Trả lại đơn vụ","",IF(C294="Trả lại đơn việc","",IF((NETWORKDAYS(F294,G294,'Danh sách ngày nghỉ lễ'!$B$5:$B$25)-1-3)&gt;0,"Quá hạn"&amp;" "&amp;(NETWORKDAYS(F294,G294,'Danh sách ngày nghỉ lễ'!$B$5:$B$25)-1-3)&amp;" "&amp;"ngày","")))</f>
        <v/>
      </c>
      <c r="Z294" s="72" t="str">
        <f>IF(S294=0,"",IF(P294="Chuyển","",IF(P294="Nhập vào vụ khác","",IF(P294="BA",IF((S294-R294)&gt;10,"Quá hạn"&amp;" "&amp;(S294-R294-10)&amp;" "&amp;"ngày",""),IF((NETWORKDAYS(R294,S294,'Danh sách ngày nghỉ lễ'!$B$5:$B$25)-VLOOKUP(P294,'Thời hạn'!$A$17:$B$23,2,0))&gt;1,"Quá hạn"&amp;" "&amp;(NETWORKDAYS(R294,S294,'Danh sách ngày nghỉ lễ'!$B$5:$B$25)-1-VLOOKUP(P294,'Thời hạn'!$A$17:$B$23,2,0))&amp;" "&amp;"ngày","")))))</f>
        <v/>
      </c>
      <c r="AA294" s="23">
        <v>1</v>
      </c>
    </row>
    <row r="295" spans="1:27" s="24" customFormat="1" ht="15.6" x14ac:dyDescent="0.3">
      <c r="A295" s="24">
        <v>1</v>
      </c>
      <c r="B295" s="39"/>
      <c r="C295" s="33"/>
      <c r="D295" s="25"/>
      <c r="E295" s="25"/>
      <c r="F295" s="34"/>
      <c r="G295" s="34"/>
      <c r="H295" s="25"/>
      <c r="I295" s="70" t="str">
        <f>IF(C295="Trả lại đơn vụ","",IF(C295="Trả lại đơn việc","",IF(C295="Hòa giải thành","",IF(F295=0,"",EDATE(F295,VLOOKUP(C295,'Thời hạn'!$A$1:$B$10,2,0))+H295))))</f>
        <v/>
      </c>
      <c r="J295" s="59" t="str">
        <f t="shared" ca="1" si="6"/>
        <v/>
      </c>
      <c r="K295" s="25"/>
      <c r="L295" s="129"/>
      <c r="M295" s="130"/>
      <c r="N295" s="35"/>
      <c r="O295" s="34"/>
      <c r="P295" s="25"/>
      <c r="Q295" s="25"/>
      <c r="R295" s="34"/>
      <c r="S295" s="34"/>
      <c r="T295" s="25"/>
      <c r="U295" s="25"/>
      <c r="V295" s="36"/>
      <c r="W295" s="86"/>
      <c r="X295" s="127"/>
      <c r="Y295" s="71" t="str">
        <f>IF(C295="Trả lại đơn vụ","",IF(C295="Trả lại đơn việc","",IF((NETWORKDAYS(F295,G295,'Danh sách ngày nghỉ lễ'!$B$5:$B$25)-1-3)&gt;0,"Quá hạn"&amp;" "&amp;(NETWORKDAYS(F295,G295,'Danh sách ngày nghỉ lễ'!$B$5:$B$25)-1-3)&amp;" "&amp;"ngày","")))</f>
        <v/>
      </c>
      <c r="Z295" s="72" t="str">
        <f>IF(S295=0,"",IF(P295="Chuyển","",IF(P295="Nhập vào vụ khác","",IF(P295="BA",IF((S295-R295)&gt;10,"Quá hạn"&amp;" "&amp;(S295-R295-10)&amp;" "&amp;"ngày",""),IF((NETWORKDAYS(R295,S295,'Danh sách ngày nghỉ lễ'!$B$5:$B$25)-VLOOKUP(P295,'Thời hạn'!$A$17:$B$23,2,0))&gt;1,"Quá hạn"&amp;" "&amp;(NETWORKDAYS(R295,S295,'Danh sách ngày nghỉ lễ'!$B$5:$B$25)-1-VLOOKUP(P295,'Thời hạn'!$A$17:$B$23,2,0))&amp;" "&amp;"ngày","")))))</f>
        <v/>
      </c>
      <c r="AA295" s="23">
        <v>1</v>
      </c>
    </row>
    <row r="296" spans="1:27" s="24" customFormat="1" ht="15.6" x14ac:dyDescent="0.3">
      <c r="A296" s="24">
        <v>1</v>
      </c>
      <c r="B296" s="39"/>
      <c r="C296" s="33"/>
      <c r="D296" s="25"/>
      <c r="E296" s="25"/>
      <c r="F296" s="34"/>
      <c r="G296" s="34"/>
      <c r="H296" s="25"/>
      <c r="I296" s="70" t="str">
        <f>IF(C296="Trả lại đơn vụ","",IF(C296="Trả lại đơn việc","",IF(C296="Hòa giải thành","",IF(F296=0,"",EDATE(F296,VLOOKUP(C296,'Thời hạn'!$A$1:$B$10,2,0))+H296))))</f>
        <v/>
      </c>
      <c r="J296" s="59" t="str">
        <f t="shared" ca="1" si="6"/>
        <v/>
      </c>
      <c r="K296" s="25"/>
      <c r="L296" s="129"/>
      <c r="M296" s="130"/>
      <c r="N296" s="35"/>
      <c r="O296" s="34"/>
      <c r="P296" s="25"/>
      <c r="Q296" s="25"/>
      <c r="R296" s="34"/>
      <c r="S296" s="34"/>
      <c r="T296" s="25"/>
      <c r="U296" s="25"/>
      <c r="V296" s="36"/>
      <c r="W296" s="86"/>
      <c r="X296" s="127"/>
      <c r="Y296" s="71" t="str">
        <f>IF(C296="Trả lại đơn vụ","",IF(C296="Trả lại đơn việc","",IF((NETWORKDAYS(F296,G296,'Danh sách ngày nghỉ lễ'!$B$5:$B$25)-1-3)&gt;0,"Quá hạn"&amp;" "&amp;(NETWORKDAYS(F296,G296,'Danh sách ngày nghỉ lễ'!$B$5:$B$25)-1-3)&amp;" "&amp;"ngày","")))</f>
        <v/>
      </c>
      <c r="Z296" s="72" t="str">
        <f>IF(S296=0,"",IF(P296="Chuyển","",IF(P296="Nhập vào vụ khác","",IF(P296="BA",IF((S296-R296)&gt;10,"Quá hạn"&amp;" "&amp;(S296-R296-10)&amp;" "&amp;"ngày",""),IF((NETWORKDAYS(R296,S296,'Danh sách ngày nghỉ lễ'!$B$5:$B$25)-VLOOKUP(P296,'Thời hạn'!$A$17:$B$23,2,0))&gt;1,"Quá hạn"&amp;" "&amp;(NETWORKDAYS(R296,S296,'Danh sách ngày nghỉ lễ'!$B$5:$B$25)-1-VLOOKUP(P296,'Thời hạn'!$A$17:$B$23,2,0))&amp;" "&amp;"ngày","")))))</f>
        <v/>
      </c>
      <c r="AA296" s="23">
        <v>1</v>
      </c>
    </row>
    <row r="297" spans="1:27" s="24" customFormat="1" ht="15.6" x14ac:dyDescent="0.3">
      <c r="A297" s="24">
        <v>1</v>
      </c>
      <c r="B297" s="39"/>
      <c r="C297" s="33"/>
      <c r="D297" s="25"/>
      <c r="E297" s="25"/>
      <c r="F297" s="34"/>
      <c r="G297" s="34"/>
      <c r="H297" s="25"/>
      <c r="I297" s="70" t="str">
        <f>IF(C297="Trả lại đơn vụ","",IF(C297="Trả lại đơn việc","",IF(C297="Hòa giải thành","",IF(F297=0,"",EDATE(F297,VLOOKUP(C297,'Thời hạn'!$A$1:$B$10,2,0))+H297))))</f>
        <v/>
      </c>
      <c r="J297" s="59" t="str">
        <f t="shared" ca="1" si="6"/>
        <v/>
      </c>
      <c r="K297" s="25"/>
      <c r="L297" s="129"/>
      <c r="M297" s="130"/>
      <c r="N297" s="35"/>
      <c r="O297" s="34"/>
      <c r="P297" s="25"/>
      <c r="Q297" s="25"/>
      <c r="R297" s="34"/>
      <c r="S297" s="34"/>
      <c r="T297" s="25"/>
      <c r="U297" s="25"/>
      <c r="V297" s="36"/>
      <c r="W297" s="86"/>
      <c r="X297" s="127"/>
      <c r="Y297" s="71" t="str">
        <f>IF(C297="Trả lại đơn vụ","",IF(C297="Trả lại đơn việc","",IF((NETWORKDAYS(F297,G297,'Danh sách ngày nghỉ lễ'!$B$5:$B$25)-1-3)&gt;0,"Quá hạn"&amp;" "&amp;(NETWORKDAYS(F297,G297,'Danh sách ngày nghỉ lễ'!$B$5:$B$25)-1-3)&amp;" "&amp;"ngày","")))</f>
        <v/>
      </c>
      <c r="Z297" s="72" t="str">
        <f>IF(S297=0,"",IF(P297="Chuyển","",IF(P297="Nhập vào vụ khác","",IF(P297="BA",IF((S297-R297)&gt;10,"Quá hạn"&amp;" "&amp;(S297-R297-10)&amp;" "&amp;"ngày",""),IF((NETWORKDAYS(R297,S297,'Danh sách ngày nghỉ lễ'!$B$5:$B$25)-VLOOKUP(P297,'Thời hạn'!$A$17:$B$23,2,0))&gt;1,"Quá hạn"&amp;" "&amp;(NETWORKDAYS(R297,S297,'Danh sách ngày nghỉ lễ'!$B$5:$B$25)-1-VLOOKUP(P297,'Thời hạn'!$A$17:$B$23,2,0))&amp;" "&amp;"ngày","")))))</f>
        <v/>
      </c>
      <c r="AA297" s="23">
        <v>1</v>
      </c>
    </row>
    <row r="298" spans="1:27" s="24" customFormat="1" ht="15.6" x14ac:dyDescent="0.3">
      <c r="A298" s="24">
        <v>1</v>
      </c>
      <c r="B298" s="39"/>
      <c r="C298" s="33"/>
      <c r="D298" s="25"/>
      <c r="E298" s="25"/>
      <c r="F298" s="34"/>
      <c r="G298" s="34"/>
      <c r="H298" s="25"/>
      <c r="I298" s="70" t="str">
        <f>IF(C298="Trả lại đơn vụ","",IF(C298="Trả lại đơn việc","",IF(C298="Hòa giải thành","",IF(F298=0,"",EDATE(F298,VLOOKUP(C298,'Thời hạn'!$A$1:$B$10,2,0))+H298))))</f>
        <v/>
      </c>
      <c r="J298" s="59" t="str">
        <f t="shared" ca="1" si="6"/>
        <v/>
      </c>
      <c r="K298" s="25"/>
      <c r="L298" s="129"/>
      <c r="M298" s="130"/>
      <c r="N298" s="35"/>
      <c r="O298" s="34"/>
      <c r="P298" s="25"/>
      <c r="Q298" s="25"/>
      <c r="R298" s="34"/>
      <c r="S298" s="34"/>
      <c r="T298" s="25"/>
      <c r="U298" s="25"/>
      <c r="V298" s="36"/>
      <c r="W298" s="86"/>
      <c r="X298" s="127"/>
      <c r="Y298" s="71" t="str">
        <f>IF(C298="Trả lại đơn vụ","",IF(C298="Trả lại đơn việc","",IF((NETWORKDAYS(F298,G298,'Danh sách ngày nghỉ lễ'!$B$5:$B$25)-1-3)&gt;0,"Quá hạn"&amp;" "&amp;(NETWORKDAYS(F298,G298,'Danh sách ngày nghỉ lễ'!$B$5:$B$25)-1-3)&amp;" "&amp;"ngày","")))</f>
        <v/>
      </c>
      <c r="Z298" s="72" t="str">
        <f>IF(S298=0,"",IF(P298="Chuyển","",IF(P298="Nhập vào vụ khác","",IF(P298="BA",IF((S298-R298)&gt;10,"Quá hạn"&amp;" "&amp;(S298-R298-10)&amp;" "&amp;"ngày",""),IF((NETWORKDAYS(R298,S298,'Danh sách ngày nghỉ lễ'!$B$5:$B$25)-VLOOKUP(P298,'Thời hạn'!$A$17:$B$23,2,0))&gt;1,"Quá hạn"&amp;" "&amp;(NETWORKDAYS(R298,S298,'Danh sách ngày nghỉ lễ'!$B$5:$B$25)-1-VLOOKUP(P298,'Thời hạn'!$A$17:$B$23,2,0))&amp;" "&amp;"ngày","")))))</f>
        <v/>
      </c>
      <c r="AA298" s="23">
        <v>1</v>
      </c>
    </row>
    <row r="299" spans="1:27" s="24" customFormat="1" ht="15.6" x14ac:dyDescent="0.3">
      <c r="A299" s="24">
        <v>1</v>
      </c>
      <c r="B299" s="39"/>
      <c r="C299" s="33"/>
      <c r="D299" s="25"/>
      <c r="E299" s="25"/>
      <c r="F299" s="34"/>
      <c r="G299" s="34"/>
      <c r="H299" s="25"/>
      <c r="I299" s="70" t="str">
        <f>IF(C299="Trả lại đơn vụ","",IF(C299="Trả lại đơn việc","",IF(C299="Hòa giải thành","",IF(F299=0,"",EDATE(F299,VLOOKUP(C299,'Thời hạn'!$A$1:$B$10,2,0))+H299))))</f>
        <v/>
      </c>
      <c r="J299" s="59" t="str">
        <f t="shared" ca="1" si="6"/>
        <v/>
      </c>
      <c r="K299" s="25"/>
      <c r="L299" s="129"/>
      <c r="M299" s="130"/>
      <c r="N299" s="35"/>
      <c r="O299" s="34"/>
      <c r="P299" s="25"/>
      <c r="Q299" s="25"/>
      <c r="R299" s="34"/>
      <c r="S299" s="34"/>
      <c r="T299" s="25"/>
      <c r="U299" s="25"/>
      <c r="V299" s="36"/>
      <c r="W299" s="86"/>
      <c r="X299" s="127"/>
      <c r="Y299" s="71" t="str">
        <f>IF(C299="Trả lại đơn vụ","",IF(C299="Trả lại đơn việc","",IF((NETWORKDAYS(F299,G299,'Danh sách ngày nghỉ lễ'!$B$5:$B$25)-1-3)&gt;0,"Quá hạn"&amp;" "&amp;(NETWORKDAYS(F299,G299,'Danh sách ngày nghỉ lễ'!$B$5:$B$25)-1-3)&amp;" "&amp;"ngày","")))</f>
        <v/>
      </c>
      <c r="Z299" s="72" t="str">
        <f>IF(S299=0,"",IF(P299="Chuyển","",IF(P299="Nhập vào vụ khác","",IF(P299="BA",IF((S299-R299)&gt;10,"Quá hạn"&amp;" "&amp;(S299-R299-10)&amp;" "&amp;"ngày",""),IF((NETWORKDAYS(R299,S299,'Danh sách ngày nghỉ lễ'!$B$5:$B$25)-VLOOKUP(P299,'Thời hạn'!$A$17:$B$23,2,0))&gt;1,"Quá hạn"&amp;" "&amp;(NETWORKDAYS(R299,S299,'Danh sách ngày nghỉ lễ'!$B$5:$B$25)-1-VLOOKUP(P299,'Thời hạn'!$A$17:$B$23,2,0))&amp;" "&amp;"ngày","")))))</f>
        <v/>
      </c>
      <c r="AA299" s="23">
        <v>1</v>
      </c>
    </row>
    <row r="300" spans="1:27" s="24" customFormat="1" ht="15.6" x14ac:dyDescent="0.3">
      <c r="A300" s="24">
        <v>1</v>
      </c>
      <c r="B300" s="39"/>
      <c r="C300" s="33"/>
      <c r="D300" s="25"/>
      <c r="E300" s="25"/>
      <c r="F300" s="34"/>
      <c r="G300" s="34"/>
      <c r="H300" s="25"/>
      <c r="I300" s="70" t="str">
        <f>IF(C300="Trả lại đơn vụ","",IF(C300="Trả lại đơn việc","",IF(C300="Hòa giải thành","",IF(F300=0,"",EDATE(F300,VLOOKUP(C300,'Thời hạn'!$A$1:$B$10,2,0))+H300))))</f>
        <v/>
      </c>
      <c r="J300" s="59" t="str">
        <f t="shared" ca="1" si="6"/>
        <v/>
      </c>
      <c r="K300" s="25"/>
      <c r="L300" s="129"/>
      <c r="M300" s="130"/>
      <c r="N300" s="35"/>
      <c r="O300" s="34"/>
      <c r="P300" s="25"/>
      <c r="Q300" s="25"/>
      <c r="R300" s="34"/>
      <c r="S300" s="34"/>
      <c r="T300" s="25"/>
      <c r="U300" s="25"/>
      <c r="V300" s="36"/>
      <c r="W300" s="86"/>
      <c r="X300" s="127"/>
      <c r="Y300" s="71" t="str">
        <f>IF(C300="Trả lại đơn vụ","",IF(C300="Trả lại đơn việc","",IF((NETWORKDAYS(F300,G300,'Danh sách ngày nghỉ lễ'!$B$5:$B$25)-1-3)&gt;0,"Quá hạn"&amp;" "&amp;(NETWORKDAYS(F300,G300,'Danh sách ngày nghỉ lễ'!$B$5:$B$25)-1-3)&amp;" "&amp;"ngày","")))</f>
        <v/>
      </c>
      <c r="Z300" s="72" t="str">
        <f>IF(S300=0,"",IF(P300="Chuyển","",IF(P300="Nhập vào vụ khác","",IF(P300="BA",IF((S300-R300)&gt;10,"Quá hạn"&amp;" "&amp;(S300-R300-10)&amp;" "&amp;"ngày",""),IF((NETWORKDAYS(R300,S300,'Danh sách ngày nghỉ lễ'!$B$5:$B$25)-VLOOKUP(P300,'Thời hạn'!$A$17:$B$23,2,0))&gt;1,"Quá hạn"&amp;" "&amp;(NETWORKDAYS(R300,S300,'Danh sách ngày nghỉ lễ'!$B$5:$B$25)-1-VLOOKUP(P300,'Thời hạn'!$A$17:$B$23,2,0))&amp;" "&amp;"ngày","")))))</f>
        <v/>
      </c>
      <c r="AA300" s="23">
        <v>1</v>
      </c>
    </row>
  </sheetData>
  <sheetProtection algorithmName="SHA-512" hashValue="4fvM3zAvPIqBiBYtsUJA0Mfjy7zlsOC4v3yekwUY7J3uQWZAtAEjVuRHKzRdw5oVOue+mL33CVVm35v+73Aigw==" saltValue="q32ekSeHgwi5dBZ3w1cMvg==" spinCount="100000" sheet="1" sort="0" autoFilter="0" pivotTables="0"/>
  <autoFilter ref="B9:W300" xr:uid="{308678DD-8953-44EA-B19F-A8823B80182B}"/>
  <mergeCells count="12">
    <mergeCell ref="Y8:Z8"/>
    <mergeCell ref="S7:T7"/>
    <mergeCell ref="V7:W7"/>
    <mergeCell ref="B8:M8"/>
    <mergeCell ref="N8:X8"/>
    <mergeCell ref="B2:K2"/>
    <mergeCell ref="Y4:Z4"/>
    <mergeCell ref="O4:O6"/>
    <mergeCell ref="P4:R4"/>
    <mergeCell ref="S4:V4"/>
    <mergeCell ref="L6:M6"/>
    <mergeCell ref="L4:M4"/>
  </mergeCells>
  <conditionalFormatting sqref="J10:J300">
    <cfRule type="cellIs" dxfId="636" priority="1" operator="lessThan">
      <formula>10</formula>
    </cfRule>
    <cfRule type="cellIs" dxfId="635" priority="8" operator="lessThan">
      <formula>10</formula>
    </cfRule>
  </conditionalFormatting>
  <conditionalFormatting sqref="C10:D17 C20:D300 C18:C19">
    <cfRule type="expression" dxfId="634" priority="2">
      <formula>$P10:$P300&lt;&gt;0</formula>
    </cfRule>
  </conditionalFormatting>
  <conditionalFormatting sqref="D18">
    <cfRule type="expression" dxfId="633" priority="60">
      <formula>$P19:$P309&lt;&gt;0</formula>
    </cfRule>
  </conditionalFormatting>
  <dataValidations count="5">
    <dataValidation type="list" allowBlank="1" showInputMessage="1" showErrorMessage="1" sqref="P10:P30 P32:P300" xr:uid="{415D664C-ADF8-4272-98D9-97D48507D4A1}">
      <formula1>"CNTT,ĐC,TĐC,BA,QĐ giải quyết việc,CN tại tòa,ĐC tại tòa,Chuyển,Nhập vào vụ khác"</formula1>
    </dataValidation>
    <dataValidation type="list" allowBlank="1" showInputMessage="1" showErrorMessage="1" sqref="K11:K300 K10" xr:uid="{CB741681-7E48-486B-BAE8-7486B0A14AB6}">
      <formula1>"VD Ninh, N Dũng,T Dũng,Doan,Hợp,Uy,M Dung,Lành,Hồng,Đức,Việt,P Huyền,Đ Huyền,Chinh,Quý,V Anh,Hà"</formula1>
    </dataValidation>
    <dataValidation type="list" allowBlank="1" showInputMessage="1" showErrorMessage="1" sqref="V10:V300" xr:uid="{EFD973A3-B01A-41AD-88B4-17DD6DA0675A}">
      <formula1>"Đã ĐK,Đã XX"</formula1>
    </dataValidation>
    <dataValidation type="list" allowBlank="1" showInputMessage="1" showErrorMessage="1" sqref="W10:X300" xr:uid="{109D8894-BE91-4323-BB41-75DADB765695}">
      <formula1>"đang TĐC,ĐC do rút đơn"</formula1>
    </dataValidation>
    <dataValidation type="list" allowBlank="1" showInputMessage="1" showErrorMessage="1" sqref="C10:C300" xr:uid="{46A4AB12-DFDE-467E-95C6-CD84926FFACB}">
      <formula1>"Vụ cũ,Việc cũ,Vụ,Việc,Hòa giải thành,Phục hồi vụ TĐC kỳ trước,Trả lại đơn vụ,Trả lại đơn việc,Phục hồi,Chuyển đến vụ,Chuyển đến việc,TL phản tố,TL YC độc lập"</formula1>
    </dataValidation>
  </dataValidation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98572-788C-40A1-AAEA-7118BF668EDF}">
  <sheetPr codeName="Sheet3">
    <pageSetUpPr fitToPage="1"/>
  </sheetPr>
  <dimension ref="A1:Z278"/>
  <sheetViews>
    <sheetView showGridLines="0" tabSelected="1" topLeftCell="B1" zoomScale="55" zoomScaleNormal="55" workbookViewId="0">
      <pane xSplit="2" ySplit="9" topLeftCell="D10" activePane="bottomRight" state="frozen"/>
      <selection activeCell="B1" sqref="B1"/>
      <selection pane="topRight" activeCell="D1" sqref="D1"/>
      <selection pane="bottomLeft" activeCell="B10" sqref="B10"/>
      <selection pane="bottomRight" activeCell="G14" sqref="G14"/>
    </sheetView>
  </sheetViews>
  <sheetFormatPr defaultColWidth="9.21875" defaultRowHeight="15.6" x14ac:dyDescent="0.3"/>
  <cols>
    <col min="1" max="1" width="3.21875" style="24" hidden="1" customWidth="1"/>
    <col min="2" max="2" width="11.5546875" style="83" customWidth="1"/>
    <col min="3" max="3" width="15.77734375" style="23" bestFit="1" customWidth="1"/>
    <col min="4" max="4" width="29.5546875" style="24" customWidth="1"/>
    <col min="5" max="5" width="12.21875" style="24" bestFit="1" customWidth="1"/>
    <col min="6" max="6" width="15.21875" style="84" customWidth="1"/>
    <col min="7" max="7" width="16" style="84" bestFit="1" customWidth="1"/>
    <col min="8" max="8" width="17.21875" style="24" customWidth="1"/>
    <col min="9" max="9" width="12.77734375" style="84" customWidth="1"/>
    <col min="10" max="10" width="11.21875" style="24" customWidth="1"/>
    <col min="11" max="11" width="13.44140625" style="24" customWidth="1"/>
    <col min="12" max="12" width="19.77734375" style="24" bestFit="1" customWidth="1"/>
    <col min="13" max="13" width="21.21875" style="24" bestFit="1" customWidth="1"/>
    <col min="14" max="14" width="18.21875" style="24" bestFit="1" customWidth="1"/>
    <col min="15" max="15" width="15.77734375" style="84" bestFit="1" customWidth="1"/>
    <col min="16" max="16" width="17.21875" style="24" customWidth="1"/>
    <col min="17" max="17" width="12.21875" style="24" bestFit="1" customWidth="1"/>
    <col min="18" max="18" width="13" style="84" customWidth="1"/>
    <col min="19" max="19" width="22.77734375" style="84" customWidth="1"/>
    <col min="20" max="20" width="19.77734375" style="24" bestFit="1" customWidth="1"/>
    <col min="21" max="21" width="21.21875" style="24" bestFit="1" customWidth="1"/>
    <col min="22" max="22" width="15.77734375" style="24" bestFit="1" customWidth="1"/>
    <col min="23" max="23" width="19.44140625" style="24" bestFit="1" customWidth="1"/>
    <col min="24" max="24" width="21.21875" style="24" bestFit="1" customWidth="1"/>
    <col min="25" max="25" width="19.21875" style="24" bestFit="1" customWidth="1"/>
    <col min="26" max="26" width="3" style="24" hidden="1" customWidth="1"/>
    <col min="27" max="16384" width="9.21875" style="24"/>
  </cols>
  <sheetData>
    <row r="1" spans="1:26" ht="48" customHeight="1" x14ac:dyDescent="0.3">
      <c r="B1" s="41"/>
      <c r="C1" s="42"/>
      <c r="D1" s="42"/>
      <c r="E1" s="42"/>
      <c r="F1" s="42"/>
      <c r="G1" s="42"/>
      <c r="H1" s="42"/>
      <c r="I1" s="42"/>
      <c r="J1" s="42"/>
      <c r="K1" s="42"/>
      <c r="L1" s="42"/>
      <c r="M1" s="42"/>
      <c r="N1" s="42"/>
      <c r="O1" s="42"/>
      <c r="P1" s="42"/>
      <c r="Q1" s="42"/>
      <c r="R1" s="42"/>
      <c r="S1" s="42"/>
      <c r="T1" s="42"/>
      <c r="U1" s="42"/>
      <c r="V1" s="42"/>
      <c r="W1" s="42"/>
      <c r="X1" s="41"/>
      <c r="Y1" s="41"/>
    </row>
    <row r="2" spans="1:26" ht="48" customHeight="1" x14ac:dyDescent="0.3">
      <c r="B2" s="151" t="s">
        <v>117</v>
      </c>
      <c r="C2" s="152"/>
      <c r="D2" s="152"/>
      <c r="E2" s="152"/>
      <c r="F2" s="152"/>
      <c r="G2" s="152"/>
      <c r="H2" s="152"/>
      <c r="I2" s="152"/>
      <c r="J2" s="152"/>
      <c r="K2" s="152"/>
      <c r="L2" s="74"/>
      <c r="M2" s="74"/>
      <c r="N2" s="74"/>
      <c r="O2" s="74"/>
      <c r="P2" s="74"/>
      <c r="Q2" s="74"/>
      <c r="R2" s="74"/>
      <c r="S2" s="74"/>
      <c r="T2" s="74"/>
      <c r="U2" s="74"/>
      <c r="V2" s="74"/>
      <c r="W2" s="74"/>
      <c r="X2" s="41"/>
      <c r="Y2" s="41"/>
    </row>
    <row r="3" spans="1:26" ht="48" customHeight="1" thickBot="1" x14ac:dyDescent="0.35">
      <c r="B3" s="73"/>
      <c r="C3" s="74"/>
      <c r="D3" s="74"/>
      <c r="E3" s="74"/>
      <c r="F3" s="74"/>
      <c r="G3" s="74"/>
      <c r="H3" s="74"/>
      <c r="I3" s="74"/>
      <c r="J3" s="74"/>
      <c r="K3" s="74"/>
      <c r="L3" s="74"/>
      <c r="M3" s="74"/>
      <c r="N3" s="74"/>
      <c r="O3" s="74"/>
      <c r="P3" s="74"/>
      <c r="Q3" s="74"/>
      <c r="R3" s="74"/>
      <c r="S3" s="74"/>
      <c r="T3" s="74"/>
      <c r="U3" s="74"/>
      <c r="V3" s="74"/>
      <c r="W3" s="74"/>
      <c r="X3" s="41"/>
      <c r="Y3" s="41"/>
    </row>
    <row r="4" spans="1:26" ht="36" customHeight="1" x14ac:dyDescent="0.3">
      <c r="B4" s="43" t="s">
        <v>85</v>
      </c>
      <c r="C4" s="44">
        <f>COUNTIF(C10:C178,"Trả lại đơn vụ")</f>
        <v>0</v>
      </c>
      <c r="D4" s="45" t="s">
        <v>25</v>
      </c>
      <c r="E4" s="44">
        <f>COUNTIF(C10:C236,"Vụ cũ")</f>
        <v>2</v>
      </c>
      <c r="F4" s="45" t="s">
        <v>47</v>
      </c>
      <c r="G4" s="44">
        <f>SUM(E4:E5)</f>
        <v>4</v>
      </c>
      <c r="H4" s="45" t="s">
        <v>82</v>
      </c>
      <c r="I4" s="46">
        <f>COUNTIF(P10:P237,"Chuyển")</f>
        <v>0</v>
      </c>
      <c r="J4" s="45" t="s">
        <v>24</v>
      </c>
      <c r="K4" s="46">
        <f>SUM(G4:G6)-I4-I5+SUM(I6:I7)</f>
        <v>8</v>
      </c>
      <c r="L4" s="153" t="s">
        <v>23</v>
      </c>
      <c r="M4" s="153"/>
      <c r="N4" s="46">
        <f>SUM(P6:V6)</f>
        <v>6</v>
      </c>
      <c r="O4" s="169" t="s">
        <v>20</v>
      </c>
      <c r="P4" s="157" t="s">
        <v>37</v>
      </c>
      <c r="Q4" s="157"/>
      <c r="R4" s="157"/>
      <c r="S4" s="158" t="s">
        <v>36</v>
      </c>
      <c r="T4" s="158"/>
      <c r="U4" s="158"/>
      <c r="V4" s="158"/>
      <c r="W4" s="47"/>
      <c r="X4" s="153" t="s">
        <v>87</v>
      </c>
      <c r="Y4" s="154"/>
    </row>
    <row r="5" spans="1:26" ht="55.5" customHeight="1" x14ac:dyDescent="0.3">
      <c r="B5" s="48" t="s">
        <v>86</v>
      </c>
      <c r="C5" s="41">
        <f>COUNTIF(C10:C178,"Trả lại đơn việc")</f>
        <v>0</v>
      </c>
      <c r="D5" s="49" t="s">
        <v>26</v>
      </c>
      <c r="E5" s="41">
        <f>COUNTIF(C10:C236,"Việc cũ")</f>
        <v>2</v>
      </c>
      <c r="F5" s="49" t="s">
        <v>48</v>
      </c>
      <c r="G5" s="41">
        <f>SUM(E6:E7)</f>
        <v>4</v>
      </c>
      <c r="H5" s="49" t="s">
        <v>83</v>
      </c>
      <c r="I5" s="50">
        <f>COUNTIF(P10:P237,"Nhập vào vụ khác")</f>
        <v>0</v>
      </c>
      <c r="J5" s="50"/>
      <c r="K5" s="51"/>
      <c r="L5" s="51"/>
      <c r="M5" s="51" t="s">
        <v>22</v>
      </c>
      <c r="N5" s="52">
        <f>N4/K4</f>
        <v>0.75</v>
      </c>
      <c r="O5" s="170"/>
      <c r="P5" s="53" t="s">
        <v>8</v>
      </c>
      <c r="Q5" s="54" t="s">
        <v>11</v>
      </c>
      <c r="R5" s="54" t="s">
        <v>10</v>
      </c>
      <c r="S5" s="53" t="s">
        <v>2</v>
      </c>
      <c r="T5" s="55" t="s">
        <v>34</v>
      </c>
      <c r="U5" s="53" t="s">
        <v>33</v>
      </c>
      <c r="V5" s="53" t="s">
        <v>68</v>
      </c>
      <c r="W5" s="56"/>
      <c r="X5" s="49" t="s">
        <v>1</v>
      </c>
      <c r="Y5" s="57" t="s">
        <v>44</v>
      </c>
    </row>
    <row r="6" spans="1:26" ht="57" customHeight="1" x14ac:dyDescent="0.3">
      <c r="B6" s="48" t="s">
        <v>4</v>
      </c>
      <c r="C6" s="41">
        <f>COUNTIF(C10:C178,"Hòa giải thành")</f>
        <v>0</v>
      </c>
      <c r="D6" s="49" t="s">
        <v>27</v>
      </c>
      <c r="E6" s="41">
        <f>COUNTIF(C10:C197,"Vụ")</f>
        <v>2</v>
      </c>
      <c r="F6" s="49" t="s">
        <v>41</v>
      </c>
      <c r="G6" s="41">
        <f>COUNTIF(C10:C227,"Phục hồi vụ TĐC kỳ trước")</f>
        <v>0</v>
      </c>
      <c r="H6" s="49" t="s">
        <v>111</v>
      </c>
      <c r="I6" s="50">
        <f>COUNTIF(P10:P237,"Chuyển đến vụ")</f>
        <v>0</v>
      </c>
      <c r="J6" s="50"/>
      <c r="K6" s="41"/>
      <c r="L6" s="159" t="s">
        <v>21</v>
      </c>
      <c r="M6" s="159"/>
      <c r="N6" s="50">
        <f>K4-N4</f>
        <v>2</v>
      </c>
      <c r="O6" s="170"/>
      <c r="P6" s="58">
        <f>COUNTIF(P10:P251,"CNTT")</f>
        <v>1</v>
      </c>
      <c r="Q6" s="59">
        <f>COUNTIF(P10:P251,"ĐC")</f>
        <v>1</v>
      </c>
      <c r="R6" s="59">
        <f>COUNTIF(P10:P251,"TĐC")-COUNTIF(C10:C234,"Phục hồi")</f>
        <v>1</v>
      </c>
      <c r="S6" s="58">
        <f>COUNTIF(P10:P251,"BA")</f>
        <v>1</v>
      </c>
      <c r="T6" s="60">
        <f>COUNTIF(P10:P251,"CN tại tòa")</f>
        <v>0</v>
      </c>
      <c r="U6" s="58">
        <f>COUNTIF(P10:P251,"ĐC tại tòa")</f>
        <v>0</v>
      </c>
      <c r="V6" s="58">
        <f>COUNTIF(P10:P251,"QĐ giải quyết việc")</f>
        <v>2</v>
      </c>
      <c r="W6" s="56"/>
      <c r="X6" s="41">
        <f>N6-Y6</f>
        <v>0</v>
      </c>
      <c r="Y6" s="61">
        <f>COUNTIFS(C10:C228,"Việc",P10:P228,"")+COUNTIFS(C10:C228,"Việc cũ",P10:P228,"")+COUNTIFS(C10:C228,"Chuyển đến việc",P10:P228,"")</f>
        <v>2</v>
      </c>
    </row>
    <row r="7" spans="1:26" ht="36.75" customHeight="1" thickBot="1" x14ac:dyDescent="0.35">
      <c r="B7" s="62"/>
      <c r="C7" s="63"/>
      <c r="D7" s="64" t="s">
        <v>28</v>
      </c>
      <c r="E7" s="63">
        <f>COUNTIF(C10:C197,"Việc")</f>
        <v>2</v>
      </c>
      <c r="F7" s="64"/>
      <c r="G7" s="63"/>
      <c r="H7" s="64" t="s">
        <v>112</v>
      </c>
      <c r="I7" s="65">
        <f>COUNTIF(P10:P237,"Chuyển đến việc")</f>
        <v>0</v>
      </c>
      <c r="J7" s="65"/>
      <c r="K7" s="66"/>
      <c r="L7" s="66"/>
      <c r="M7" s="66" t="s">
        <v>22</v>
      </c>
      <c r="N7" s="67">
        <f>100%-N5</f>
        <v>0.25</v>
      </c>
      <c r="O7" s="68"/>
      <c r="P7" s="68"/>
      <c r="Q7" s="63"/>
      <c r="R7" s="63"/>
      <c r="S7" s="162" t="s">
        <v>69</v>
      </c>
      <c r="T7" s="162"/>
      <c r="U7" s="65">
        <f>SUM(S6:V6)</f>
        <v>3</v>
      </c>
      <c r="V7" s="162"/>
      <c r="W7" s="162"/>
      <c r="X7" s="63"/>
      <c r="Y7" s="69"/>
    </row>
    <row r="8" spans="1:26" ht="30" customHeight="1" x14ac:dyDescent="0.3">
      <c r="B8" s="163" t="s">
        <v>13</v>
      </c>
      <c r="C8" s="164"/>
      <c r="D8" s="164"/>
      <c r="E8" s="164"/>
      <c r="F8" s="164"/>
      <c r="G8" s="164"/>
      <c r="H8" s="164"/>
      <c r="I8" s="164"/>
      <c r="J8" s="164"/>
      <c r="K8" s="164"/>
      <c r="L8" s="164"/>
      <c r="M8" s="165"/>
      <c r="N8" s="166" t="s">
        <v>7</v>
      </c>
      <c r="O8" s="167"/>
      <c r="P8" s="167"/>
      <c r="Q8" s="167"/>
      <c r="R8" s="167"/>
      <c r="S8" s="167"/>
      <c r="T8" s="167"/>
      <c r="U8" s="167"/>
      <c r="V8" s="167"/>
      <c r="W8" s="167"/>
      <c r="X8" s="160" t="s">
        <v>74</v>
      </c>
      <c r="Y8" s="161"/>
    </row>
    <row r="9" spans="1:26" ht="60.75" customHeight="1" x14ac:dyDescent="0.3">
      <c r="A9" s="24" t="s">
        <v>88</v>
      </c>
      <c r="B9" s="26" t="s">
        <v>67</v>
      </c>
      <c r="C9" s="27" t="s">
        <v>0</v>
      </c>
      <c r="D9" s="27" t="s">
        <v>6</v>
      </c>
      <c r="E9" s="27" t="s">
        <v>3</v>
      </c>
      <c r="F9" s="28" t="s">
        <v>29</v>
      </c>
      <c r="G9" s="28" t="s">
        <v>30</v>
      </c>
      <c r="H9" s="27" t="s">
        <v>39</v>
      </c>
      <c r="I9" s="28" t="s">
        <v>15</v>
      </c>
      <c r="J9" s="27" t="s">
        <v>14</v>
      </c>
      <c r="K9" s="27" t="s">
        <v>12</v>
      </c>
      <c r="L9" s="27" t="s">
        <v>31</v>
      </c>
      <c r="M9" s="29" t="s">
        <v>32</v>
      </c>
      <c r="N9" s="30" t="s">
        <v>46</v>
      </c>
      <c r="O9" s="28" t="s">
        <v>19</v>
      </c>
      <c r="P9" s="27" t="s">
        <v>16</v>
      </c>
      <c r="Q9" s="27" t="s">
        <v>3</v>
      </c>
      <c r="R9" s="28" t="s">
        <v>29</v>
      </c>
      <c r="S9" s="28" t="s">
        <v>30</v>
      </c>
      <c r="T9" s="27" t="s">
        <v>31</v>
      </c>
      <c r="U9" s="27" t="s">
        <v>32</v>
      </c>
      <c r="V9" s="27" t="s">
        <v>43</v>
      </c>
      <c r="W9" s="76" t="s">
        <v>9</v>
      </c>
      <c r="X9" s="31" t="s">
        <v>75</v>
      </c>
      <c r="Y9" s="32" t="s">
        <v>76</v>
      </c>
      <c r="Z9" s="24" t="s">
        <v>88</v>
      </c>
    </row>
    <row r="10" spans="1:26" x14ac:dyDescent="0.3">
      <c r="A10" s="24">
        <v>1</v>
      </c>
      <c r="B10" s="147">
        <v>1</v>
      </c>
      <c r="C10" s="33" t="s">
        <v>40</v>
      </c>
      <c r="D10" s="33" t="s">
        <v>158</v>
      </c>
      <c r="E10" s="25">
        <v>1</v>
      </c>
      <c r="F10" s="34">
        <v>45690</v>
      </c>
      <c r="G10" s="34">
        <v>45690</v>
      </c>
      <c r="H10" s="25"/>
      <c r="I10" s="70">
        <f>IF(C10="Trả lại đơn vụ","",IF(C10="Trả lại đơn việc","",IF(C10="Hòa giải thành","",IF(F10=0,"",EDATE(F10,VLOOKUP(C10,'Thời hạn'!$A$1:$B$10,2,0))+H10))))</f>
        <v>45810</v>
      </c>
      <c r="J10" s="59" t="str">
        <f ca="1">IF(C10="Trả lại đơn vụ","",IF(C10="Trả lại đơn việc","",IF(C10="Hòa giải thành","",IF(N10=0,IF(P10=0,IF(F10=0,"",I10-TODAY()+1),""),""))))</f>
        <v/>
      </c>
      <c r="K10" s="25" t="s">
        <v>148</v>
      </c>
      <c r="L10" s="129">
        <v>3</v>
      </c>
      <c r="M10" s="130">
        <v>2</v>
      </c>
      <c r="N10" s="35"/>
      <c r="O10" s="34"/>
      <c r="P10" s="25" t="s">
        <v>2</v>
      </c>
      <c r="Q10" s="25">
        <v>12</v>
      </c>
      <c r="R10" s="34">
        <v>45749</v>
      </c>
      <c r="S10" s="34">
        <v>45750</v>
      </c>
      <c r="T10" s="137">
        <v>23</v>
      </c>
      <c r="U10" s="137">
        <v>4</v>
      </c>
      <c r="V10" s="36" t="s">
        <v>155</v>
      </c>
      <c r="W10" s="77"/>
      <c r="X10" s="71" t="str">
        <f>IF(C10="Trả lại đơn vụ","",IF(C10="Trả lại đơn việc","",IF((NETWORKDAYS(F10,G10,'Danh sách ngày nghỉ lễ'!$B$5:$B$25)-1-3)&gt;0,"Quá hạn"&amp;" "&amp;(NETWORKDAYS(F10,G10,'Danh sách ngày nghỉ lễ'!$B$5:$B$25)-1-3)&amp;" "&amp;"ngày","")))</f>
        <v/>
      </c>
      <c r="Y10" s="72" t="str">
        <f>IF(S10=0,"",IF(P10="Chuyển","",IF(P10="Nhập vào vụ khác","",IF(P10="BA",IF((S10-R10)&gt;10,"Quá hạn"&amp;" "&amp;(S10-R10-10)&amp;" "&amp;"ngày",""),IF((NETWORKDAYS(R10,S10,'Danh sách ngày nghỉ lễ'!$B$5:$B$25)-VLOOKUP(P10,'Thời hạn'!$A$17:$B$23,2,0))&gt;1,"Quá hạn"&amp;" "&amp;(NETWORKDAYS(R10,S10,'Danh sách ngày nghỉ lễ'!$B$5:$B$25)-1-VLOOKUP(P10,'Thời hạn'!$A$17:$B$23,2,0))&amp;" "&amp;"ngày","")))))</f>
        <v/>
      </c>
      <c r="Z10" s="23">
        <v>1</v>
      </c>
    </row>
    <row r="11" spans="1:26" x14ac:dyDescent="0.3">
      <c r="A11" s="24">
        <v>1</v>
      </c>
      <c r="B11" s="147">
        <v>2</v>
      </c>
      <c r="C11" s="33" t="s">
        <v>40</v>
      </c>
      <c r="D11" s="33" t="s">
        <v>159</v>
      </c>
      <c r="E11" s="25">
        <v>2</v>
      </c>
      <c r="F11" s="34">
        <v>45718</v>
      </c>
      <c r="G11" s="34">
        <v>45726</v>
      </c>
      <c r="H11" s="25"/>
      <c r="I11" s="70">
        <f>IF(C11="Trả lại đơn vụ","",IF(C11="Trả lại đơn việc","",IF(C11="Hòa giải thành","",IF(F11=0,"",EDATE(F11,VLOOKUP(C11,'Thời hạn'!$A$1:$B$10,2,0))+H11))))</f>
        <v>45840</v>
      </c>
      <c r="J11" s="59" t="str">
        <f t="shared" ref="J11:J74" ca="1" si="0">IF(C11="Trả lại đơn vụ","",IF(C11="Trả lại đơn việc","",IF(C11="Hòa giải thành","",IF(N11=0,IF(P11=0,IF(F11=0,"",I11-TODAY()+1),""),""))))</f>
        <v/>
      </c>
      <c r="K11" s="25" t="s">
        <v>149</v>
      </c>
      <c r="L11" s="129">
        <v>8</v>
      </c>
      <c r="M11" s="130">
        <v>3</v>
      </c>
      <c r="N11" s="35"/>
      <c r="O11" s="34"/>
      <c r="P11" s="25" t="s">
        <v>11</v>
      </c>
      <c r="Q11" s="25">
        <v>34</v>
      </c>
      <c r="R11" s="34">
        <v>45787</v>
      </c>
      <c r="S11" s="34">
        <v>45797</v>
      </c>
      <c r="T11" s="137">
        <v>30</v>
      </c>
      <c r="U11" s="137">
        <v>5</v>
      </c>
      <c r="V11" s="36"/>
      <c r="W11" s="77" t="s">
        <v>156</v>
      </c>
      <c r="X11" s="71" t="str">
        <f>IF(C11="Trả lại đơn vụ","",IF(C11="Trả lại đơn việc","",IF((NETWORKDAYS(F11,G11,'Danh sách ngày nghỉ lễ'!$B$5:$B$25)-1-3)&gt;0,"Quá hạn"&amp;" "&amp;(NETWORKDAYS(F11,G11,'Danh sách ngày nghỉ lễ'!$B$5:$B$25)-1-3)&amp;" "&amp;"ngày","")))</f>
        <v>Quá hạn 2 ngày</v>
      </c>
      <c r="Y11" s="72" t="str">
        <f>IF(S11=0,"",IF(P11="Chuyển","",IF(P11="Nhập vào vụ khác","",IF(P11="BA",IF((S11-R11)&gt;10,"Quá hạn"&amp;" "&amp;(S11-R11-10)&amp;" "&amp;"ngày",""),IF((NETWORKDAYS(R11,S11,'Danh sách ngày nghỉ lễ'!$B$5:$B$25)-VLOOKUP(P11,'Thời hạn'!$A$17:$B$23,2,0))&gt;1,"Quá hạn"&amp;" "&amp;(NETWORKDAYS(R11,S11,'Danh sách ngày nghỉ lễ'!$B$5:$B$25)-1-VLOOKUP(P11,'Thời hạn'!$A$17:$B$23,2,0))&amp;" "&amp;"ngày","")))))</f>
        <v>Quá hạn 3 ngày</v>
      </c>
      <c r="Z11" s="23">
        <v>1</v>
      </c>
    </row>
    <row r="12" spans="1:26" ht="31.2" x14ac:dyDescent="0.3">
      <c r="A12" s="24">
        <v>1</v>
      </c>
      <c r="B12" s="147">
        <v>3</v>
      </c>
      <c r="C12" s="33" t="s">
        <v>45</v>
      </c>
      <c r="D12" s="33" t="s">
        <v>160</v>
      </c>
      <c r="E12" s="25">
        <v>3</v>
      </c>
      <c r="F12" s="34">
        <v>45750</v>
      </c>
      <c r="G12" s="34">
        <v>45751</v>
      </c>
      <c r="H12" s="25"/>
      <c r="I12" s="70">
        <f>IF(C12="Trả lại đơn vụ","",IF(C12="Trả lại đơn việc","",IF(C12="Hòa giải thành","",IF(F12=0,"",EDATE(F12,VLOOKUP(C12,'Thời hạn'!$A$1:$B$10,2,0))+H12))))</f>
        <v>45780</v>
      </c>
      <c r="J12" s="59" t="str">
        <f t="shared" ca="1" si="0"/>
        <v/>
      </c>
      <c r="K12" s="25" t="s">
        <v>150</v>
      </c>
      <c r="L12" s="129">
        <v>9</v>
      </c>
      <c r="M12" s="130">
        <v>4</v>
      </c>
      <c r="N12" s="35"/>
      <c r="O12" s="34"/>
      <c r="P12" s="25" t="s">
        <v>68</v>
      </c>
      <c r="Q12" s="25">
        <v>56</v>
      </c>
      <c r="R12" s="34">
        <v>45780</v>
      </c>
      <c r="S12" s="34">
        <v>45781</v>
      </c>
      <c r="T12" s="137"/>
      <c r="U12" s="137">
        <v>5</v>
      </c>
      <c r="V12" s="36"/>
      <c r="W12" s="77"/>
      <c r="X12" s="71" t="str">
        <f>IF(C12="Trả lại đơn vụ","",IF(C12="Trả lại đơn việc","",IF((NETWORKDAYS(F12,G12,'Danh sách ngày nghỉ lễ'!$B$5:$B$25)-1-3)&gt;0,"Quá hạn"&amp;" "&amp;(NETWORKDAYS(F12,G12,'Danh sách ngày nghỉ lễ'!$B$5:$B$25)-1-3)&amp;" "&amp;"ngày","")))</f>
        <v/>
      </c>
      <c r="Y12" s="72" t="str">
        <f>IF(S12=0,"",IF(P12="Chuyển","",IF(P12="Nhập vào vụ khác","",IF(P12="BA",IF((S12-R12)&gt;10,"Quá hạn"&amp;" "&amp;(S12-R12-10)&amp;" "&amp;"ngày",""),IF((NETWORKDAYS(R12,S12,'Danh sách ngày nghỉ lễ'!$B$5:$B$25)-VLOOKUP(P12,'Thời hạn'!$A$17:$B$23,2,0))&gt;1,"Quá hạn"&amp;" "&amp;(NETWORKDAYS(R12,S12,'Danh sách ngày nghỉ lễ'!$B$5:$B$25)-1-VLOOKUP(P12,'Thời hạn'!$A$17:$B$23,2,0))&amp;" "&amp;"ngày","")))))</f>
        <v/>
      </c>
      <c r="Z12" s="23">
        <v>1</v>
      </c>
    </row>
    <row r="13" spans="1:26" x14ac:dyDescent="0.3">
      <c r="A13" s="24">
        <v>1</v>
      </c>
      <c r="B13" s="147">
        <v>4</v>
      </c>
      <c r="C13" s="33" t="s">
        <v>45</v>
      </c>
      <c r="D13" s="33" t="s">
        <v>161</v>
      </c>
      <c r="E13" s="25">
        <v>4</v>
      </c>
      <c r="F13" s="34">
        <v>45781</v>
      </c>
      <c r="G13" s="34">
        <v>45783</v>
      </c>
      <c r="H13" s="25"/>
      <c r="I13" s="70">
        <f>IF(C13="Trả lại đơn vụ","",IF(C13="Trả lại đơn việc","",IF(C13="Hòa giải thành","",IF(F13=0,"",EDATE(F13,VLOOKUP(C13,'Thời hạn'!$A$1:$B$10,2,0))+H13))))</f>
        <v>45812</v>
      </c>
      <c r="J13" s="59">
        <f t="shared" ca="1" si="0"/>
        <v>-59</v>
      </c>
      <c r="K13" s="25" t="s">
        <v>152</v>
      </c>
      <c r="L13" s="129">
        <v>15</v>
      </c>
      <c r="M13" s="130">
        <v>5</v>
      </c>
      <c r="N13" s="35"/>
      <c r="O13" s="34"/>
      <c r="P13" s="25"/>
      <c r="Q13" s="25">
        <v>78</v>
      </c>
      <c r="R13" s="34"/>
      <c r="S13" s="34"/>
      <c r="T13" s="137"/>
      <c r="U13" s="137"/>
      <c r="V13" s="36"/>
      <c r="W13" s="77"/>
      <c r="X13" s="71" t="str">
        <f>IF(C13="Trả lại đơn vụ","",IF(C13="Trả lại đơn việc","",IF((NETWORKDAYS(F13,G13,'Danh sách ngày nghỉ lễ'!$B$5:$B$25)-1-3)&gt;0,"Quá hạn"&amp;" "&amp;(NETWORKDAYS(F13,G13,'Danh sách ngày nghỉ lễ'!$B$5:$B$25)-1-3)&amp;" "&amp;"ngày","")))</f>
        <v/>
      </c>
      <c r="Y13" s="72" t="str">
        <f>IF(S13=0,"",IF(P13="Chuyển","",IF(P13="Nhập vào vụ khác","",IF(P13="BA",IF((S13-R13)&gt;10,"Quá hạn"&amp;" "&amp;(S13-R13-10)&amp;" "&amp;"ngày",""),IF((NETWORKDAYS(R13,S13,'Danh sách ngày nghỉ lễ'!$B$5:$B$25)-VLOOKUP(P13,'Thời hạn'!$A$17:$B$23,2,0))&gt;1,"Quá hạn"&amp;" "&amp;(NETWORKDAYS(R13,S13,'Danh sách ngày nghỉ lễ'!$B$5:$B$25)-1-VLOOKUP(P13,'Thời hạn'!$A$17:$B$23,2,0))&amp;" "&amp;"ngày","")))))</f>
        <v/>
      </c>
      <c r="Z13" s="23">
        <v>1</v>
      </c>
    </row>
    <row r="14" spans="1:26" x14ac:dyDescent="0.3">
      <c r="A14" s="24">
        <v>1</v>
      </c>
      <c r="B14" s="147">
        <v>5</v>
      </c>
      <c r="C14" s="33" t="s">
        <v>1</v>
      </c>
      <c r="D14" s="33" t="s">
        <v>162</v>
      </c>
      <c r="E14" s="25">
        <v>5</v>
      </c>
      <c r="F14" s="34">
        <v>45813</v>
      </c>
      <c r="G14" s="34">
        <v>45820</v>
      </c>
      <c r="H14" s="25"/>
      <c r="I14" s="70">
        <f>IF(C14="Trả lại đơn vụ","",IF(C14="Trả lại đơn việc","",IF(C14="Hòa giải thành","",IF(F14=0,"",EDATE(F14,VLOOKUP(C14,'Thời hạn'!$A$1:$B$10,2,0))+H14))))</f>
        <v>45935</v>
      </c>
      <c r="J14" s="59" t="str">
        <f t="shared" ca="1" si="0"/>
        <v/>
      </c>
      <c r="K14" s="25" t="s">
        <v>154</v>
      </c>
      <c r="L14" s="129">
        <v>23</v>
      </c>
      <c r="M14" s="130">
        <v>6</v>
      </c>
      <c r="N14" s="35"/>
      <c r="O14" s="34"/>
      <c r="P14" s="25" t="s">
        <v>8</v>
      </c>
      <c r="Q14" s="25">
        <v>54</v>
      </c>
      <c r="R14" s="34">
        <v>45931</v>
      </c>
      <c r="S14" s="34">
        <v>45932</v>
      </c>
      <c r="T14" s="137">
        <v>41</v>
      </c>
      <c r="U14" s="137">
        <v>10</v>
      </c>
      <c r="V14" s="36"/>
      <c r="W14" s="77"/>
      <c r="X14" s="71" t="str">
        <f>IF(C14="Trả lại đơn vụ","",IF(C14="Trả lại đơn việc","",IF((NETWORKDAYS(F14,G14,'Danh sách ngày nghỉ lễ'!$B$5:$B$25)-1-3)&gt;0,"Quá hạn"&amp;" "&amp;(NETWORKDAYS(F14,G14,'Danh sách ngày nghỉ lễ'!$B$5:$B$25)-1-3)&amp;" "&amp;"ngày","")))</f>
        <v>Quá hạn 2 ngày</v>
      </c>
      <c r="Y14" s="72" t="str">
        <f>IF(S14=0,"",IF(P14="Chuyển","",IF(P14="Nhập vào vụ khác","",IF(P14="BA",IF((S14-R14)&gt;10,"Quá hạn"&amp;" "&amp;(S14-R14-10)&amp;" "&amp;"ngày",""),IF((NETWORKDAYS(R14,S14,'Danh sách ngày nghỉ lễ'!$B$5:$B$25)-VLOOKUP(P14,'Thời hạn'!$A$17:$B$23,2,0))&gt;1,"Quá hạn"&amp;" "&amp;(NETWORKDAYS(R14,S14,'Danh sách ngày nghỉ lễ'!$B$5:$B$25)-1-VLOOKUP(P14,'Thời hạn'!$A$17:$B$23,2,0))&amp;" "&amp;"ngày","")))))</f>
        <v/>
      </c>
      <c r="Z14" s="23">
        <v>1</v>
      </c>
    </row>
    <row r="15" spans="1:26" x14ac:dyDescent="0.3">
      <c r="A15" s="24">
        <v>1</v>
      </c>
      <c r="B15" s="147">
        <v>6</v>
      </c>
      <c r="C15" s="33" t="s">
        <v>1</v>
      </c>
      <c r="D15" s="33" t="s">
        <v>163</v>
      </c>
      <c r="E15" s="25">
        <v>6</v>
      </c>
      <c r="F15" s="34">
        <v>45844</v>
      </c>
      <c r="G15" s="34">
        <v>45852</v>
      </c>
      <c r="H15" s="148"/>
      <c r="I15" s="70">
        <f>IF(C15="Trả lại đơn vụ","",IF(C15="Trả lại đơn việc","",IF(C15="Hòa giải thành","",IF(F15=0,"",EDATE(F15,VLOOKUP(C15,'Thời hạn'!$A$1:$B$10,2,0))+H15))))</f>
        <v>45967</v>
      </c>
      <c r="J15" s="59" t="str">
        <f t="shared" ca="1" si="0"/>
        <v/>
      </c>
      <c r="K15" s="25" t="s">
        <v>148</v>
      </c>
      <c r="L15" s="129">
        <v>27</v>
      </c>
      <c r="M15" s="130">
        <v>7</v>
      </c>
      <c r="N15" s="35"/>
      <c r="O15" s="34"/>
      <c r="P15" s="25" t="s">
        <v>10</v>
      </c>
      <c r="Q15" s="25">
        <v>22</v>
      </c>
      <c r="R15" s="34">
        <v>45857</v>
      </c>
      <c r="S15" s="34">
        <v>45858</v>
      </c>
      <c r="T15" s="137">
        <v>26</v>
      </c>
      <c r="U15" s="137">
        <v>7</v>
      </c>
      <c r="V15" s="36"/>
      <c r="W15" s="77" t="s">
        <v>157</v>
      </c>
      <c r="X15" s="71" t="str">
        <f>IF(C15="Trả lại đơn vụ","",IF(C15="Trả lại đơn việc","",IF((NETWORKDAYS(F15,G15,'Danh sách ngày nghỉ lễ'!$B$5:$B$25)-1-3)&gt;0,"Quá hạn"&amp;" "&amp;(NETWORKDAYS(F15,G15,'Danh sách ngày nghỉ lễ'!$B$5:$B$25)-1-3)&amp;" "&amp;"ngày","")))</f>
        <v>Quá hạn 2 ngày</v>
      </c>
      <c r="Y15" s="72" t="str">
        <f>IF(S15=0,"",IF(P15="Chuyển","",IF(P15="Nhập vào vụ khác","",IF(P15="BA",IF((S15-R15)&gt;10,"Quá hạn"&amp;" "&amp;(S15-R15-10)&amp;" "&amp;"ngày",""),IF((NETWORKDAYS(R15,S15,'Danh sách ngày nghỉ lễ'!$B$5:$B$25)-VLOOKUP(P15,'Thời hạn'!$A$17:$B$23,2,0))&gt;1,"Quá hạn"&amp;" "&amp;(NETWORKDAYS(R15,S15,'Danh sách ngày nghỉ lễ'!$B$5:$B$25)-1-VLOOKUP(P15,'Thời hạn'!$A$17:$B$23,2,0))&amp;" "&amp;"ngày","")))))</f>
        <v/>
      </c>
      <c r="Z15" s="23">
        <v>1</v>
      </c>
    </row>
    <row r="16" spans="1:26" ht="31.2" x14ac:dyDescent="0.3">
      <c r="A16" s="24">
        <v>1</v>
      </c>
      <c r="B16" s="147">
        <v>7</v>
      </c>
      <c r="C16" s="33" t="s">
        <v>44</v>
      </c>
      <c r="D16" s="33" t="s">
        <v>164</v>
      </c>
      <c r="E16" s="25">
        <v>7</v>
      </c>
      <c r="F16" s="34">
        <v>45851</v>
      </c>
      <c r="G16" s="34">
        <v>45852</v>
      </c>
      <c r="H16" s="25"/>
      <c r="I16" s="70">
        <f>IF(C16="Trả lại đơn vụ","",IF(C16="Trả lại đơn việc","",IF(C16="Hòa giải thành","",IF(F16=0,"",EDATE(F16,VLOOKUP(C16,'Thời hạn'!$A$1:$B$10,2,0))+H16))))</f>
        <v>45882</v>
      </c>
      <c r="J16" s="59" t="str">
        <f t="shared" ca="1" si="0"/>
        <v/>
      </c>
      <c r="K16" s="25" t="s">
        <v>151</v>
      </c>
      <c r="L16" s="129">
        <v>28</v>
      </c>
      <c r="M16" s="130">
        <v>7</v>
      </c>
      <c r="N16" s="35"/>
      <c r="O16" s="34"/>
      <c r="P16" s="25" t="s">
        <v>68</v>
      </c>
      <c r="Q16" s="25">
        <v>74</v>
      </c>
      <c r="R16" s="34">
        <v>45857</v>
      </c>
      <c r="S16" s="34">
        <v>45858</v>
      </c>
      <c r="T16" s="137">
        <v>26</v>
      </c>
      <c r="U16" s="137">
        <v>7</v>
      </c>
      <c r="V16" s="36"/>
      <c r="W16" s="77"/>
      <c r="X16" s="71" t="str">
        <f>IF(C16="Trả lại đơn vụ","",IF(C16="Trả lại đơn việc","",IF((NETWORKDAYS(F16,G16,'Danh sách ngày nghỉ lễ'!$B$5:$B$25)-1-3)&gt;0,"Quá hạn"&amp;" "&amp;(NETWORKDAYS(F16,G16,'Danh sách ngày nghỉ lễ'!$B$5:$B$25)-1-3)&amp;" "&amp;"ngày","")))</f>
        <v/>
      </c>
      <c r="Y16" s="72" t="str">
        <f>IF(S16=0,"",IF(P16="Chuyển","",IF(P16="Nhập vào vụ khác","",IF(P16="BA",IF((S16-R16)&gt;10,"Quá hạn"&amp;" "&amp;(S16-R16-10)&amp;" "&amp;"ngày",""),IF((NETWORKDAYS(R16,S16,'Danh sách ngày nghỉ lễ'!$B$5:$B$25)-VLOOKUP(P16,'Thời hạn'!$A$17:$B$23,2,0))&gt;1,"Quá hạn"&amp;" "&amp;(NETWORKDAYS(R16,S16,'Danh sách ngày nghỉ lễ'!$B$5:$B$25)-1-VLOOKUP(P16,'Thời hạn'!$A$17:$B$23,2,0))&amp;" "&amp;"ngày","")))))</f>
        <v/>
      </c>
      <c r="Z16" s="23">
        <v>1</v>
      </c>
    </row>
    <row r="17" spans="1:26" x14ac:dyDescent="0.3">
      <c r="A17" s="24">
        <v>1</v>
      </c>
      <c r="B17" s="147">
        <v>8</v>
      </c>
      <c r="C17" s="33" t="s">
        <v>44</v>
      </c>
      <c r="D17" s="33" t="s">
        <v>165</v>
      </c>
      <c r="E17" s="25">
        <v>8</v>
      </c>
      <c r="F17" s="34">
        <v>45852</v>
      </c>
      <c r="G17" s="34">
        <v>45852</v>
      </c>
      <c r="H17" s="25"/>
      <c r="I17" s="70">
        <f>IF(C17="Trả lại đơn vụ","",IF(C17="Trả lại đơn việc","",IF(C17="Hòa giải thành","",IF(F17=0,"",EDATE(F17,VLOOKUP(C17,'Thời hạn'!$A$1:$B$10,2,0))+H17))))</f>
        <v>45883</v>
      </c>
      <c r="J17" s="59">
        <f t="shared" ca="1" si="0"/>
        <v>12</v>
      </c>
      <c r="K17" s="25" t="s">
        <v>153</v>
      </c>
      <c r="L17" s="129">
        <v>28</v>
      </c>
      <c r="M17" s="130">
        <v>7</v>
      </c>
      <c r="N17" s="35"/>
      <c r="O17" s="34"/>
      <c r="P17" s="25"/>
      <c r="Q17" s="25"/>
      <c r="R17" s="34"/>
      <c r="S17" s="34"/>
      <c r="T17" s="137"/>
      <c r="U17" s="137"/>
      <c r="V17" s="36"/>
      <c r="W17" s="77"/>
      <c r="X17" s="71" t="str">
        <f>IF(C17="Trả lại đơn vụ","",IF(C17="Trả lại đơn việc","",IF((NETWORKDAYS(F17,G17,'Danh sách ngày nghỉ lễ'!$B$5:$B$25)-1-3)&gt;0,"Quá hạn"&amp;" "&amp;(NETWORKDAYS(F17,G17,'Danh sách ngày nghỉ lễ'!$B$5:$B$25)-1-3)&amp;" "&amp;"ngày","")))</f>
        <v/>
      </c>
      <c r="Y17" s="72" t="str">
        <f>IF(S17=0,"",IF(P17="Chuyển","",IF(P17="Nhập vào vụ khác","",IF(P17="BA",IF((S17-R17)&gt;10,"Quá hạn"&amp;" "&amp;(S17-R17-10)&amp;" "&amp;"ngày",""),IF((NETWORKDAYS(R17,S17,'Danh sách ngày nghỉ lễ'!$B$5:$B$25)-VLOOKUP(P17,'Thời hạn'!$A$17:$B$23,2,0))&gt;1,"Quá hạn"&amp;" "&amp;(NETWORKDAYS(R17,S17,'Danh sách ngày nghỉ lễ'!$B$5:$B$25)-1-VLOOKUP(P17,'Thời hạn'!$A$17:$B$23,2,0))&amp;" "&amp;"ngày","")))))</f>
        <v/>
      </c>
      <c r="Z17" s="23">
        <v>1</v>
      </c>
    </row>
    <row r="18" spans="1:26" x14ac:dyDescent="0.3">
      <c r="A18" s="24">
        <v>1</v>
      </c>
      <c r="B18" s="147"/>
      <c r="C18" s="33"/>
      <c r="D18" s="25"/>
      <c r="E18" s="25"/>
      <c r="F18" s="34"/>
      <c r="G18" s="34"/>
      <c r="H18" s="25"/>
      <c r="I18" s="70" t="str">
        <f>IF(C18="Trả lại đơn vụ","",IF(C18="Trả lại đơn việc","",IF(C18="Hòa giải thành","",IF(F18=0,"",EDATE(F18,VLOOKUP(C18,'Thời hạn'!$A$1:$B$10,2,0))+H18))))</f>
        <v/>
      </c>
      <c r="J18" s="59" t="str">
        <f t="shared" ca="1" si="0"/>
        <v/>
      </c>
      <c r="K18" s="25"/>
      <c r="L18" s="129"/>
      <c r="M18" s="130"/>
      <c r="N18" s="35"/>
      <c r="O18" s="34"/>
      <c r="P18" s="25"/>
      <c r="Q18" s="25"/>
      <c r="R18" s="34"/>
      <c r="S18" s="34"/>
      <c r="T18" s="137"/>
      <c r="U18" s="137"/>
      <c r="V18" s="36"/>
      <c r="W18" s="77"/>
      <c r="X18" s="71" t="str">
        <f>IF(C18="Trả lại đơn vụ","",IF(C18="Trả lại đơn việc","",IF((NETWORKDAYS(F18,G18,'Danh sách ngày nghỉ lễ'!$B$5:$B$25)-1-3)&gt;0,"Quá hạn"&amp;" "&amp;(NETWORKDAYS(F18,G18,'Danh sách ngày nghỉ lễ'!$B$5:$B$25)-1-3)&amp;" "&amp;"ngày","")))</f>
        <v/>
      </c>
      <c r="Y18" s="72" t="str">
        <f>IF(S18=0,"",IF(P18="Chuyển","",IF(P18="Nhập vào vụ khác","",IF(P18="BA",IF((S18-R18)&gt;10,"Quá hạn"&amp;" "&amp;(S18-R18-10)&amp;" "&amp;"ngày",""),IF((NETWORKDAYS(R18,S18,'Danh sách ngày nghỉ lễ'!$B$5:$B$25)-VLOOKUP(P18,'Thời hạn'!$A$17:$B$23,2,0))&gt;1,"Quá hạn"&amp;" "&amp;(NETWORKDAYS(R18,S18,'Danh sách ngày nghỉ lễ'!$B$5:$B$25)-1-VLOOKUP(P18,'Thời hạn'!$A$17:$B$23,2,0))&amp;" "&amp;"ngày","")))))</f>
        <v/>
      </c>
      <c r="Z18" s="23">
        <v>1</v>
      </c>
    </row>
    <row r="19" spans="1:26" x14ac:dyDescent="0.3">
      <c r="A19" s="24">
        <v>1</v>
      </c>
      <c r="B19" s="147"/>
      <c r="C19" s="33"/>
      <c r="D19" s="25"/>
      <c r="E19" s="25"/>
      <c r="F19" s="34"/>
      <c r="G19" s="34"/>
      <c r="H19" s="25"/>
      <c r="I19" s="70" t="str">
        <f>IF(C19="Trả lại đơn vụ","",IF(C19="Trả lại đơn việc","",IF(C19="Hòa giải thành","",IF(F19=0,"",EDATE(F19,VLOOKUP(C19,'Thời hạn'!$A$1:$B$10,2,0))+H19))))</f>
        <v/>
      </c>
      <c r="J19" s="59" t="str">
        <f t="shared" ca="1" si="0"/>
        <v/>
      </c>
      <c r="K19" s="25"/>
      <c r="L19" s="129"/>
      <c r="M19" s="130"/>
      <c r="N19" s="35"/>
      <c r="O19" s="34"/>
      <c r="P19" s="25"/>
      <c r="Q19" s="25"/>
      <c r="R19" s="34"/>
      <c r="S19" s="34"/>
      <c r="T19" s="137"/>
      <c r="U19" s="137"/>
      <c r="V19" s="36"/>
      <c r="W19" s="77"/>
      <c r="X19" s="71" t="str">
        <f>IF(C19="Trả lại đơn vụ","",IF(C19="Trả lại đơn việc","",IF((NETWORKDAYS(F19,G19,'Danh sách ngày nghỉ lễ'!$B$5:$B$25)-1-3)&gt;0,"Quá hạn"&amp;" "&amp;(NETWORKDAYS(F19,G19,'Danh sách ngày nghỉ lễ'!$B$5:$B$25)-1-3)&amp;" "&amp;"ngày","")))</f>
        <v/>
      </c>
      <c r="Y19" s="72" t="str">
        <f>IF(S19=0,"",IF(P19="Chuyển","",IF(P19="Nhập vào vụ khác","",IF(P19="BA",IF((S19-R19)&gt;10,"Quá hạn"&amp;" "&amp;(S19-R19-10)&amp;" "&amp;"ngày",""),IF((NETWORKDAYS(R19,S19,'Danh sách ngày nghỉ lễ'!$B$5:$B$25)-VLOOKUP(P19,'Thời hạn'!$A$17:$B$23,2,0))&gt;1,"Quá hạn"&amp;" "&amp;(NETWORKDAYS(R19,S19,'Danh sách ngày nghỉ lễ'!$B$5:$B$25)-1-VLOOKUP(P19,'Thời hạn'!$A$17:$B$23,2,0))&amp;" "&amp;"ngày","")))))</f>
        <v/>
      </c>
      <c r="Z19" s="23">
        <v>1</v>
      </c>
    </row>
    <row r="20" spans="1:26" x14ac:dyDescent="0.3">
      <c r="A20" s="24">
        <v>1</v>
      </c>
      <c r="B20" s="147"/>
      <c r="C20" s="33"/>
      <c r="D20" s="25"/>
      <c r="E20" s="25"/>
      <c r="F20" s="34"/>
      <c r="G20" s="34"/>
      <c r="H20" s="25"/>
      <c r="I20" s="70" t="str">
        <f>IF(C20="Trả lại đơn vụ","",IF(C20="Trả lại đơn việc","",IF(C20="Hòa giải thành","",IF(F20=0,"",EDATE(F20,VLOOKUP(C20,'Thời hạn'!$A$1:$B$10,2,0))+H20))))</f>
        <v/>
      </c>
      <c r="J20" s="59" t="str">
        <f t="shared" ca="1" si="0"/>
        <v/>
      </c>
      <c r="K20" s="25"/>
      <c r="L20" s="129"/>
      <c r="M20" s="130"/>
      <c r="N20" s="35"/>
      <c r="O20" s="34"/>
      <c r="P20" s="25"/>
      <c r="Q20" s="25"/>
      <c r="R20" s="34"/>
      <c r="S20" s="34"/>
      <c r="T20" s="137"/>
      <c r="U20" s="137"/>
      <c r="V20" s="36"/>
      <c r="W20" s="77"/>
      <c r="X20" s="71" t="str">
        <f>IF(C20="Trả lại đơn vụ","",IF(C20="Trả lại đơn việc","",IF((NETWORKDAYS(F20,G20,'Danh sách ngày nghỉ lễ'!$B$5:$B$25)-1-3)&gt;0,"Quá hạn"&amp;" "&amp;(NETWORKDAYS(F20,G20,'Danh sách ngày nghỉ lễ'!$B$5:$B$25)-1-3)&amp;" "&amp;"ngày","")))</f>
        <v/>
      </c>
      <c r="Y20" s="72" t="str">
        <f>IF(S20=0,"",IF(P20="Chuyển","",IF(P20="Nhập vào vụ khác","",IF(P20="BA",IF((S20-R20)&gt;10,"Quá hạn"&amp;" "&amp;(S20-R20-10)&amp;" "&amp;"ngày",""),IF((NETWORKDAYS(R20,S20,'Danh sách ngày nghỉ lễ'!$B$5:$B$25)-VLOOKUP(P20,'Thời hạn'!$A$17:$B$23,2,0))&gt;1,"Quá hạn"&amp;" "&amp;(NETWORKDAYS(R20,S20,'Danh sách ngày nghỉ lễ'!$B$5:$B$25)-1-VLOOKUP(P20,'Thời hạn'!$A$17:$B$23,2,0))&amp;" "&amp;"ngày","")))))</f>
        <v/>
      </c>
      <c r="Z20" s="23">
        <v>1</v>
      </c>
    </row>
    <row r="21" spans="1:26" x14ac:dyDescent="0.3">
      <c r="A21" s="24">
        <v>1</v>
      </c>
      <c r="B21" s="85"/>
      <c r="C21" s="33"/>
      <c r="D21" s="25"/>
      <c r="E21" s="25"/>
      <c r="F21" s="34"/>
      <c r="G21" s="34"/>
      <c r="H21" s="25"/>
      <c r="I21" s="70" t="str">
        <f>IF(C21="Trả lại đơn vụ","",IF(C21="Trả lại đơn việc","",IF(C21="Hòa giải thành","",IF(F21=0,"",EDATE(F21,VLOOKUP(C21,'Thời hạn'!$A$1:$B$10,2,0))+H21))))</f>
        <v/>
      </c>
      <c r="J21" s="59" t="str">
        <f t="shared" ca="1" si="0"/>
        <v/>
      </c>
      <c r="K21" s="25"/>
      <c r="L21" s="129"/>
      <c r="M21" s="130"/>
      <c r="N21" s="35"/>
      <c r="O21" s="34"/>
      <c r="P21" s="25"/>
      <c r="Q21" s="25"/>
      <c r="R21" s="34"/>
      <c r="S21" s="34"/>
      <c r="T21" s="137"/>
      <c r="U21" s="137"/>
      <c r="V21" s="36"/>
      <c r="W21" s="77"/>
      <c r="X21" s="71" t="str">
        <f>IF(C21="Trả lại đơn vụ","",IF(C21="Trả lại đơn việc","",IF((NETWORKDAYS(F21,G21,'Danh sách ngày nghỉ lễ'!$B$5:$B$25)-1-3)&gt;0,"Quá hạn"&amp;" "&amp;(NETWORKDAYS(F21,G21,'Danh sách ngày nghỉ lễ'!$B$5:$B$25)-1-3)&amp;" "&amp;"ngày","")))</f>
        <v/>
      </c>
      <c r="Y21" s="72" t="str">
        <f>IF(S21=0,"",IF(P21="Chuyển","",IF(P21="Nhập vào vụ khác","",IF(P21="BA",IF((S21-R21)&gt;10,"Quá hạn"&amp;" "&amp;(S21-R21-10)&amp;" "&amp;"ngày",""),IF((NETWORKDAYS(R21,S21,'Danh sách ngày nghỉ lễ'!$B$5:$B$25)-VLOOKUP(P21,'Thời hạn'!$A$17:$B$23,2,0))&gt;1,"Quá hạn"&amp;" "&amp;(NETWORKDAYS(R21,S21,'Danh sách ngày nghỉ lễ'!$B$5:$B$25)-1-VLOOKUP(P21,'Thời hạn'!$A$17:$B$23,2,0))&amp;" "&amp;"ngày","")))))</f>
        <v/>
      </c>
      <c r="Z21" s="23">
        <v>1</v>
      </c>
    </row>
    <row r="22" spans="1:26" x14ac:dyDescent="0.3">
      <c r="A22" s="24">
        <v>1</v>
      </c>
      <c r="B22" s="39"/>
      <c r="C22" s="33"/>
      <c r="D22" s="25"/>
      <c r="E22" s="25"/>
      <c r="F22" s="34"/>
      <c r="G22" s="34"/>
      <c r="H22" s="25"/>
      <c r="I22" s="70" t="str">
        <f>IF(C22="Trả lại đơn vụ","",IF(C22="Trả lại đơn việc","",IF(C22="Hòa giải thành","",IF(F22=0,"",EDATE(F22,VLOOKUP(C22,'Thời hạn'!$A$1:$B$10,2,0))+H22))))</f>
        <v/>
      </c>
      <c r="J22" s="59" t="str">
        <f t="shared" ca="1" si="0"/>
        <v/>
      </c>
      <c r="K22" s="25"/>
      <c r="L22" s="129"/>
      <c r="M22" s="130"/>
      <c r="N22" s="35"/>
      <c r="O22" s="34"/>
      <c r="P22" s="25"/>
      <c r="Q22" s="25"/>
      <c r="R22" s="34"/>
      <c r="S22" s="34"/>
      <c r="T22" s="137"/>
      <c r="U22" s="137"/>
      <c r="V22" s="36"/>
      <c r="W22" s="77"/>
      <c r="X22" s="71" t="str">
        <f>IF(C22="Trả lại đơn vụ","",IF(C22="Trả lại đơn việc","",IF((NETWORKDAYS(F22,G22,'Danh sách ngày nghỉ lễ'!$B$5:$B$25)-1-3)&gt;0,"Quá hạn"&amp;" "&amp;(NETWORKDAYS(F22,G22,'Danh sách ngày nghỉ lễ'!$B$5:$B$25)-1-3)&amp;" "&amp;"ngày","")))</f>
        <v/>
      </c>
      <c r="Y22" s="72" t="str">
        <f>IF(S22=0,"",IF(P22="Chuyển","",IF(P22="Nhập vào vụ khác","",IF(P22="BA",IF((S22-R22)&gt;10,"Quá hạn"&amp;" "&amp;(S22-R22-10)&amp;" "&amp;"ngày",""),IF((NETWORKDAYS(R22,S22,'Danh sách ngày nghỉ lễ'!$B$5:$B$25)-VLOOKUP(P22,'Thời hạn'!$A$17:$B$23,2,0))&gt;1,"Quá hạn"&amp;" "&amp;(NETWORKDAYS(R22,S22,'Danh sách ngày nghỉ lễ'!$B$5:$B$25)-1-VLOOKUP(P22,'Thời hạn'!$A$17:$B$23,2,0))&amp;" "&amp;"ngày","")))))</f>
        <v/>
      </c>
      <c r="Z22" s="23">
        <v>1</v>
      </c>
    </row>
    <row r="23" spans="1:26" x14ac:dyDescent="0.3">
      <c r="A23" s="24">
        <v>1</v>
      </c>
      <c r="B23" s="39"/>
      <c r="C23" s="33"/>
      <c r="D23" s="25"/>
      <c r="E23" s="25"/>
      <c r="F23" s="34"/>
      <c r="G23" s="34"/>
      <c r="H23" s="25"/>
      <c r="I23" s="70" t="str">
        <f>IF(C23="Trả lại đơn vụ","",IF(C23="Trả lại đơn việc","",IF(C23="Hòa giải thành","",IF(F23=0,"",EDATE(F23,VLOOKUP(C23,'Thời hạn'!$A$1:$B$10,2,0))+H23))))</f>
        <v/>
      </c>
      <c r="J23" s="59" t="str">
        <f t="shared" ca="1" si="0"/>
        <v/>
      </c>
      <c r="K23" s="25"/>
      <c r="L23" s="129"/>
      <c r="M23" s="130"/>
      <c r="N23" s="35"/>
      <c r="O23" s="34"/>
      <c r="P23" s="25"/>
      <c r="Q23" s="25"/>
      <c r="R23" s="34"/>
      <c r="S23" s="34"/>
      <c r="T23" s="137"/>
      <c r="U23" s="137"/>
      <c r="V23" s="36"/>
      <c r="W23" s="77"/>
      <c r="X23" s="71" t="str">
        <f>IF(C23="Trả lại đơn vụ","",IF(C23="Trả lại đơn việc","",IF((NETWORKDAYS(F23,G23,'Danh sách ngày nghỉ lễ'!$B$5:$B$25)-1-3)&gt;0,"Quá hạn"&amp;" "&amp;(NETWORKDAYS(F23,G23,'Danh sách ngày nghỉ lễ'!$B$5:$B$25)-1-3)&amp;" "&amp;"ngày","")))</f>
        <v/>
      </c>
      <c r="Y23" s="72" t="str">
        <f>IF(S23=0,"",IF(P23="Chuyển","",IF(P23="Nhập vào vụ khác","",IF(P23="BA",IF((S23-R23)&gt;10,"Quá hạn"&amp;" "&amp;(S23-R23-10)&amp;" "&amp;"ngày",""),IF((NETWORKDAYS(R23,S23,'Danh sách ngày nghỉ lễ'!$B$5:$B$25)-VLOOKUP(P23,'Thời hạn'!$A$17:$B$23,2,0))&gt;1,"Quá hạn"&amp;" "&amp;(NETWORKDAYS(R23,S23,'Danh sách ngày nghỉ lễ'!$B$5:$B$25)-1-VLOOKUP(P23,'Thời hạn'!$A$17:$B$23,2,0))&amp;" "&amp;"ngày","")))))</f>
        <v/>
      </c>
      <c r="Z23" s="23">
        <v>1</v>
      </c>
    </row>
    <row r="24" spans="1:26" x14ac:dyDescent="0.3">
      <c r="A24" s="24">
        <v>1</v>
      </c>
      <c r="B24" s="39"/>
      <c r="C24" s="33"/>
      <c r="D24" s="25"/>
      <c r="E24" s="25"/>
      <c r="F24" s="34"/>
      <c r="G24" s="34"/>
      <c r="H24" s="25"/>
      <c r="I24" s="70" t="str">
        <f>IF(C24="Trả lại đơn vụ","",IF(C24="Trả lại đơn việc","",IF(C24="Hòa giải thành","",IF(F24=0,"",EDATE(F24,VLOOKUP(C24,'Thời hạn'!$A$1:$B$10,2,0))+H24))))</f>
        <v/>
      </c>
      <c r="J24" s="59" t="str">
        <f t="shared" ca="1" si="0"/>
        <v/>
      </c>
      <c r="K24" s="25"/>
      <c r="L24" s="129"/>
      <c r="M24" s="130"/>
      <c r="N24" s="35"/>
      <c r="O24" s="34"/>
      <c r="P24" s="25"/>
      <c r="Q24" s="25"/>
      <c r="R24" s="34"/>
      <c r="S24" s="34"/>
      <c r="T24" s="137"/>
      <c r="U24" s="137"/>
      <c r="V24" s="36"/>
      <c r="W24" s="77"/>
      <c r="X24" s="71" t="str">
        <f>IF(C24="Trả lại đơn vụ","",IF(C24="Trả lại đơn việc","",IF((NETWORKDAYS(F24,G24,'Danh sách ngày nghỉ lễ'!$B$5:$B$25)-1-3)&gt;0,"Quá hạn"&amp;" "&amp;(NETWORKDAYS(F24,G24,'Danh sách ngày nghỉ lễ'!$B$5:$B$25)-1-3)&amp;" "&amp;"ngày","")))</f>
        <v/>
      </c>
      <c r="Y24" s="72" t="str">
        <f>IF(S24=0,"",IF(P24="Chuyển","",IF(P24="Nhập vào vụ khác","",IF(P24="BA",IF((S24-R24)&gt;10,"Quá hạn"&amp;" "&amp;(S24-R24-10)&amp;" "&amp;"ngày",""),IF((NETWORKDAYS(R24,S24,'Danh sách ngày nghỉ lễ'!$B$5:$B$25)-VLOOKUP(P24,'Thời hạn'!$A$17:$B$23,2,0))&gt;1,"Quá hạn"&amp;" "&amp;(NETWORKDAYS(R24,S24,'Danh sách ngày nghỉ lễ'!$B$5:$B$25)-1-VLOOKUP(P24,'Thời hạn'!$A$17:$B$23,2,0))&amp;" "&amp;"ngày","")))))</f>
        <v/>
      </c>
      <c r="Z24" s="23">
        <v>1</v>
      </c>
    </row>
    <row r="25" spans="1:26" x14ac:dyDescent="0.3">
      <c r="A25" s="24">
        <v>1</v>
      </c>
      <c r="B25" s="39"/>
      <c r="C25" s="33"/>
      <c r="D25" s="25"/>
      <c r="E25" s="149"/>
      <c r="F25" s="34"/>
      <c r="G25" s="34"/>
      <c r="H25" s="25"/>
      <c r="I25" s="70" t="str">
        <f>IF(C25="Trả lại đơn vụ","",IF(C25="Trả lại đơn việc","",IF(C25="Hòa giải thành","",IF(F25=0,"",EDATE(F25,VLOOKUP(C25,'Thời hạn'!$A$1:$B$10,2,0))+H25))))</f>
        <v/>
      </c>
      <c r="J25" s="59" t="str">
        <f t="shared" ca="1" si="0"/>
        <v/>
      </c>
      <c r="K25" s="25"/>
      <c r="L25" s="129"/>
      <c r="M25" s="130"/>
      <c r="N25" s="35"/>
      <c r="O25" s="34"/>
      <c r="P25" s="25"/>
      <c r="Q25" s="25"/>
      <c r="R25" s="34"/>
      <c r="S25" s="34"/>
      <c r="T25" s="137"/>
      <c r="U25" s="137"/>
      <c r="V25" s="36"/>
      <c r="W25" s="77"/>
      <c r="X25" s="71" t="str">
        <f>IF(C25="Trả lại đơn vụ","",IF(C25="Trả lại đơn việc","",IF((NETWORKDAYS(F25,G25,'Danh sách ngày nghỉ lễ'!$B$5:$B$25)-1-3)&gt;0,"Quá hạn"&amp;" "&amp;(NETWORKDAYS(F25,G25,'Danh sách ngày nghỉ lễ'!$B$5:$B$25)-1-3)&amp;" "&amp;"ngày","")))</f>
        <v/>
      </c>
      <c r="Y25" s="72" t="str">
        <f>IF(S25=0,"",IF(P25="Chuyển","",IF(P25="Nhập vào vụ khác","",IF(P25="BA",IF((S25-R25)&gt;10,"Quá hạn"&amp;" "&amp;(S25-R25-10)&amp;" "&amp;"ngày",""),IF((NETWORKDAYS(R25,S25,'Danh sách ngày nghỉ lễ'!$B$5:$B$25)-VLOOKUP(P25,'Thời hạn'!$A$17:$B$23,2,0))&gt;1,"Quá hạn"&amp;" "&amp;(NETWORKDAYS(R25,S25,'Danh sách ngày nghỉ lễ'!$B$5:$B$25)-1-VLOOKUP(P25,'Thời hạn'!$A$17:$B$23,2,0))&amp;" "&amp;"ngày","")))))</f>
        <v/>
      </c>
      <c r="Z25" s="23">
        <v>1</v>
      </c>
    </row>
    <row r="26" spans="1:26" x14ac:dyDescent="0.3">
      <c r="A26" s="24">
        <v>1</v>
      </c>
      <c r="B26" s="39"/>
      <c r="C26" s="33"/>
      <c r="D26" s="25"/>
      <c r="E26" s="25"/>
      <c r="F26" s="34"/>
      <c r="G26" s="34"/>
      <c r="H26" s="25"/>
      <c r="I26" s="70" t="str">
        <f>IF(C26="Trả lại đơn vụ","",IF(C26="Trả lại đơn việc","",IF(C26="Hòa giải thành","",IF(F26=0,"",EDATE(F26,VLOOKUP(C26,'Thời hạn'!$A$1:$B$10,2,0))+H26))))</f>
        <v/>
      </c>
      <c r="J26" s="59" t="str">
        <f t="shared" ca="1" si="0"/>
        <v/>
      </c>
      <c r="K26" s="25"/>
      <c r="L26" s="129"/>
      <c r="M26" s="130"/>
      <c r="N26" s="35"/>
      <c r="O26" s="34"/>
      <c r="P26" s="25"/>
      <c r="Q26" s="25"/>
      <c r="R26" s="34"/>
      <c r="S26" s="34"/>
      <c r="T26" s="137"/>
      <c r="U26" s="137"/>
      <c r="V26" s="36"/>
      <c r="W26" s="77"/>
      <c r="X26" s="71" t="str">
        <f>IF(C26="Trả lại đơn vụ","",IF(C26="Trả lại đơn việc","",IF((NETWORKDAYS(F26,G26,'Danh sách ngày nghỉ lễ'!$B$5:$B$25)-1-3)&gt;0,"Quá hạn"&amp;" "&amp;(NETWORKDAYS(F26,G26,'Danh sách ngày nghỉ lễ'!$B$5:$B$25)-1-3)&amp;" "&amp;"ngày","")))</f>
        <v/>
      </c>
      <c r="Y26" s="72" t="str">
        <f>IF(S26=0,"",IF(P26="Chuyển","",IF(P26="Nhập vào vụ khác","",IF(P26="BA",IF((S26-R26)&gt;10,"Quá hạn"&amp;" "&amp;(S26-R26-10)&amp;" "&amp;"ngày",""),IF((NETWORKDAYS(R26,S26,'Danh sách ngày nghỉ lễ'!$B$5:$B$25)-VLOOKUP(P26,'Thời hạn'!$A$17:$B$23,2,0))&gt;1,"Quá hạn"&amp;" "&amp;(NETWORKDAYS(R26,S26,'Danh sách ngày nghỉ lễ'!$B$5:$B$25)-1-VLOOKUP(P26,'Thời hạn'!$A$17:$B$23,2,0))&amp;" "&amp;"ngày","")))))</f>
        <v/>
      </c>
      <c r="Z26" s="23">
        <v>1</v>
      </c>
    </row>
    <row r="27" spans="1:26" ht="45.75" customHeight="1" x14ac:dyDescent="0.3">
      <c r="A27" s="24">
        <v>1</v>
      </c>
      <c r="B27" s="39"/>
      <c r="C27" s="33"/>
      <c r="D27" s="25"/>
      <c r="E27" s="25"/>
      <c r="F27" s="34"/>
      <c r="G27" s="34"/>
      <c r="H27" s="25"/>
      <c r="I27" s="70" t="str">
        <f>IF(C27="Trả lại đơn vụ","",IF(C27="Trả lại đơn việc","",IF(C27="Hòa giải thành","",IF(F27=0,"",EDATE(F27,VLOOKUP(C27,'Thời hạn'!$A$1:$B$10,2,0))+H27))))</f>
        <v/>
      </c>
      <c r="J27" s="59" t="str">
        <f t="shared" ca="1" si="0"/>
        <v/>
      </c>
      <c r="K27" s="25"/>
      <c r="L27" s="129"/>
      <c r="M27" s="130"/>
      <c r="N27" s="35"/>
      <c r="O27" s="34"/>
      <c r="P27" s="25"/>
      <c r="Q27" s="25"/>
      <c r="R27" s="34"/>
      <c r="S27" s="34"/>
      <c r="T27" s="137"/>
      <c r="U27" s="137"/>
      <c r="V27" s="36"/>
      <c r="W27" s="77"/>
      <c r="X27" s="71" t="str">
        <f>IF(C27="Trả lại đơn vụ","",IF(C27="Trả lại đơn việc","",IF((NETWORKDAYS(F27,G27,'Danh sách ngày nghỉ lễ'!$B$5:$B$25)-1-3)&gt;0,"Quá hạn"&amp;" "&amp;(NETWORKDAYS(F27,G27,'Danh sách ngày nghỉ lễ'!$B$5:$B$25)-1-3)&amp;" "&amp;"ngày","")))</f>
        <v/>
      </c>
      <c r="Y27" s="72" t="str">
        <f>IF(S27=0,"",IF(P27="Chuyển","",IF(P27="Nhập vào vụ khác","",IF(P27="BA",IF((S27-R27)&gt;10,"Quá hạn"&amp;" "&amp;(S27-R27-10)&amp;" "&amp;"ngày",""),IF((NETWORKDAYS(R27,S27,'Danh sách ngày nghỉ lễ'!$B$5:$B$25)-VLOOKUP(P27,'Thời hạn'!$A$17:$B$23,2,0))&gt;1,"Quá hạn"&amp;" "&amp;(NETWORKDAYS(R27,S27,'Danh sách ngày nghỉ lễ'!$B$5:$B$25)-1-VLOOKUP(P27,'Thời hạn'!$A$17:$B$23,2,0))&amp;" "&amp;"ngày","")))))</f>
        <v/>
      </c>
      <c r="Z27" s="23">
        <v>1</v>
      </c>
    </row>
    <row r="28" spans="1:26" x14ac:dyDescent="0.3">
      <c r="A28" s="24">
        <v>1</v>
      </c>
      <c r="B28" s="39"/>
      <c r="C28" s="33"/>
      <c r="D28" s="25"/>
      <c r="E28" s="25"/>
      <c r="F28" s="34"/>
      <c r="G28" s="34"/>
      <c r="H28" s="25"/>
      <c r="I28" s="70" t="str">
        <f>IF(C28="Trả lại đơn vụ","",IF(C28="Trả lại đơn việc","",IF(C28="Hòa giải thành","",IF(F28=0,"",EDATE(F28,VLOOKUP(C28,'Thời hạn'!$A$1:$B$10,2,0))+H28))))</f>
        <v/>
      </c>
      <c r="J28" s="59" t="str">
        <f t="shared" ca="1" si="0"/>
        <v/>
      </c>
      <c r="K28" s="25"/>
      <c r="L28" s="129"/>
      <c r="M28" s="130"/>
      <c r="N28" s="35"/>
      <c r="O28" s="34"/>
      <c r="P28" s="25"/>
      <c r="Q28" s="25"/>
      <c r="R28" s="34"/>
      <c r="S28" s="34"/>
      <c r="T28" s="137"/>
      <c r="U28" s="137"/>
      <c r="V28" s="36"/>
      <c r="W28" s="77"/>
      <c r="X28" s="71" t="str">
        <f>IF(C28="Trả lại đơn vụ","",IF(C28="Trả lại đơn việc","",IF((NETWORKDAYS(F28,G28,'Danh sách ngày nghỉ lễ'!$B$5:$B$25)-1-3)&gt;0,"Quá hạn"&amp;" "&amp;(NETWORKDAYS(F28,G28,'Danh sách ngày nghỉ lễ'!$B$5:$B$25)-1-3)&amp;" "&amp;"ngày","")))</f>
        <v/>
      </c>
      <c r="Y28" s="72" t="str">
        <f>IF(S28=0,"",IF(P28="Chuyển","",IF(P28="Nhập vào vụ khác","",IF(P28="BA",IF((S28-R28)&gt;10,"Quá hạn"&amp;" "&amp;(S28-R28-10)&amp;" "&amp;"ngày",""),IF((NETWORKDAYS(R28,S28,'Danh sách ngày nghỉ lễ'!$B$5:$B$25)-VLOOKUP(P28,'Thời hạn'!$A$17:$B$23,2,0))&gt;1,"Quá hạn"&amp;" "&amp;(NETWORKDAYS(R28,S28,'Danh sách ngày nghỉ lễ'!$B$5:$B$25)-1-VLOOKUP(P28,'Thời hạn'!$A$17:$B$23,2,0))&amp;" "&amp;"ngày","")))))</f>
        <v/>
      </c>
      <c r="Z28" s="23">
        <v>1</v>
      </c>
    </row>
    <row r="29" spans="1:26" x14ac:dyDescent="0.3">
      <c r="A29" s="24">
        <v>1</v>
      </c>
      <c r="B29" s="39"/>
      <c r="C29" s="33"/>
      <c r="D29" s="25"/>
      <c r="E29" s="25"/>
      <c r="F29" s="34"/>
      <c r="G29" s="34"/>
      <c r="H29" s="25"/>
      <c r="I29" s="70" t="str">
        <f>IF(C29="Trả lại đơn vụ","",IF(C29="Trả lại đơn việc","",IF(C29="Hòa giải thành","",IF(F29=0,"",EDATE(F29,VLOOKUP(C29,'Thời hạn'!$A$1:$B$10,2,0))+H29))))</f>
        <v/>
      </c>
      <c r="J29" s="59" t="str">
        <f t="shared" ca="1" si="0"/>
        <v/>
      </c>
      <c r="K29" s="25"/>
      <c r="L29" s="129"/>
      <c r="M29" s="130"/>
      <c r="N29" s="35"/>
      <c r="O29" s="34"/>
      <c r="P29" s="25"/>
      <c r="Q29" s="25"/>
      <c r="R29" s="34"/>
      <c r="S29" s="34"/>
      <c r="T29" s="137"/>
      <c r="U29" s="137"/>
      <c r="V29" s="36"/>
      <c r="W29" s="77"/>
      <c r="X29" s="71" t="str">
        <f>IF(C29="Trả lại đơn vụ","",IF(C29="Trả lại đơn việc","",IF((NETWORKDAYS(F29,G29,'Danh sách ngày nghỉ lễ'!$B$5:$B$25)-1-3)&gt;0,"Quá hạn"&amp;" "&amp;(NETWORKDAYS(F29,G29,'Danh sách ngày nghỉ lễ'!$B$5:$B$25)-1-3)&amp;" "&amp;"ngày","")))</f>
        <v/>
      </c>
      <c r="Y29" s="72" t="str">
        <f>IF(S29=0,"",IF(P29="Chuyển","",IF(P29="Nhập vào vụ khác","",IF(P29="BA",IF((S29-R29)&gt;10,"Quá hạn"&amp;" "&amp;(S29-R29-10)&amp;" "&amp;"ngày",""),IF((NETWORKDAYS(R29,S29,'Danh sách ngày nghỉ lễ'!$B$5:$B$25)-VLOOKUP(P29,'Thời hạn'!$A$17:$B$23,2,0))&gt;1,"Quá hạn"&amp;" "&amp;(NETWORKDAYS(R29,S29,'Danh sách ngày nghỉ lễ'!$B$5:$B$25)-1-VLOOKUP(P29,'Thời hạn'!$A$17:$B$23,2,0))&amp;" "&amp;"ngày","")))))</f>
        <v/>
      </c>
      <c r="Z29" s="23">
        <v>1</v>
      </c>
    </row>
    <row r="30" spans="1:26" x14ac:dyDescent="0.3">
      <c r="A30" s="24">
        <v>1</v>
      </c>
      <c r="B30" s="39"/>
      <c r="C30" s="33"/>
      <c r="D30" s="25"/>
      <c r="E30" s="25"/>
      <c r="F30" s="34"/>
      <c r="G30" s="34"/>
      <c r="H30" s="25"/>
      <c r="I30" s="70" t="str">
        <f>IF(C30="Trả lại đơn vụ","",IF(C30="Trả lại đơn việc","",IF(C30="Hòa giải thành","",IF(F30=0,"",EDATE(F30,VLOOKUP(C30,'Thời hạn'!$A$1:$B$10,2,0))+H30))))</f>
        <v/>
      </c>
      <c r="J30" s="59" t="str">
        <f t="shared" ca="1" si="0"/>
        <v/>
      </c>
      <c r="K30" s="25"/>
      <c r="L30" s="129"/>
      <c r="M30" s="130"/>
      <c r="N30" s="35"/>
      <c r="O30" s="34"/>
      <c r="P30" s="25"/>
      <c r="Q30" s="25"/>
      <c r="R30" s="34"/>
      <c r="S30" s="34"/>
      <c r="T30" s="137"/>
      <c r="U30" s="137"/>
      <c r="V30" s="36"/>
      <c r="W30" s="77"/>
      <c r="X30" s="71" t="str">
        <f>IF(C30="Trả lại đơn vụ","",IF(C30="Trả lại đơn việc","",IF((NETWORKDAYS(F30,G30,'Danh sách ngày nghỉ lễ'!$B$5:$B$25)-1-3)&gt;0,"Quá hạn"&amp;" "&amp;(NETWORKDAYS(F30,G30,'Danh sách ngày nghỉ lễ'!$B$5:$B$25)-1-3)&amp;" "&amp;"ngày","")))</f>
        <v/>
      </c>
      <c r="Y30" s="72" t="str">
        <f>IF(S30=0,"",IF(P30="Chuyển","",IF(P30="Nhập vào vụ khác","",IF(P30="BA",IF((S30-R30)&gt;10,"Quá hạn"&amp;" "&amp;(S30-R30-10)&amp;" "&amp;"ngày",""),IF((NETWORKDAYS(R30,S30,'Danh sách ngày nghỉ lễ'!$B$5:$B$25)-VLOOKUP(P30,'Thời hạn'!$A$17:$B$23,2,0))&gt;1,"Quá hạn"&amp;" "&amp;(NETWORKDAYS(R30,S30,'Danh sách ngày nghỉ lễ'!$B$5:$B$25)-1-VLOOKUP(P30,'Thời hạn'!$A$17:$B$23,2,0))&amp;" "&amp;"ngày","")))))</f>
        <v/>
      </c>
      <c r="Z30" s="23">
        <v>1</v>
      </c>
    </row>
    <row r="31" spans="1:26" x14ac:dyDescent="0.3">
      <c r="A31" s="24">
        <v>1</v>
      </c>
      <c r="B31" s="39"/>
      <c r="C31" s="33"/>
      <c r="D31" s="25"/>
      <c r="E31" s="25"/>
      <c r="F31" s="34"/>
      <c r="G31" s="34"/>
      <c r="H31" s="25"/>
      <c r="I31" s="70" t="str">
        <f>IF(C31="Trả lại đơn vụ","",IF(C31="Trả lại đơn việc","",IF(C31="Hòa giải thành","",IF(F31=0,"",EDATE(F31,VLOOKUP(C31,'Thời hạn'!$A$1:$B$10,2,0))+H31))))</f>
        <v/>
      </c>
      <c r="J31" s="59" t="str">
        <f t="shared" ca="1" si="0"/>
        <v/>
      </c>
      <c r="K31" s="25"/>
      <c r="L31" s="129"/>
      <c r="M31" s="130"/>
      <c r="N31" s="35"/>
      <c r="O31" s="34"/>
      <c r="P31" s="25"/>
      <c r="Q31" s="25"/>
      <c r="R31" s="34"/>
      <c r="S31" s="34"/>
      <c r="T31" s="137"/>
      <c r="U31" s="137"/>
      <c r="V31" s="36"/>
      <c r="W31" s="77"/>
      <c r="X31" s="71" t="str">
        <f>IF(C31="Trả lại đơn vụ","",IF(C31="Trả lại đơn việc","",IF((NETWORKDAYS(F31,G31,'Danh sách ngày nghỉ lễ'!$B$5:$B$25)-1-3)&gt;0,"Quá hạn"&amp;" "&amp;(NETWORKDAYS(F31,G31,'Danh sách ngày nghỉ lễ'!$B$5:$B$25)-1-3)&amp;" "&amp;"ngày","")))</f>
        <v/>
      </c>
      <c r="Y31" s="72" t="str">
        <f>IF(S31=0,"",IF(P31="Chuyển","",IF(P31="Nhập vào vụ khác","",IF(P31="BA",IF((S31-R31)&gt;10,"Quá hạn"&amp;" "&amp;(S31-R31-10)&amp;" "&amp;"ngày",""),IF((NETWORKDAYS(R31,S31,'Danh sách ngày nghỉ lễ'!$B$5:$B$25)-VLOOKUP(P31,'Thời hạn'!$A$17:$B$23,2,0))&gt;1,"Quá hạn"&amp;" "&amp;(NETWORKDAYS(R31,S31,'Danh sách ngày nghỉ lễ'!$B$5:$B$25)-1-VLOOKUP(P31,'Thời hạn'!$A$17:$B$23,2,0))&amp;" "&amp;"ngày","")))))</f>
        <v/>
      </c>
      <c r="Z31" s="23">
        <v>1</v>
      </c>
    </row>
    <row r="32" spans="1:26" x14ac:dyDescent="0.3">
      <c r="A32" s="24">
        <v>1</v>
      </c>
      <c r="B32" s="39"/>
      <c r="C32" s="33"/>
      <c r="E32" s="25"/>
      <c r="F32" s="34"/>
      <c r="G32" s="34"/>
      <c r="H32" s="25"/>
      <c r="I32" s="70" t="str">
        <f>IF(C32="Trả lại đơn vụ","",IF(C32="Trả lại đơn việc","",IF(C32="Hòa giải thành","",IF(F32=0,"",EDATE(F32,VLOOKUP(C32,'Thời hạn'!$A$1:$B$10,2,0))+H32))))</f>
        <v/>
      </c>
      <c r="J32" s="59" t="str">
        <f t="shared" ca="1" si="0"/>
        <v/>
      </c>
      <c r="K32" s="25"/>
      <c r="L32" s="129"/>
      <c r="M32" s="130"/>
      <c r="N32" s="35"/>
      <c r="O32" s="34"/>
      <c r="P32" s="25"/>
      <c r="Q32" s="25"/>
      <c r="R32" s="34"/>
      <c r="S32" s="34"/>
      <c r="T32" s="137"/>
      <c r="U32" s="137"/>
      <c r="V32" s="36"/>
      <c r="W32" s="77"/>
      <c r="X32" s="71" t="str">
        <f>IF(C32="Trả lại đơn vụ","",IF(C32="Trả lại đơn việc","",IF((NETWORKDAYS(F32,G32,'Danh sách ngày nghỉ lễ'!$B$5:$B$25)-1-3)&gt;0,"Quá hạn"&amp;" "&amp;(NETWORKDAYS(F32,G32,'Danh sách ngày nghỉ lễ'!$B$5:$B$25)-1-3)&amp;" "&amp;"ngày","")))</f>
        <v/>
      </c>
      <c r="Y32" s="72" t="str">
        <f>IF(S32=0,"",IF(P32="Chuyển","",IF(P32="Nhập vào vụ khác","",IF(P32="BA",IF((S32-R32)&gt;10,"Quá hạn"&amp;" "&amp;(S32-R32-10)&amp;" "&amp;"ngày",""),IF((NETWORKDAYS(R32,S32,'Danh sách ngày nghỉ lễ'!$B$5:$B$25)-VLOOKUP(P32,'Thời hạn'!$A$17:$B$23,2,0))&gt;1,"Quá hạn"&amp;" "&amp;(NETWORKDAYS(R32,S32,'Danh sách ngày nghỉ lễ'!$B$5:$B$25)-1-VLOOKUP(P32,'Thời hạn'!$A$17:$B$23,2,0))&amp;" "&amp;"ngày","")))))</f>
        <v/>
      </c>
      <c r="Z32" s="23">
        <v>1</v>
      </c>
    </row>
    <row r="33" spans="1:26" x14ac:dyDescent="0.3">
      <c r="A33" s="24">
        <v>1</v>
      </c>
      <c r="B33" s="39"/>
      <c r="C33" s="33"/>
      <c r="D33" s="25"/>
      <c r="E33" s="25"/>
      <c r="F33" s="34"/>
      <c r="G33" s="34"/>
      <c r="H33" s="25"/>
      <c r="I33" s="70" t="str">
        <f>IF(C33="Trả lại đơn vụ","",IF(C33="Trả lại đơn việc","",IF(C33="Hòa giải thành","",IF(F33=0,"",EDATE(F33,VLOOKUP(C33,'Thời hạn'!$A$1:$B$10,2,0))+H33))))</f>
        <v/>
      </c>
      <c r="J33" s="59" t="str">
        <f t="shared" ca="1" si="0"/>
        <v/>
      </c>
      <c r="K33" s="25"/>
      <c r="L33" s="129"/>
      <c r="M33" s="130"/>
      <c r="N33" s="35"/>
      <c r="O33" s="34"/>
      <c r="P33" s="25"/>
      <c r="Q33" s="25"/>
      <c r="R33" s="34"/>
      <c r="S33" s="34"/>
      <c r="T33" s="137"/>
      <c r="U33" s="137"/>
      <c r="V33" s="36"/>
      <c r="W33" s="77"/>
      <c r="X33" s="71" t="str">
        <f>IF(C33="Trả lại đơn vụ","",IF(C33="Trả lại đơn việc","",IF((NETWORKDAYS(F33,G33,'Danh sách ngày nghỉ lễ'!$B$5:$B$25)-1-3)&gt;0,"Quá hạn"&amp;" "&amp;(NETWORKDAYS(F33,G33,'Danh sách ngày nghỉ lễ'!$B$5:$B$25)-1-3)&amp;" "&amp;"ngày","")))</f>
        <v/>
      </c>
      <c r="Y33" s="72" t="str">
        <f>IF(S33=0,"",IF(P33="Chuyển","",IF(P33="Nhập vào vụ khác","",IF(P33="BA",IF((S33-R33)&gt;10,"Quá hạn"&amp;" "&amp;(S33-R33-10)&amp;" "&amp;"ngày",""),IF((NETWORKDAYS(R33,S33,'Danh sách ngày nghỉ lễ'!$B$5:$B$25)-VLOOKUP(P33,'Thời hạn'!$A$17:$B$23,2,0))&gt;1,"Quá hạn"&amp;" "&amp;(NETWORKDAYS(R33,S33,'Danh sách ngày nghỉ lễ'!$B$5:$B$25)-1-VLOOKUP(P33,'Thời hạn'!$A$17:$B$23,2,0))&amp;" "&amp;"ngày","")))))</f>
        <v/>
      </c>
      <c r="Z33" s="23">
        <v>1</v>
      </c>
    </row>
    <row r="34" spans="1:26" x14ac:dyDescent="0.3">
      <c r="A34" s="24">
        <v>1</v>
      </c>
      <c r="B34" s="39"/>
      <c r="C34" s="33"/>
      <c r="D34" s="25"/>
      <c r="E34" s="25"/>
      <c r="F34" s="34"/>
      <c r="G34" s="34"/>
      <c r="H34" s="25"/>
      <c r="I34" s="70" t="str">
        <f>IF(C34="Trả lại đơn vụ","",IF(C34="Trả lại đơn việc","",IF(C34="Hòa giải thành","",IF(F34=0,"",EDATE(F34,VLOOKUP(C34,'Thời hạn'!$A$1:$B$10,2,0))+H34))))</f>
        <v/>
      </c>
      <c r="J34" s="59" t="str">
        <f t="shared" ca="1" si="0"/>
        <v/>
      </c>
      <c r="K34" s="25"/>
      <c r="L34" s="129"/>
      <c r="M34" s="130"/>
      <c r="N34" s="35"/>
      <c r="O34" s="34"/>
      <c r="P34" s="25"/>
      <c r="Q34" s="25"/>
      <c r="R34" s="34"/>
      <c r="S34" s="34"/>
      <c r="T34" s="137"/>
      <c r="U34" s="137"/>
      <c r="V34" s="36"/>
      <c r="W34" s="77"/>
      <c r="X34" s="71" t="str">
        <f>IF(C34="Trả lại đơn vụ","",IF(C34="Trả lại đơn việc","",IF((NETWORKDAYS(F34,G34,'Danh sách ngày nghỉ lễ'!$B$5:$B$25)-1-3)&gt;0,"Quá hạn"&amp;" "&amp;(NETWORKDAYS(F34,G34,'Danh sách ngày nghỉ lễ'!$B$5:$B$25)-1-3)&amp;" "&amp;"ngày","")))</f>
        <v/>
      </c>
      <c r="Y34" s="72" t="str">
        <f>IF(S34=0,"",IF(P34="Chuyển","",IF(P34="Nhập vào vụ khác","",IF(P34="BA",IF((S34-R34)&gt;10,"Quá hạn"&amp;" "&amp;(S34-R34-10)&amp;" "&amp;"ngày",""),IF((NETWORKDAYS(R34,S34,'Danh sách ngày nghỉ lễ'!$B$5:$B$25)-VLOOKUP(P34,'Thời hạn'!$A$17:$B$23,2,0))&gt;1,"Quá hạn"&amp;" "&amp;(NETWORKDAYS(R34,S34,'Danh sách ngày nghỉ lễ'!$B$5:$B$25)-1-VLOOKUP(P34,'Thời hạn'!$A$17:$B$23,2,0))&amp;" "&amp;"ngày","")))))</f>
        <v/>
      </c>
      <c r="Z34" s="23">
        <v>1</v>
      </c>
    </row>
    <row r="35" spans="1:26" x14ac:dyDescent="0.3">
      <c r="A35" s="24">
        <v>1</v>
      </c>
      <c r="B35" s="39"/>
      <c r="C35" s="33"/>
      <c r="D35" s="25"/>
      <c r="E35" s="25"/>
      <c r="F35" s="34"/>
      <c r="G35" s="34"/>
      <c r="H35" s="25"/>
      <c r="I35" s="70" t="str">
        <f>IF(C35="Trả lại đơn vụ","",IF(C35="Trả lại đơn việc","",IF(C35="Hòa giải thành","",IF(F35=0,"",EDATE(F35,VLOOKUP(C35,'Thời hạn'!$A$1:$B$10,2,0))+H35))))</f>
        <v/>
      </c>
      <c r="J35" s="59" t="str">
        <f t="shared" ca="1" si="0"/>
        <v/>
      </c>
      <c r="K35" s="25"/>
      <c r="L35" s="129"/>
      <c r="M35" s="130"/>
      <c r="N35" s="35"/>
      <c r="O35" s="34"/>
      <c r="P35" s="25"/>
      <c r="Q35" s="25"/>
      <c r="R35" s="34"/>
      <c r="S35" s="34"/>
      <c r="T35" s="137"/>
      <c r="U35" s="137"/>
      <c r="V35" s="36"/>
      <c r="W35" s="77"/>
      <c r="X35" s="71" t="str">
        <f>IF(C35="Trả lại đơn vụ","",IF(C35="Trả lại đơn việc","",IF((NETWORKDAYS(F35,G35,'Danh sách ngày nghỉ lễ'!$B$5:$B$25)-1-3)&gt;0,"Quá hạn"&amp;" "&amp;(NETWORKDAYS(F35,G35,'Danh sách ngày nghỉ lễ'!$B$5:$B$25)-1-3)&amp;" "&amp;"ngày","")))</f>
        <v/>
      </c>
      <c r="Y35" s="72" t="str">
        <f>IF(S35=0,"",IF(P35="Chuyển","",IF(P35="Nhập vào vụ khác","",IF(P35="BA",IF((S35-R35)&gt;10,"Quá hạn"&amp;" "&amp;(S35-R35-10)&amp;" "&amp;"ngày",""),IF((NETWORKDAYS(R35,S35,'Danh sách ngày nghỉ lễ'!$B$5:$B$25)-VLOOKUP(P35,'Thời hạn'!$A$17:$B$23,2,0))&gt;1,"Quá hạn"&amp;" "&amp;(NETWORKDAYS(R35,S35,'Danh sách ngày nghỉ lễ'!$B$5:$B$25)-1-VLOOKUP(P35,'Thời hạn'!$A$17:$B$23,2,0))&amp;" "&amp;"ngày","")))))</f>
        <v/>
      </c>
      <c r="Z35" s="23">
        <v>1</v>
      </c>
    </row>
    <row r="36" spans="1:26" x14ac:dyDescent="0.3">
      <c r="A36" s="24">
        <v>1</v>
      </c>
      <c r="B36" s="39"/>
      <c r="C36" s="33"/>
      <c r="D36" s="25"/>
      <c r="E36" s="25"/>
      <c r="F36" s="34"/>
      <c r="G36" s="34"/>
      <c r="H36" s="25"/>
      <c r="I36" s="70" t="str">
        <f>IF(C36="Trả lại đơn vụ","",IF(C36="Trả lại đơn việc","",IF(C36="Hòa giải thành","",IF(F36=0,"",EDATE(F36,VLOOKUP(C36,'Thời hạn'!$A$1:$B$10,2,0))+H36))))</f>
        <v/>
      </c>
      <c r="J36" s="59" t="str">
        <f t="shared" ca="1" si="0"/>
        <v/>
      </c>
      <c r="K36" s="25"/>
      <c r="L36" s="129"/>
      <c r="M36" s="130"/>
      <c r="N36" s="35"/>
      <c r="O36" s="34"/>
      <c r="P36" s="25"/>
      <c r="Q36" s="25"/>
      <c r="R36" s="34"/>
      <c r="S36" s="34"/>
      <c r="T36" s="137"/>
      <c r="U36" s="137"/>
      <c r="V36" s="36"/>
      <c r="W36" s="77"/>
      <c r="X36" s="71" t="str">
        <f>IF(C36="Trả lại đơn vụ","",IF(C36="Trả lại đơn việc","",IF((NETWORKDAYS(F36,G36,'Danh sách ngày nghỉ lễ'!$B$5:$B$25)-1-3)&gt;0,"Quá hạn"&amp;" "&amp;(NETWORKDAYS(F36,G36,'Danh sách ngày nghỉ lễ'!$B$5:$B$25)-1-3)&amp;" "&amp;"ngày","")))</f>
        <v/>
      </c>
      <c r="Y36" s="72" t="str">
        <f>IF(S36=0,"",IF(P36="Chuyển","",IF(P36="Nhập vào vụ khác","",IF(P36="BA",IF((S36-R36)&gt;10,"Quá hạn"&amp;" "&amp;(S36-R36-10)&amp;" "&amp;"ngày",""),IF((NETWORKDAYS(R36,S36,'Danh sách ngày nghỉ lễ'!$B$5:$B$25)-VLOOKUP(P36,'Thời hạn'!$A$17:$B$23,2,0))&gt;1,"Quá hạn"&amp;" "&amp;(NETWORKDAYS(R36,S36,'Danh sách ngày nghỉ lễ'!$B$5:$B$25)-1-VLOOKUP(P36,'Thời hạn'!$A$17:$B$23,2,0))&amp;" "&amp;"ngày","")))))</f>
        <v/>
      </c>
      <c r="Z36" s="23">
        <v>1</v>
      </c>
    </row>
    <row r="37" spans="1:26" x14ac:dyDescent="0.3">
      <c r="A37" s="24">
        <v>1</v>
      </c>
      <c r="B37" s="39"/>
      <c r="C37" s="33"/>
      <c r="D37" s="25"/>
      <c r="E37" s="25"/>
      <c r="F37" s="34"/>
      <c r="G37" s="34"/>
      <c r="H37" s="25"/>
      <c r="I37" s="70" t="str">
        <f>IF(C37="Trả lại đơn vụ","",IF(C37="Trả lại đơn việc","",IF(C37="Hòa giải thành","",IF(F37=0,"",EDATE(F37,VLOOKUP(C37,'Thời hạn'!$A$1:$B$10,2,0))+H37))))</f>
        <v/>
      </c>
      <c r="J37" s="59" t="str">
        <f t="shared" ca="1" si="0"/>
        <v/>
      </c>
      <c r="K37" s="25"/>
      <c r="L37" s="129"/>
      <c r="M37" s="130"/>
      <c r="N37" s="35"/>
      <c r="O37" s="34"/>
      <c r="P37" s="25"/>
      <c r="Q37" s="25"/>
      <c r="R37" s="34"/>
      <c r="S37" s="34"/>
      <c r="T37" s="137"/>
      <c r="U37" s="137"/>
      <c r="V37" s="36"/>
      <c r="W37" s="77"/>
      <c r="X37" s="71" t="str">
        <f>IF(C37="Trả lại đơn vụ","",IF(C37="Trả lại đơn việc","",IF((NETWORKDAYS(F37,G37,'Danh sách ngày nghỉ lễ'!$B$5:$B$25)-1-3)&gt;0,"Quá hạn"&amp;" "&amp;(NETWORKDAYS(F37,G37,'Danh sách ngày nghỉ lễ'!$B$5:$B$25)-1-3)&amp;" "&amp;"ngày","")))</f>
        <v/>
      </c>
      <c r="Y37" s="72" t="str">
        <f>IF(S37=0,"",IF(P37="Chuyển","",IF(P37="Nhập vào vụ khác","",IF(P37="BA",IF((S37-R37)&gt;10,"Quá hạn"&amp;" "&amp;(S37-R37-10)&amp;" "&amp;"ngày",""),IF((NETWORKDAYS(R37,S37,'Danh sách ngày nghỉ lễ'!$B$5:$B$25)-VLOOKUP(P37,'Thời hạn'!$A$17:$B$23,2,0))&gt;1,"Quá hạn"&amp;" "&amp;(NETWORKDAYS(R37,S37,'Danh sách ngày nghỉ lễ'!$B$5:$B$25)-1-VLOOKUP(P37,'Thời hạn'!$A$17:$B$23,2,0))&amp;" "&amp;"ngày","")))))</f>
        <v/>
      </c>
      <c r="Z37" s="23">
        <v>1</v>
      </c>
    </row>
    <row r="38" spans="1:26" x14ac:dyDescent="0.3">
      <c r="A38" s="24">
        <v>1</v>
      </c>
      <c r="B38" s="39"/>
      <c r="C38" s="33"/>
      <c r="D38" s="25"/>
      <c r="E38" s="25"/>
      <c r="F38" s="34"/>
      <c r="G38" s="34"/>
      <c r="H38" s="25"/>
      <c r="I38" s="70" t="str">
        <f>IF(C38="Trả lại đơn vụ","",IF(C38="Trả lại đơn việc","",IF(C38="Hòa giải thành","",IF(F38=0,"",EDATE(F38,VLOOKUP(C38,'Thời hạn'!$A$1:$B$10,2,0))+H38))))</f>
        <v/>
      </c>
      <c r="J38" s="59" t="str">
        <f t="shared" ca="1" si="0"/>
        <v/>
      </c>
      <c r="K38" s="25"/>
      <c r="L38" s="129"/>
      <c r="M38" s="130"/>
      <c r="N38" s="35"/>
      <c r="O38" s="34"/>
      <c r="P38" s="25"/>
      <c r="Q38" s="25"/>
      <c r="R38" s="34"/>
      <c r="S38" s="34"/>
      <c r="T38" s="137"/>
      <c r="U38" s="137"/>
      <c r="V38" s="36"/>
      <c r="W38" s="77"/>
      <c r="X38" s="71" t="str">
        <f>IF(C38="Trả lại đơn vụ","",IF(C38="Trả lại đơn việc","",IF((NETWORKDAYS(F38,G38,'Danh sách ngày nghỉ lễ'!$B$5:$B$25)-1-3)&gt;0,"Quá hạn"&amp;" "&amp;(NETWORKDAYS(F38,G38,'Danh sách ngày nghỉ lễ'!$B$5:$B$25)-1-3)&amp;" "&amp;"ngày","")))</f>
        <v/>
      </c>
      <c r="Y38" s="72" t="str">
        <f>IF(S38=0,"",IF(P38="Chuyển","",IF(P38="Nhập vào vụ khác","",IF(P38="BA",IF((S38-R38)&gt;10,"Quá hạn"&amp;" "&amp;(S38-R38-10)&amp;" "&amp;"ngày",""),IF((NETWORKDAYS(R38,S38,'Danh sách ngày nghỉ lễ'!$B$5:$B$25)-VLOOKUP(P38,'Thời hạn'!$A$17:$B$23,2,0))&gt;1,"Quá hạn"&amp;" "&amp;(NETWORKDAYS(R38,S38,'Danh sách ngày nghỉ lễ'!$B$5:$B$25)-1-VLOOKUP(P38,'Thời hạn'!$A$17:$B$23,2,0))&amp;" "&amp;"ngày","")))))</f>
        <v/>
      </c>
      <c r="Z38" s="23">
        <v>1</v>
      </c>
    </row>
    <row r="39" spans="1:26" x14ac:dyDescent="0.3">
      <c r="A39" s="24">
        <v>1</v>
      </c>
      <c r="B39" s="39"/>
      <c r="C39" s="33"/>
      <c r="D39" s="25"/>
      <c r="E39" s="25"/>
      <c r="F39" s="34"/>
      <c r="G39" s="34"/>
      <c r="H39" s="25"/>
      <c r="I39" s="70" t="str">
        <f>IF(C39="Trả lại đơn vụ","",IF(C39="Trả lại đơn việc","",IF(C39="Hòa giải thành","",IF(F39=0,"",EDATE(F39,VLOOKUP(C39,'Thời hạn'!$A$1:$B$10,2,0))+H39))))</f>
        <v/>
      </c>
      <c r="J39" s="59" t="str">
        <f t="shared" ca="1" si="0"/>
        <v/>
      </c>
      <c r="K39" s="25"/>
      <c r="L39" s="129"/>
      <c r="M39" s="130"/>
      <c r="N39" s="35"/>
      <c r="O39" s="34"/>
      <c r="P39" s="25"/>
      <c r="Q39" s="25"/>
      <c r="R39" s="34"/>
      <c r="S39" s="34"/>
      <c r="T39" s="137"/>
      <c r="U39" s="137"/>
      <c r="V39" s="36"/>
      <c r="W39" s="77"/>
      <c r="X39" s="71" t="str">
        <f>IF(C39="Trả lại đơn vụ","",IF(C39="Trả lại đơn việc","",IF((NETWORKDAYS(F39,G39,'Danh sách ngày nghỉ lễ'!$B$5:$B$25)-1-3)&gt;0,"Quá hạn"&amp;" "&amp;(NETWORKDAYS(F39,G39,'Danh sách ngày nghỉ lễ'!$B$5:$B$25)-1-3)&amp;" "&amp;"ngày","")))</f>
        <v/>
      </c>
      <c r="Y39" s="72" t="str">
        <f>IF(S39=0,"",IF(P39="Chuyển","",IF(P39="Nhập vào vụ khác","",IF(P39="BA",IF((S39-R39)&gt;10,"Quá hạn"&amp;" "&amp;(S39-R39-10)&amp;" "&amp;"ngày",""),IF((NETWORKDAYS(R39,S39,'Danh sách ngày nghỉ lễ'!$B$5:$B$25)-VLOOKUP(P39,'Thời hạn'!$A$17:$B$23,2,0))&gt;1,"Quá hạn"&amp;" "&amp;(NETWORKDAYS(R39,S39,'Danh sách ngày nghỉ lễ'!$B$5:$B$25)-1-VLOOKUP(P39,'Thời hạn'!$A$17:$B$23,2,0))&amp;" "&amp;"ngày","")))))</f>
        <v/>
      </c>
      <c r="Z39" s="23">
        <v>1</v>
      </c>
    </row>
    <row r="40" spans="1:26" x14ac:dyDescent="0.3">
      <c r="A40" s="24">
        <v>1</v>
      </c>
      <c r="B40" s="39"/>
      <c r="C40" s="33"/>
      <c r="D40" s="25"/>
      <c r="E40" s="25"/>
      <c r="F40" s="34"/>
      <c r="G40" s="34"/>
      <c r="H40" s="25"/>
      <c r="I40" s="70" t="str">
        <f>IF(C40="Trả lại đơn vụ","",IF(C40="Trả lại đơn việc","",IF(C40="Hòa giải thành","",IF(F40=0,"",EDATE(F40,VLOOKUP(C40,'Thời hạn'!$A$1:$B$10,2,0))+H40))))</f>
        <v/>
      </c>
      <c r="J40" s="59" t="str">
        <f t="shared" ca="1" si="0"/>
        <v/>
      </c>
      <c r="K40" s="25"/>
      <c r="L40" s="129"/>
      <c r="M40" s="130"/>
      <c r="N40" s="35"/>
      <c r="O40" s="34"/>
      <c r="P40" s="25"/>
      <c r="Q40" s="25"/>
      <c r="R40" s="34"/>
      <c r="S40" s="34"/>
      <c r="T40" s="137"/>
      <c r="U40" s="137"/>
      <c r="V40" s="36"/>
      <c r="W40" s="77"/>
      <c r="X40" s="71" t="str">
        <f>IF(C40="Trả lại đơn vụ","",IF(C40="Trả lại đơn việc","",IF((NETWORKDAYS(F40,G40,'Danh sách ngày nghỉ lễ'!$B$5:$B$25)-1-3)&gt;0,"Quá hạn"&amp;" "&amp;(NETWORKDAYS(F40,G40,'Danh sách ngày nghỉ lễ'!$B$5:$B$25)-1-3)&amp;" "&amp;"ngày","")))</f>
        <v/>
      </c>
      <c r="Y40" s="72" t="str">
        <f>IF(S40=0,"",IF(P40="Chuyển","",IF(P40="Nhập vào vụ khác","",IF(P40="BA",IF((S40-R40)&gt;10,"Quá hạn"&amp;" "&amp;(S40-R40-10)&amp;" "&amp;"ngày",""),IF((NETWORKDAYS(R40,S40,'Danh sách ngày nghỉ lễ'!$B$5:$B$25)-VLOOKUP(P40,'Thời hạn'!$A$17:$B$23,2,0))&gt;1,"Quá hạn"&amp;" "&amp;(NETWORKDAYS(R40,S40,'Danh sách ngày nghỉ lễ'!$B$5:$B$25)-1-VLOOKUP(P40,'Thời hạn'!$A$17:$B$23,2,0))&amp;" "&amp;"ngày","")))))</f>
        <v/>
      </c>
      <c r="Z40" s="23">
        <v>1</v>
      </c>
    </row>
    <row r="41" spans="1:26" x14ac:dyDescent="0.3">
      <c r="A41" s="24">
        <v>1</v>
      </c>
      <c r="B41" s="39"/>
      <c r="C41" s="33"/>
      <c r="D41" s="25"/>
      <c r="E41" s="25"/>
      <c r="F41" s="34"/>
      <c r="G41" s="34"/>
      <c r="H41" s="25"/>
      <c r="I41" s="70" t="str">
        <f>IF(C41="Trả lại đơn vụ","",IF(C41="Trả lại đơn việc","",IF(C41="Hòa giải thành","",IF(F41=0,"",EDATE(F41,VLOOKUP(C41,'Thời hạn'!$A$1:$B$10,2,0))+H41))))</f>
        <v/>
      </c>
      <c r="J41" s="59" t="str">
        <f t="shared" ca="1" si="0"/>
        <v/>
      </c>
      <c r="K41" s="25"/>
      <c r="L41" s="129"/>
      <c r="M41" s="130"/>
      <c r="N41" s="35"/>
      <c r="O41" s="34"/>
      <c r="P41" s="25"/>
      <c r="Q41" s="25"/>
      <c r="R41" s="34"/>
      <c r="S41" s="34"/>
      <c r="T41" s="137"/>
      <c r="U41" s="137"/>
      <c r="V41" s="36"/>
      <c r="W41" s="77"/>
      <c r="X41" s="71" t="str">
        <f>IF(C41="Trả lại đơn vụ","",IF(C41="Trả lại đơn việc","",IF((NETWORKDAYS(F41,G41,'Danh sách ngày nghỉ lễ'!$B$5:$B$25)-1-3)&gt;0,"Quá hạn"&amp;" "&amp;(NETWORKDAYS(F41,G41,'Danh sách ngày nghỉ lễ'!$B$5:$B$25)-1-3)&amp;" "&amp;"ngày","")))</f>
        <v/>
      </c>
      <c r="Y41" s="72" t="str">
        <f>IF(S41=0,"",IF(P41="Chuyển","",IF(P41="Nhập vào vụ khác","",IF(P41="BA",IF((S41-R41)&gt;10,"Quá hạn"&amp;" "&amp;(S41-R41-10)&amp;" "&amp;"ngày",""),IF((NETWORKDAYS(R41,S41,'Danh sách ngày nghỉ lễ'!$B$5:$B$25)-VLOOKUP(P41,'Thời hạn'!$A$17:$B$23,2,0))&gt;1,"Quá hạn"&amp;" "&amp;(NETWORKDAYS(R41,S41,'Danh sách ngày nghỉ lễ'!$B$5:$B$25)-1-VLOOKUP(P41,'Thời hạn'!$A$17:$B$23,2,0))&amp;" "&amp;"ngày","")))))</f>
        <v/>
      </c>
      <c r="Z41" s="23">
        <v>1</v>
      </c>
    </row>
    <row r="42" spans="1:26" x14ac:dyDescent="0.3">
      <c r="A42" s="24">
        <v>1</v>
      </c>
      <c r="B42" s="39"/>
      <c r="C42" s="33"/>
      <c r="D42" s="25"/>
      <c r="E42" s="25"/>
      <c r="F42" s="34"/>
      <c r="G42" s="34"/>
      <c r="H42" s="25"/>
      <c r="I42" s="70" t="str">
        <f>IF(C42="Trả lại đơn vụ","",IF(C42="Trả lại đơn việc","",IF(C42="Hòa giải thành","",IF(F42=0,"",EDATE(F42,VLOOKUP(C42,'Thời hạn'!$A$1:$B$10,2,0))+H42))))</f>
        <v/>
      </c>
      <c r="J42" s="59" t="str">
        <f t="shared" ca="1" si="0"/>
        <v/>
      </c>
      <c r="K42" s="25"/>
      <c r="L42" s="129"/>
      <c r="M42" s="130"/>
      <c r="N42" s="35"/>
      <c r="O42" s="34"/>
      <c r="P42" s="25"/>
      <c r="Q42" s="25"/>
      <c r="R42" s="34"/>
      <c r="S42" s="34"/>
      <c r="T42" s="137"/>
      <c r="U42" s="137"/>
      <c r="V42" s="36"/>
      <c r="W42" s="77"/>
      <c r="X42" s="71" t="str">
        <f>IF(C42="Trả lại đơn vụ","",IF(C42="Trả lại đơn việc","",IF((NETWORKDAYS(F42,G42,'Danh sách ngày nghỉ lễ'!$B$5:$B$25)-1-3)&gt;0,"Quá hạn"&amp;" "&amp;(NETWORKDAYS(F42,G42,'Danh sách ngày nghỉ lễ'!$B$5:$B$25)-1-3)&amp;" "&amp;"ngày","")))</f>
        <v/>
      </c>
      <c r="Y42" s="72" t="str">
        <f>IF(S42=0,"",IF(P42="Chuyển","",IF(P42="Nhập vào vụ khác","",IF(P42="BA",IF((S42-R42)&gt;10,"Quá hạn"&amp;" "&amp;(S42-R42-10)&amp;" "&amp;"ngày",""),IF((NETWORKDAYS(R42,S42,'Danh sách ngày nghỉ lễ'!$B$5:$B$25)-VLOOKUP(P42,'Thời hạn'!$A$17:$B$23,2,0))&gt;1,"Quá hạn"&amp;" "&amp;(NETWORKDAYS(R42,S42,'Danh sách ngày nghỉ lễ'!$B$5:$B$25)-1-VLOOKUP(P42,'Thời hạn'!$A$17:$B$23,2,0))&amp;" "&amp;"ngày","")))))</f>
        <v/>
      </c>
      <c r="Z42" s="23">
        <v>1</v>
      </c>
    </row>
    <row r="43" spans="1:26" x14ac:dyDescent="0.3">
      <c r="A43" s="24">
        <v>1</v>
      </c>
      <c r="B43" s="39"/>
      <c r="C43" s="33"/>
      <c r="D43" s="25"/>
      <c r="E43" s="25"/>
      <c r="F43" s="34"/>
      <c r="G43" s="34"/>
      <c r="H43" s="25"/>
      <c r="I43" s="70" t="str">
        <f>IF(C43="Trả lại đơn vụ","",IF(C43="Trả lại đơn việc","",IF(C43="Hòa giải thành","",IF(F43=0,"",EDATE(F43,VLOOKUP(C43,'Thời hạn'!$A$1:$B$10,2,0))+H43))))</f>
        <v/>
      </c>
      <c r="J43" s="59" t="str">
        <f t="shared" ca="1" si="0"/>
        <v/>
      </c>
      <c r="K43" s="25"/>
      <c r="L43" s="129"/>
      <c r="M43" s="130"/>
      <c r="N43" s="35"/>
      <c r="O43" s="34"/>
      <c r="P43" s="25"/>
      <c r="Q43" s="25"/>
      <c r="R43" s="34"/>
      <c r="S43" s="34"/>
      <c r="T43" s="137"/>
      <c r="U43" s="137"/>
      <c r="V43" s="36"/>
      <c r="W43" s="77"/>
      <c r="X43" s="71" t="str">
        <f>IF(C43="Trả lại đơn vụ","",IF(C43="Trả lại đơn việc","",IF((NETWORKDAYS(F43,G43,'Danh sách ngày nghỉ lễ'!$B$5:$B$25)-1-3)&gt;0,"Quá hạn"&amp;" "&amp;(NETWORKDAYS(F43,G43,'Danh sách ngày nghỉ lễ'!$B$5:$B$25)-1-3)&amp;" "&amp;"ngày","")))</f>
        <v/>
      </c>
      <c r="Y43" s="72" t="str">
        <f>IF(S43=0,"",IF(P43="Chuyển","",IF(P43="Nhập vào vụ khác","",IF(P43="BA",IF((S43-R43)&gt;10,"Quá hạn"&amp;" "&amp;(S43-R43-10)&amp;" "&amp;"ngày",""),IF((NETWORKDAYS(R43,S43,'Danh sách ngày nghỉ lễ'!$B$5:$B$25)-VLOOKUP(P43,'Thời hạn'!$A$17:$B$23,2,0))&gt;1,"Quá hạn"&amp;" "&amp;(NETWORKDAYS(R43,S43,'Danh sách ngày nghỉ lễ'!$B$5:$B$25)-1-VLOOKUP(P43,'Thời hạn'!$A$17:$B$23,2,0))&amp;" "&amp;"ngày","")))))</f>
        <v/>
      </c>
      <c r="Z43" s="23">
        <v>1</v>
      </c>
    </row>
    <row r="44" spans="1:26" x14ac:dyDescent="0.3">
      <c r="A44" s="24">
        <v>1</v>
      </c>
      <c r="B44" s="39"/>
      <c r="C44" s="33"/>
      <c r="D44" s="25"/>
      <c r="E44" s="25"/>
      <c r="F44" s="34"/>
      <c r="G44" s="34"/>
      <c r="H44" s="25"/>
      <c r="I44" s="70" t="str">
        <f>IF(C44="Trả lại đơn vụ","",IF(C44="Trả lại đơn việc","",IF(C44="Hòa giải thành","",IF(F44=0,"",EDATE(F44,VLOOKUP(C44,'Thời hạn'!$A$1:$B$10,2,0))+H44))))</f>
        <v/>
      </c>
      <c r="J44" s="59" t="str">
        <f t="shared" ca="1" si="0"/>
        <v/>
      </c>
      <c r="K44" s="25"/>
      <c r="L44" s="129"/>
      <c r="M44" s="130"/>
      <c r="N44" s="35"/>
      <c r="O44" s="34"/>
      <c r="P44" s="25"/>
      <c r="Q44" s="25"/>
      <c r="R44" s="34"/>
      <c r="S44" s="34"/>
      <c r="T44" s="137"/>
      <c r="U44" s="137"/>
      <c r="V44" s="36"/>
      <c r="W44" s="77"/>
      <c r="X44" s="71" t="str">
        <f>IF(C44="Trả lại đơn vụ","",IF(C44="Trả lại đơn việc","",IF((NETWORKDAYS(F44,G44,'Danh sách ngày nghỉ lễ'!$B$5:$B$25)-1-3)&gt;0,"Quá hạn"&amp;" "&amp;(NETWORKDAYS(F44,G44,'Danh sách ngày nghỉ lễ'!$B$5:$B$25)-1-3)&amp;" "&amp;"ngày","")))</f>
        <v/>
      </c>
      <c r="Y44" s="72" t="str">
        <f>IF(S44=0,"",IF(P44="Chuyển","",IF(P44="Nhập vào vụ khác","",IF(P44="BA",IF((S44-R44)&gt;10,"Quá hạn"&amp;" "&amp;(S44-R44-10)&amp;" "&amp;"ngày",""),IF((NETWORKDAYS(R44,S44,'Danh sách ngày nghỉ lễ'!$B$5:$B$25)-VLOOKUP(P44,'Thời hạn'!$A$17:$B$23,2,0))&gt;1,"Quá hạn"&amp;" "&amp;(NETWORKDAYS(R44,S44,'Danh sách ngày nghỉ lễ'!$B$5:$B$25)-1-VLOOKUP(P44,'Thời hạn'!$A$17:$B$23,2,0))&amp;" "&amp;"ngày","")))))</f>
        <v/>
      </c>
      <c r="Z44" s="23">
        <v>1</v>
      </c>
    </row>
    <row r="45" spans="1:26" x14ac:dyDescent="0.3">
      <c r="A45" s="24">
        <v>1</v>
      </c>
      <c r="B45" s="39"/>
      <c r="C45" s="33"/>
      <c r="D45" s="25"/>
      <c r="E45" s="25"/>
      <c r="F45" s="34"/>
      <c r="G45" s="34"/>
      <c r="H45" s="25"/>
      <c r="I45" s="70" t="str">
        <f>IF(C45="Trả lại đơn vụ","",IF(C45="Trả lại đơn việc","",IF(C45="Hòa giải thành","",IF(F45=0,"",EDATE(F45,VLOOKUP(C45,'Thời hạn'!$A$1:$B$10,2,0))+H45))))</f>
        <v/>
      </c>
      <c r="J45" s="59" t="str">
        <f t="shared" ca="1" si="0"/>
        <v/>
      </c>
      <c r="K45" s="25"/>
      <c r="L45" s="129"/>
      <c r="M45" s="130"/>
      <c r="N45" s="35"/>
      <c r="O45" s="34"/>
      <c r="P45" s="25"/>
      <c r="Q45" s="25"/>
      <c r="R45" s="34"/>
      <c r="S45" s="34"/>
      <c r="T45" s="137"/>
      <c r="U45" s="137"/>
      <c r="V45" s="36"/>
      <c r="W45" s="77"/>
      <c r="X45" s="71" t="str">
        <f>IF(C45="Trả lại đơn vụ","",IF(C45="Trả lại đơn việc","",IF((NETWORKDAYS(F45,G45,'Danh sách ngày nghỉ lễ'!$B$5:$B$25)-1-3)&gt;0,"Quá hạn"&amp;" "&amp;(NETWORKDAYS(F45,G45,'Danh sách ngày nghỉ lễ'!$B$5:$B$25)-1-3)&amp;" "&amp;"ngày","")))</f>
        <v/>
      </c>
      <c r="Y45" s="72" t="str">
        <f>IF(S45=0,"",IF(P45="Chuyển","",IF(P45="Nhập vào vụ khác","",IF(P45="BA",IF((S45-R45)&gt;10,"Quá hạn"&amp;" "&amp;(S45-R45-10)&amp;" "&amp;"ngày",""),IF((NETWORKDAYS(R45,S45,'Danh sách ngày nghỉ lễ'!$B$5:$B$25)-VLOOKUP(P45,'Thời hạn'!$A$17:$B$23,2,0))&gt;1,"Quá hạn"&amp;" "&amp;(NETWORKDAYS(R45,S45,'Danh sách ngày nghỉ lễ'!$B$5:$B$25)-1-VLOOKUP(P45,'Thời hạn'!$A$17:$B$23,2,0))&amp;" "&amp;"ngày","")))))</f>
        <v/>
      </c>
      <c r="Z45" s="23">
        <v>1</v>
      </c>
    </row>
    <row r="46" spans="1:26" x14ac:dyDescent="0.3">
      <c r="A46" s="24">
        <v>1</v>
      </c>
      <c r="B46" s="39"/>
      <c r="C46" s="33"/>
      <c r="D46" s="25"/>
      <c r="E46" s="25"/>
      <c r="F46" s="34"/>
      <c r="G46" s="34"/>
      <c r="H46" s="25"/>
      <c r="I46" s="70" t="str">
        <f>IF(C46="Trả lại đơn vụ","",IF(C46="Trả lại đơn việc","",IF(C46="Hòa giải thành","",IF(F46=0,"",EDATE(F46,VLOOKUP(C46,'Thời hạn'!$A$1:$B$10,2,0))+H46))))</f>
        <v/>
      </c>
      <c r="J46" s="59" t="str">
        <f t="shared" ca="1" si="0"/>
        <v/>
      </c>
      <c r="K46" s="25"/>
      <c r="L46" s="129"/>
      <c r="M46" s="130"/>
      <c r="N46" s="35"/>
      <c r="O46" s="34"/>
      <c r="P46" s="25"/>
      <c r="Q46" s="25"/>
      <c r="R46" s="34"/>
      <c r="S46" s="34"/>
      <c r="T46" s="137"/>
      <c r="U46" s="137"/>
      <c r="V46" s="36"/>
      <c r="W46" s="77"/>
      <c r="X46" s="71" t="str">
        <f>IF(C46="Trả lại đơn vụ","",IF(C46="Trả lại đơn việc","",IF((NETWORKDAYS(F46,G46,'Danh sách ngày nghỉ lễ'!$B$5:$B$25)-1-3)&gt;0,"Quá hạn"&amp;" "&amp;(NETWORKDAYS(F46,G46,'Danh sách ngày nghỉ lễ'!$B$5:$B$25)-1-3)&amp;" "&amp;"ngày","")))</f>
        <v/>
      </c>
      <c r="Y46" s="72" t="str">
        <f>IF(S46=0,"",IF(P46="Chuyển","",IF(P46="Nhập vào vụ khác","",IF(P46="BA",IF((S46-R46)&gt;10,"Quá hạn"&amp;" "&amp;(S46-R46-10)&amp;" "&amp;"ngày",""),IF((NETWORKDAYS(R46,S46,'Danh sách ngày nghỉ lễ'!$B$5:$B$25)-VLOOKUP(P46,'Thời hạn'!$A$17:$B$23,2,0))&gt;1,"Quá hạn"&amp;" "&amp;(NETWORKDAYS(R46,S46,'Danh sách ngày nghỉ lễ'!$B$5:$B$25)-1-VLOOKUP(P46,'Thời hạn'!$A$17:$B$23,2,0))&amp;" "&amp;"ngày","")))))</f>
        <v/>
      </c>
      <c r="Z46" s="23">
        <v>1</v>
      </c>
    </row>
    <row r="47" spans="1:26" x14ac:dyDescent="0.3">
      <c r="A47" s="24">
        <v>1</v>
      </c>
      <c r="B47" s="39"/>
      <c r="C47" s="33"/>
      <c r="E47" s="25"/>
      <c r="F47" s="34"/>
      <c r="G47" s="34"/>
      <c r="H47" s="25"/>
      <c r="I47" s="70" t="str">
        <f>IF(C47="Trả lại đơn vụ","",IF(C47="Trả lại đơn việc","",IF(C47="Hòa giải thành","",IF(F47=0,"",EDATE(F47,VLOOKUP(C47,'Thời hạn'!$A$1:$B$10,2,0))+H47))))</f>
        <v/>
      </c>
      <c r="J47" s="59" t="str">
        <f t="shared" ca="1" si="0"/>
        <v/>
      </c>
      <c r="K47" s="25"/>
      <c r="L47" s="129"/>
      <c r="M47" s="130"/>
      <c r="N47" s="35"/>
      <c r="O47" s="34"/>
      <c r="P47" s="25"/>
      <c r="Q47" s="25"/>
      <c r="R47" s="34"/>
      <c r="S47" s="34"/>
      <c r="T47" s="137"/>
      <c r="U47" s="137"/>
      <c r="V47" s="36"/>
      <c r="W47" s="77"/>
      <c r="X47" s="71" t="str">
        <f>IF(C47="Trả lại đơn vụ","",IF(C47="Trả lại đơn việc","",IF((NETWORKDAYS(F47,G47,'Danh sách ngày nghỉ lễ'!$B$5:$B$25)-1-3)&gt;0,"Quá hạn"&amp;" "&amp;(NETWORKDAYS(F47,G47,'Danh sách ngày nghỉ lễ'!$B$5:$B$25)-1-3)&amp;" "&amp;"ngày","")))</f>
        <v/>
      </c>
      <c r="Y47" s="72" t="str">
        <f>IF(S47=0,"",IF(P47="Chuyển","",IF(P47="Nhập vào vụ khác","",IF(P47="BA",IF((S47-R47)&gt;10,"Quá hạn"&amp;" "&amp;(S47-R47-10)&amp;" "&amp;"ngày",""),IF((NETWORKDAYS(R47,S47,'Danh sách ngày nghỉ lễ'!$B$5:$B$25)-VLOOKUP(P47,'Thời hạn'!$A$17:$B$23,2,0))&gt;1,"Quá hạn"&amp;" "&amp;(NETWORKDAYS(R47,S47,'Danh sách ngày nghỉ lễ'!$B$5:$B$25)-1-VLOOKUP(P47,'Thời hạn'!$A$17:$B$23,2,0))&amp;" "&amp;"ngày","")))))</f>
        <v/>
      </c>
      <c r="Z47" s="23">
        <v>1</v>
      </c>
    </row>
    <row r="48" spans="1:26" x14ac:dyDescent="0.3">
      <c r="A48" s="24">
        <v>1</v>
      </c>
      <c r="B48" s="39"/>
      <c r="C48" s="33"/>
      <c r="D48" s="25"/>
      <c r="E48" s="25"/>
      <c r="F48" s="34"/>
      <c r="G48" s="34"/>
      <c r="H48" s="25"/>
      <c r="I48" s="70" t="str">
        <f>IF(C48="Trả lại đơn vụ","",IF(C48="Trả lại đơn việc","",IF(C48="Hòa giải thành","",IF(F48=0,"",EDATE(F48,VLOOKUP(C48,'Thời hạn'!$A$1:$B$10,2,0))+H48))))</f>
        <v/>
      </c>
      <c r="J48" s="59" t="str">
        <f t="shared" ca="1" si="0"/>
        <v/>
      </c>
      <c r="K48" s="25"/>
      <c r="L48" s="129"/>
      <c r="M48" s="130"/>
      <c r="N48" s="35"/>
      <c r="O48" s="34"/>
      <c r="P48" s="25"/>
      <c r="Q48" s="25"/>
      <c r="R48" s="34"/>
      <c r="S48" s="34"/>
      <c r="T48" s="137"/>
      <c r="U48" s="137"/>
      <c r="V48" s="36"/>
      <c r="W48" s="77"/>
      <c r="X48" s="71" t="str">
        <f>IF(C48="Trả lại đơn vụ","",IF(C48="Trả lại đơn việc","",IF((NETWORKDAYS(F48,G48,'Danh sách ngày nghỉ lễ'!$B$5:$B$25)-1-3)&gt;0,"Quá hạn"&amp;" "&amp;(NETWORKDAYS(F48,G48,'Danh sách ngày nghỉ lễ'!$B$5:$B$25)-1-3)&amp;" "&amp;"ngày","")))</f>
        <v/>
      </c>
      <c r="Y48" s="72" t="str">
        <f>IF(S48=0,"",IF(P48="Chuyển","",IF(P48="Nhập vào vụ khác","",IF(P48="BA",IF((S48-R48)&gt;10,"Quá hạn"&amp;" "&amp;(S48-R48-10)&amp;" "&amp;"ngày",""),IF((NETWORKDAYS(R48,S48,'Danh sách ngày nghỉ lễ'!$B$5:$B$25)-VLOOKUP(P48,'Thời hạn'!$A$17:$B$23,2,0))&gt;1,"Quá hạn"&amp;" "&amp;(NETWORKDAYS(R48,S48,'Danh sách ngày nghỉ lễ'!$B$5:$B$25)-1-VLOOKUP(P48,'Thời hạn'!$A$17:$B$23,2,0))&amp;" "&amp;"ngày","")))))</f>
        <v/>
      </c>
      <c r="Z48" s="23">
        <v>1</v>
      </c>
    </row>
    <row r="49" spans="1:26" x14ac:dyDescent="0.3">
      <c r="A49" s="24">
        <v>1</v>
      </c>
      <c r="B49" s="39"/>
      <c r="C49" s="33"/>
      <c r="D49" s="25"/>
      <c r="E49" s="25"/>
      <c r="F49" s="34"/>
      <c r="G49" s="34"/>
      <c r="H49" s="25"/>
      <c r="I49" s="70" t="str">
        <f>IF(C49="Trả lại đơn vụ","",IF(C49="Trả lại đơn việc","",IF(C49="Hòa giải thành","",IF(F49=0,"",EDATE(F49,VLOOKUP(C49,'Thời hạn'!$A$1:$B$10,2,0))+H49))))</f>
        <v/>
      </c>
      <c r="J49" s="59" t="str">
        <f t="shared" ca="1" si="0"/>
        <v/>
      </c>
      <c r="K49" s="25"/>
      <c r="L49" s="129"/>
      <c r="M49" s="130"/>
      <c r="N49" s="35"/>
      <c r="O49" s="34"/>
      <c r="P49" s="25"/>
      <c r="Q49" s="25"/>
      <c r="R49" s="34"/>
      <c r="S49" s="34"/>
      <c r="T49" s="137"/>
      <c r="U49" s="137"/>
      <c r="V49" s="36"/>
      <c r="W49" s="77"/>
      <c r="X49" s="71" t="str">
        <f>IF(C49="Trả lại đơn vụ","",IF(C49="Trả lại đơn việc","",IF((NETWORKDAYS(F49,G49,'Danh sách ngày nghỉ lễ'!$B$5:$B$25)-1-3)&gt;0,"Quá hạn"&amp;" "&amp;(NETWORKDAYS(F49,G49,'Danh sách ngày nghỉ lễ'!$B$5:$B$25)-1-3)&amp;" "&amp;"ngày","")))</f>
        <v/>
      </c>
      <c r="Y49" s="72" t="str">
        <f>IF(S49=0,"",IF(P49="Chuyển","",IF(P49="Nhập vào vụ khác","",IF(P49="BA",IF((S49-R49)&gt;10,"Quá hạn"&amp;" "&amp;(S49-R49-10)&amp;" "&amp;"ngày",""),IF((NETWORKDAYS(R49,S49,'Danh sách ngày nghỉ lễ'!$B$5:$B$25)-VLOOKUP(P49,'Thời hạn'!$A$17:$B$23,2,0))&gt;1,"Quá hạn"&amp;" "&amp;(NETWORKDAYS(R49,S49,'Danh sách ngày nghỉ lễ'!$B$5:$B$25)-1-VLOOKUP(P49,'Thời hạn'!$A$17:$B$23,2,0))&amp;" "&amp;"ngày","")))))</f>
        <v/>
      </c>
      <c r="Z49" s="23">
        <v>1</v>
      </c>
    </row>
    <row r="50" spans="1:26" x14ac:dyDescent="0.3">
      <c r="A50" s="24">
        <v>1</v>
      </c>
      <c r="B50" s="39"/>
      <c r="C50" s="33"/>
      <c r="D50" s="25"/>
      <c r="E50" s="25"/>
      <c r="F50" s="34"/>
      <c r="G50" s="34"/>
      <c r="H50" s="25"/>
      <c r="I50" s="70" t="str">
        <f>IF(C50="Trả lại đơn vụ","",IF(C50="Trả lại đơn việc","",IF(C50="Hòa giải thành","",IF(F50=0,"",EDATE(F50,VLOOKUP(C50,'Thời hạn'!$A$1:$B$10,2,0))+H50))))</f>
        <v/>
      </c>
      <c r="J50" s="59" t="str">
        <f t="shared" ca="1" si="0"/>
        <v/>
      </c>
      <c r="K50" s="25"/>
      <c r="L50" s="129"/>
      <c r="M50" s="130"/>
      <c r="N50" s="35"/>
      <c r="O50" s="34"/>
      <c r="P50" s="25"/>
      <c r="Q50" s="25"/>
      <c r="R50" s="34"/>
      <c r="S50" s="34"/>
      <c r="T50" s="137"/>
      <c r="U50" s="137"/>
      <c r="V50" s="36"/>
      <c r="W50" s="77"/>
      <c r="X50" s="71" t="str">
        <f>IF(C50="Trả lại đơn vụ","",IF(C50="Trả lại đơn việc","",IF((NETWORKDAYS(F50,G50,'Danh sách ngày nghỉ lễ'!$B$5:$B$25)-1-3)&gt;0,"Quá hạn"&amp;" "&amp;(NETWORKDAYS(F50,G50,'Danh sách ngày nghỉ lễ'!$B$5:$B$25)-1-3)&amp;" "&amp;"ngày","")))</f>
        <v/>
      </c>
      <c r="Y50" s="72" t="str">
        <f>IF(S50=0,"",IF(P50="Chuyển","",IF(P50="Nhập vào vụ khác","",IF(P50="BA",IF((S50-R50)&gt;10,"Quá hạn"&amp;" "&amp;(S50-R50-10)&amp;" "&amp;"ngày",""),IF((NETWORKDAYS(R50,S50,'Danh sách ngày nghỉ lễ'!$B$5:$B$25)-VLOOKUP(P50,'Thời hạn'!$A$17:$B$23,2,0))&gt;1,"Quá hạn"&amp;" "&amp;(NETWORKDAYS(R50,S50,'Danh sách ngày nghỉ lễ'!$B$5:$B$25)-1-VLOOKUP(P50,'Thời hạn'!$A$17:$B$23,2,0))&amp;" "&amp;"ngày","")))))</f>
        <v/>
      </c>
      <c r="Z50" s="23">
        <v>1</v>
      </c>
    </row>
    <row r="51" spans="1:26" x14ac:dyDescent="0.3">
      <c r="A51" s="24">
        <v>1</v>
      </c>
      <c r="B51" s="39"/>
      <c r="C51" s="33"/>
      <c r="D51" s="25"/>
      <c r="E51" s="25"/>
      <c r="F51" s="34"/>
      <c r="G51" s="34"/>
      <c r="H51" s="25"/>
      <c r="I51" s="70" t="str">
        <f>IF(C51="Trả lại đơn vụ","",IF(C51="Trả lại đơn việc","",IF(C51="Hòa giải thành","",IF(F51=0,"",EDATE(F51,VLOOKUP(C51,'Thời hạn'!$A$1:$B$10,2,0))+H51))))</f>
        <v/>
      </c>
      <c r="J51" s="59" t="str">
        <f t="shared" ca="1" si="0"/>
        <v/>
      </c>
      <c r="K51" s="25"/>
      <c r="L51" s="129"/>
      <c r="M51" s="130"/>
      <c r="N51" s="35"/>
      <c r="O51" s="34"/>
      <c r="P51" s="25"/>
      <c r="Q51" s="25"/>
      <c r="R51" s="34"/>
      <c r="S51" s="34"/>
      <c r="T51" s="137"/>
      <c r="U51" s="137"/>
      <c r="V51" s="36"/>
      <c r="W51" s="77"/>
      <c r="X51" s="71" t="str">
        <f>IF(C51="Trả lại đơn vụ","",IF(C51="Trả lại đơn việc","",IF((NETWORKDAYS(F51,G51,'Danh sách ngày nghỉ lễ'!$B$5:$B$25)-1-3)&gt;0,"Quá hạn"&amp;" "&amp;(NETWORKDAYS(F51,G51,'Danh sách ngày nghỉ lễ'!$B$5:$B$25)-1-3)&amp;" "&amp;"ngày","")))</f>
        <v/>
      </c>
      <c r="Y51" s="72" t="str">
        <f>IF(S51=0,"",IF(P51="Chuyển","",IF(P51="Nhập vào vụ khác","",IF(P51="BA",IF((S51-R51)&gt;10,"Quá hạn"&amp;" "&amp;(S51-R51-10)&amp;" "&amp;"ngày",""),IF((NETWORKDAYS(R51,S51,'Danh sách ngày nghỉ lễ'!$B$5:$B$25)-VLOOKUP(P51,'Thời hạn'!$A$17:$B$23,2,0))&gt;1,"Quá hạn"&amp;" "&amp;(NETWORKDAYS(R51,S51,'Danh sách ngày nghỉ lễ'!$B$5:$B$25)-1-VLOOKUP(P51,'Thời hạn'!$A$17:$B$23,2,0))&amp;" "&amp;"ngày","")))))</f>
        <v/>
      </c>
      <c r="Z51" s="23">
        <v>1</v>
      </c>
    </row>
    <row r="52" spans="1:26" x14ac:dyDescent="0.3">
      <c r="A52" s="24">
        <v>1</v>
      </c>
      <c r="B52" s="39"/>
      <c r="C52" s="33"/>
      <c r="D52" s="25"/>
      <c r="E52" s="25"/>
      <c r="F52" s="34"/>
      <c r="G52" s="34"/>
      <c r="H52" s="25"/>
      <c r="I52" s="70" t="str">
        <f>IF(C52="Trả lại đơn vụ","",IF(C52="Trả lại đơn việc","",IF(C52="Hòa giải thành","",IF(F52=0,"",EDATE(F52,VLOOKUP(C52,'Thời hạn'!$A$1:$B$10,2,0))+H52))))</f>
        <v/>
      </c>
      <c r="J52" s="59" t="str">
        <f t="shared" ca="1" si="0"/>
        <v/>
      </c>
      <c r="K52" s="25"/>
      <c r="L52" s="129"/>
      <c r="M52" s="130"/>
      <c r="N52" s="35"/>
      <c r="O52" s="34"/>
      <c r="P52" s="25"/>
      <c r="Q52" s="25"/>
      <c r="R52" s="34"/>
      <c r="S52" s="34"/>
      <c r="T52" s="137"/>
      <c r="U52" s="137"/>
      <c r="V52" s="36"/>
      <c r="W52" s="77"/>
      <c r="X52" s="71" t="str">
        <f>IF(C52="Trả lại đơn vụ","",IF(C52="Trả lại đơn việc","",IF((NETWORKDAYS(F52,G52,'Danh sách ngày nghỉ lễ'!$B$5:$B$25)-1-3)&gt;0,"Quá hạn"&amp;" "&amp;(NETWORKDAYS(F52,G52,'Danh sách ngày nghỉ lễ'!$B$5:$B$25)-1-3)&amp;" "&amp;"ngày","")))</f>
        <v/>
      </c>
      <c r="Y52" s="72" t="str">
        <f>IF(S52=0,"",IF(P52="Chuyển","",IF(P52="Nhập vào vụ khác","",IF(P52="BA",IF((S52-R52)&gt;10,"Quá hạn"&amp;" "&amp;(S52-R52-10)&amp;" "&amp;"ngày",""),IF((NETWORKDAYS(R52,S52,'Danh sách ngày nghỉ lễ'!$B$5:$B$25)-VLOOKUP(P52,'Thời hạn'!$A$17:$B$23,2,0))&gt;1,"Quá hạn"&amp;" "&amp;(NETWORKDAYS(R52,S52,'Danh sách ngày nghỉ lễ'!$B$5:$B$25)-1-VLOOKUP(P52,'Thời hạn'!$A$17:$B$23,2,0))&amp;" "&amp;"ngày","")))))</f>
        <v/>
      </c>
      <c r="Z52" s="23">
        <v>1</v>
      </c>
    </row>
    <row r="53" spans="1:26" x14ac:dyDescent="0.3">
      <c r="A53" s="24">
        <v>1</v>
      </c>
      <c r="B53" s="39"/>
      <c r="C53" s="33"/>
      <c r="D53" s="25"/>
      <c r="E53" s="25"/>
      <c r="F53" s="34"/>
      <c r="G53" s="34"/>
      <c r="H53" s="25"/>
      <c r="I53" s="70" t="str">
        <f>IF(C53="Trả lại đơn vụ","",IF(C53="Trả lại đơn việc","",IF(C53="Hòa giải thành","",IF(F53=0,"",EDATE(F53,VLOOKUP(C53,'Thời hạn'!$A$1:$B$10,2,0))+H53))))</f>
        <v/>
      </c>
      <c r="J53" s="59" t="str">
        <f t="shared" ca="1" si="0"/>
        <v/>
      </c>
      <c r="K53" s="25"/>
      <c r="L53" s="129"/>
      <c r="M53" s="130"/>
      <c r="N53" s="35"/>
      <c r="O53" s="34"/>
      <c r="P53" s="25"/>
      <c r="Q53" s="25"/>
      <c r="R53" s="34"/>
      <c r="S53" s="34"/>
      <c r="T53" s="137"/>
      <c r="U53" s="137"/>
      <c r="V53" s="36"/>
      <c r="W53" s="77"/>
      <c r="X53" s="71" t="str">
        <f>IF(C53="Trả lại đơn vụ","",IF(C53="Trả lại đơn việc","",IF((NETWORKDAYS(F53,G53,'Danh sách ngày nghỉ lễ'!$B$5:$B$25)-1-3)&gt;0,"Quá hạn"&amp;" "&amp;(NETWORKDAYS(F53,G53,'Danh sách ngày nghỉ lễ'!$B$5:$B$25)-1-3)&amp;" "&amp;"ngày","")))</f>
        <v/>
      </c>
      <c r="Y53" s="72" t="str">
        <f>IF(S53=0,"",IF(P53="Chuyển","",IF(P53="Nhập vào vụ khác","",IF(P53="BA",IF((S53-R53)&gt;10,"Quá hạn"&amp;" "&amp;(S53-R53-10)&amp;" "&amp;"ngày",""),IF((NETWORKDAYS(R53,S53,'Danh sách ngày nghỉ lễ'!$B$5:$B$25)-VLOOKUP(P53,'Thời hạn'!$A$17:$B$23,2,0))&gt;1,"Quá hạn"&amp;" "&amp;(NETWORKDAYS(R53,S53,'Danh sách ngày nghỉ lễ'!$B$5:$B$25)-1-VLOOKUP(P53,'Thời hạn'!$A$17:$B$23,2,0))&amp;" "&amp;"ngày","")))))</f>
        <v/>
      </c>
      <c r="Z53" s="23">
        <v>1</v>
      </c>
    </row>
    <row r="54" spans="1:26" x14ac:dyDescent="0.3">
      <c r="A54" s="24">
        <v>1</v>
      </c>
      <c r="B54" s="39"/>
      <c r="C54" s="33"/>
      <c r="D54" s="25"/>
      <c r="E54" s="25"/>
      <c r="F54" s="34"/>
      <c r="G54" s="34"/>
      <c r="H54" s="25"/>
      <c r="I54" s="70" t="str">
        <f>IF(C54="Trả lại đơn vụ","",IF(C54="Trả lại đơn việc","",IF(C54="Hòa giải thành","",IF(F54=0,"",EDATE(F54,VLOOKUP(C54,'Thời hạn'!$A$1:$B$10,2,0))+H54))))</f>
        <v/>
      </c>
      <c r="J54" s="59" t="str">
        <f t="shared" ca="1" si="0"/>
        <v/>
      </c>
      <c r="K54" s="25"/>
      <c r="L54" s="129"/>
      <c r="M54" s="130"/>
      <c r="N54" s="35"/>
      <c r="O54" s="34"/>
      <c r="P54" s="25"/>
      <c r="Q54" s="25"/>
      <c r="R54" s="34"/>
      <c r="S54" s="34"/>
      <c r="T54" s="137"/>
      <c r="U54" s="137"/>
      <c r="V54" s="36"/>
      <c r="W54" s="77"/>
      <c r="X54" s="71" t="str">
        <f>IF(C54="Trả lại đơn vụ","",IF(C54="Trả lại đơn việc","",IF((NETWORKDAYS(F54,G54,'Danh sách ngày nghỉ lễ'!$B$5:$B$25)-1-3)&gt;0,"Quá hạn"&amp;" "&amp;(NETWORKDAYS(F54,G54,'Danh sách ngày nghỉ lễ'!$B$5:$B$25)-1-3)&amp;" "&amp;"ngày","")))</f>
        <v/>
      </c>
      <c r="Y54" s="72" t="str">
        <f>IF(S54=0,"",IF(P54="Chuyển","",IF(P54="Nhập vào vụ khác","",IF(P54="BA",IF((S54-R54)&gt;10,"Quá hạn"&amp;" "&amp;(S54-R54-10)&amp;" "&amp;"ngày",""),IF((NETWORKDAYS(R54,S54,'Danh sách ngày nghỉ lễ'!$B$5:$B$25)-VLOOKUP(P54,'Thời hạn'!$A$17:$B$23,2,0))&gt;1,"Quá hạn"&amp;" "&amp;(NETWORKDAYS(R54,S54,'Danh sách ngày nghỉ lễ'!$B$5:$B$25)-1-VLOOKUP(P54,'Thời hạn'!$A$17:$B$23,2,0))&amp;" "&amp;"ngày","")))))</f>
        <v/>
      </c>
      <c r="Z54" s="23">
        <v>1</v>
      </c>
    </row>
    <row r="55" spans="1:26" x14ac:dyDescent="0.3">
      <c r="A55" s="24">
        <v>1</v>
      </c>
      <c r="B55" s="39"/>
      <c r="C55" s="33"/>
      <c r="D55" s="25"/>
      <c r="E55" s="25"/>
      <c r="F55" s="34"/>
      <c r="G55" s="34"/>
      <c r="H55" s="25"/>
      <c r="I55" s="70" t="str">
        <f>IF(C55="Trả lại đơn vụ","",IF(C55="Trả lại đơn việc","",IF(C55="Hòa giải thành","",IF(F55=0,"",EDATE(F55,VLOOKUP(C55,'Thời hạn'!$A$1:$B$10,2,0))+H55))))</f>
        <v/>
      </c>
      <c r="J55" s="59" t="str">
        <f t="shared" ca="1" si="0"/>
        <v/>
      </c>
      <c r="K55" s="25"/>
      <c r="L55" s="129"/>
      <c r="M55" s="130"/>
      <c r="N55" s="35"/>
      <c r="O55" s="34"/>
      <c r="P55" s="25"/>
      <c r="Q55" s="25"/>
      <c r="R55" s="34"/>
      <c r="S55" s="34"/>
      <c r="T55" s="137"/>
      <c r="U55" s="137"/>
      <c r="V55" s="36"/>
      <c r="W55" s="77"/>
      <c r="X55" s="71" t="str">
        <f>IF(C55="Trả lại đơn vụ","",IF(C55="Trả lại đơn việc","",IF((NETWORKDAYS(F55,G55,'Danh sách ngày nghỉ lễ'!$B$5:$B$25)-1-3)&gt;0,"Quá hạn"&amp;" "&amp;(NETWORKDAYS(F55,G55,'Danh sách ngày nghỉ lễ'!$B$5:$B$25)-1-3)&amp;" "&amp;"ngày","")))</f>
        <v/>
      </c>
      <c r="Y55" s="72" t="str">
        <f>IF(S55=0,"",IF(P55="Chuyển","",IF(P55="Nhập vào vụ khác","",IF(P55="BA",IF((S55-R55)&gt;10,"Quá hạn"&amp;" "&amp;(S55-R55-10)&amp;" "&amp;"ngày",""),IF((NETWORKDAYS(R55,S55,'Danh sách ngày nghỉ lễ'!$B$5:$B$25)-VLOOKUP(P55,'Thời hạn'!$A$17:$B$23,2,0))&gt;1,"Quá hạn"&amp;" "&amp;(NETWORKDAYS(R55,S55,'Danh sách ngày nghỉ lễ'!$B$5:$B$25)-1-VLOOKUP(P55,'Thời hạn'!$A$17:$B$23,2,0))&amp;" "&amp;"ngày","")))))</f>
        <v/>
      </c>
      <c r="Z55" s="23">
        <v>1</v>
      </c>
    </row>
    <row r="56" spans="1:26" x14ac:dyDescent="0.3">
      <c r="A56" s="24">
        <v>1</v>
      </c>
      <c r="B56" s="39"/>
      <c r="C56" s="33"/>
      <c r="D56" s="25"/>
      <c r="E56" s="25"/>
      <c r="F56" s="34"/>
      <c r="G56" s="34"/>
      <c r="H56" s="25"/>
      <c r="I56" s="70" t="str">
        <f>IF(C56="Trả lại đơn vụ","",IF(C56="Trả lại đơn việc","",IF(C56="Hòa giải thành","",IF(F56=0,"",EDATE(F56,VLOOKUP(C56,'Thời hạn'!$A$1:$B$10,2,0))+H56))))</f>
        <v/>
      </c>
      <c r="J56" s="59" t="str">
        <f t="shared" ca="1" si="0"/>
        <v/>
      </c>
      <c r="K56" s="25"/>
      <c r="L56" s="129"/>
      <c r="M56" s="130"/>
      <c r="N56" s="35"/>
      <c r="O56" s="34"/>
      <c r="P56" s="25"/>
      <c r="Q56" s="25"/>
      <c r="R56" s="34"/>
      <c r="S56" s="34"/>
      <c r="T56" s="137"/>
      <c r="U56" s="137"/>
      <c r="V56" s="36"/>
      <c r="W56" s="77"/>
      <c r="X56" s="71" t="str">
        <f>IF(C56="Trả lại đơn vụ","",IF(C56="Trả lại đơn việc","",IF((NETWORKDAYS(F56,G56,'Danh sách ngày nghỉ lễ'!$B$5:$B$25)-1-3)&gt;0,"Quá hạn"&amp;" "&amp;(NETWORKDAYS(F56,G56,'Danh sách ngày nghỉ lễ'!$B$5:$B$25)-1-3)&amp;" "&amp;"ngày","")))</f>
        <v/>
      </c>
      <c r="Y56" s="72" t="str">
        <f>IF(S56=0,"",IF(P56="Chuyển","",IF(P56="Nhập vào vụ khác","",IF(P56="BA",IF((S56-R56)&gt;10,"Quá hạn"&amp;" "&amp;(S56-R56-10)&amp;" "&amp;"ngày",""),IF((NETWORKDAYS(R56,S56,'Danh sách ngày nghỉ lễ'!$B$5:$B$25)-VLOOKUP(P56,'Thời hạn'!$A$17:$B$23,2,0))&gt;1,"Quá hạn"&amp;" "&amp;(NETWORKDAYS(R56,S56,'Danh sách ngày nghỉ lễ'!$B$5:$B$25)-1-VLOOKUP(P56,'Thời hạn'!$A$17:$B$23,2,0))&amp;" "&amp;"ngày","")))))</f>
        <v/>
      </c>
      <c r="Z56" s="23">
        <v>1</v>
      </c>
    </row>
    <row r="57" spans="1:26" x14ac:dyDescent="0.3">
      <c r="A57" s="24">
        <v>1</v>
      </c>
      <c r="B57" s="39"/>
      <c r="C57" s="33"/>
      <c r="D57" s="25"/>
      <c r="E57" s="25"/>
      <c r="F57" s="34"/>
      <c r="G57" s="34"/>
      <c r="H57" s="25"/>
      <c r="I57" s="70" t="str">
        <f>IF(C57="Trả lại đơn vụ","",IF(C57="Trả lại đơn việc","",IF(C57="Hòa giải thành","",IF(F57=0,"",EDATE(F57,VLOOKUP(C57,'Thời hạn'!$A$1:$B$10,2,0))+H57))))</f>
        <v/>
      </c>
      <c r="J57" s="59" t="str">
        <f t="shared" ca="1" si="0"/>
        <v/>
      </c>
      <c r="K57" s="25"/>
      <c r="L57" s="129"/>
      <c r="M57" s="130"/>
      <c r="N57" s="35"/>
      <c r="O57" s="34"/>
      <c r="P57" s="25"/>
      <c r="Q57" s="25"/>
      <c r="R57" s="34"/>
      <c r="S57" s="34"/>
      <c r="T57" s="137"/>
      <c r="U57" s="137"/>
      <c r="V57" s="36"/>
      <c r="W57" s="77"/>
      <c r="X57" s="71" t="str">
        <f>IF(C57="Trả lại đơn vụ","",IF(C57="Trả lại đơn việc","",IF((NETWORKDAYS(F57,G57,'Danh sách ngày nghỉ lễ'!$B$5:$B$25)-1-3)&gt;0,"Quá hạn"&amp;" "&amp;(NETWORKDAYS(F57,G57,'Danh sách ngày nghỉ lễ'!$B$5:$B$25)-1-3)&amp;" "&amp;"ngày","")))</f>
        <v/>
      </c>
      <c r="Y57" s="72" t="str">
        <f>IF(S57=0,"",IF(P57="Chuyển","",IF(P57="Nhập vào vụ khác","",IF(P57="BA",IF((S57-R57)&gt;10,"Quá hạn"&amp;" "&amp;(S57-R57-10)&amp;" "&amp;"ngày",""),IF((NETWORKDAYS(R57,S57,'Danh sách ngày nghỉ lễ'!$B$5:$B$25)-VLOOKUP(P57,'Thời hạn'!$A$17:$B$23,2,0))&gt;1,"Quá hạn"&amp;" "&amp;(NETWORKDAYS(R57,S57,'Danh sách ngày nghỉ lễ'!$B$5:$B$25)-1-VLOOKUP(P57,'Thời hạn'!$A$17:$B$23,2,0))&amp;" "&amp;"ngày","")))))</f>
        <v/>
      </c>
      <c r="Z57" s="23">
        <v>1</v>
      </c>
    </row>
    <row r="58" spans="1:26" x14ac:dyDescent="0.3">
      <c r="A58" s="24">
        <v>1</v>
      </c>
      <c r="B58" s="39"/>
      <c r="C58" s="33"/>
      <c r="D58" s="25"/>
      <c r="E58" s="25"/>
      <c r="F58" s="34"/>
      <c r="G58" s="34"/>
      <c r="H58" s="25"/>
      <c r="I58" s="70" t="str">
        <f>IF(C58="Trả lại đơn vụ","",IF(C58="Trả lại đơn việc","",IF(C58="Hòa giải thành","",IF(F58=0,"",EDATE(F58,VLOOKUP(C58,'Thời hạn'!$A$1:$B$10,2,0))+H58))))</f>
        <v/>
      </c>
      <c r="J58" s="59" t="str">
        <f t="shared" ca="1" si="0"/>
        <v/>
      </c>
      <c r="K58" s="25"/>
      <c r="L58" s="129"/>
      <c r="M58" s="130"/>
      <c r="N58" s="35"/>
      <c r="O58" s="34"/>
      <c r="P58" s="25"/>
      <c r="Q58" s="25"/>
      <c r="R58" s="34"/>
      <c r="S58" s="34"/>
      <c r="T58" s="137"/>
      <c r="U58" s="137"/>
      <c r="V58" s="36"/>
      <c r="W58" s="77"/>
      <c r="X58" s="71" t="str">
        <f>IF(C58="Trả lại đơn vụ","",IF(C58="Trả lại đơn việc","",IF((NETWORKDAYS(F58,G58,'Danh sách ngày nghỉ lễ'!$B$5:$B$25)-1-3)&gt;0,"Quá hạn"&amp;" "&amp;(NETWORKDAYS(F58,G58,'Danh sách ngày nghỉ lễ'!$B$5:$B$25)-1-3)&amp;" "&amp;"ngày","")))</f>
        <v/>
      </c>
      <c r="Y58" s="72" t="str">
        <f>IF(S58=0,"",IF(P58="Chuyển","",IF(P58="Nhập vào vụ khác","",IF(P58="BA",IF((S58-R58)&gt;10,"Quá hạn"&amp;" "&amp;(S58-R58-10)&amp;" "&amp;"ngày",""),IF((NETWORKDAYS(R58,S58,'Danh sách ngày nghỉ lễ'!$B$5:$B$25)-VLOOKUP(P58,'Thời hạn'!$A$17:$B$23,2,0))&gt;1,"Quá hạn"&amp;" "&amp;(NETWORKDAYS(R58,S58,'Danh sách ngày nghỉ lễ'!$B$5:$B$25)-1-VLOOKUP(P58,'Thời hạn'!$A$17:$B$23,2,0))&amp;" "&amp;"ngày","")))))</f>
        <v/>
      </c>
      <c r="Z58" s="23">
        <v>1</v>
      </c>
    </row>
    <row r="59" spans="1:26" x14ac:dyDescent="0.3">
      <c r="A59" s="24">
        <v>1</v>
      </c>
      <c r="B59" s="39"/>
      <c r="C59" s="33"/>
      <c r="E59" s="25"/>
      <c r="F59" s="34"/>
      <c r="G59" s="34"/>
      <c r="H59" s="25"/>
      <c r="I59" s="70" t="str">
        <f>IF(C59="Trả lại đơn vụ","",IF(C59="Trả lại đơn việc","",IF(C59="Hòa giải thành","",IF(F59=0,"",EDATE(F59,VLOOKUP(C59,'Thời hạn'!$A$1:$B$10,2,0))+H59))))</f>
        <v/>
      </c>
      <c r="J59" s="59" t="str">
        <f t="shared" ca="1" si="0"/>
        <v/>
      </c>
      <c r="K59" s="25"/>
      <c r="L59" s="129"/>
      <c r="M59" s="130"/>
      <c r="N59" s="35"/>
      <c r="O59" s="34"/>
      <c r="P59" s="25"/>
      <c r="Q59" s="25"/>
      <c r="R59" s="34"/>
      <c r="S59" s="34"/>
      <c r="T59" s="137"/>
      <c r="U59" s="137"/>
      <c r="V59" s="36"/>
      <c r="W59" s="77"/>
      <c r="X59" s="71" t="str">
        <f>IF(C59="Trả lại đơn vụ","",IF(C59="Trả lại đơn việc","",IF((NETWORKDAYS(F59,G59,'Danh sách ngày nghỉ lễ'!$B$5:$B$25)-1-3)&gt;0,"Quá hạn"&amp;" "&amp;(NETWORKDAYS(F59,G59,'Danh sách ngày nghỉ lễ'!$B$5:$B$25)-1-3)&amp;" "&amp;"ngày","")))</f>
        <v/>
      </c>
      <c r="Y59" s="72" t="str">
        <f>IF(S59=0,"",IF(P59="Chuyển","",IF(P59="Nhập vào vụ khác","",IF(P59="BA",IF((S59-R59)&gt;10,"Quá hạn"&amp;" "&amp;(S59-R59-10)&amp;" "&amp;"ngày",""),IF((NETWORKDAYS(R59,S59,'Danh sách ngày nghỉ lễ'!$B$5:$B$25)-VLOOKUP(P59,'Thời hạn'!$A$17:$B$23,2,0))&gt;1,"Quá hạn"&amp;" "&amp;(NETWORKDAYS(R59,S59,'Danh sách ngày nghỉ lễ'!$B$5:$B$25)-1-VLOOKUP(P59,'Thời hạn'!$A$17:$B$23,2,0))&amp;" "&amp;"ngày","")))))</f>
        <v/>
      </c>
      <c r="Z59" s="23">
        <v>1</v>
      </c>
    </row>
    <row r="60" spans="1:26" x14ac:dyDescent="0.3">
      <c r="A60" s="24">
        <v>1</v>
      </c>
      <c r="B60" s="39"/>
      <c r="C60" s="33"/>
      <c r="D60" s="25"/>
      <c r="E60" s="25"/>
      <c r="F60" s="34"/>
      <c r="G60" s="34"/>
      <c r="H60" s="25"/>
      <c r="I60" s="70" t="str">
        <f>IF(C60="Trả lại đơn vụ","",IF(C60="Trả lại đơn việc","",IF(C60="Hòa giải thành","",IF(F60=0,"",EDATE(F60,VLOOKUP(C60,'Thời hạn'!$A$1:$B$10,2,0))+H60))))</f>
        <v/>
      </c>
      <c r="J60" s="59" t="str">
        <f t="shared" ca="1" si="0"/>
        <v/>
      </c>
      <c r="K60" s="25"/>
      <c r="L60" s="129"/>
      <c r="M60" s="130"/>
      <c r="N60" s="35"/>
      <c r="O60" s="34"/>
      <c r="P60" s="25"/>
      <c r="Q60" s="25"/>
      <c r="R60" s="34"/>
      <c r="S60" s="34"/>
      <c r="T60" s="137"/>
      <c r="U60" s="137"/>
      <c r="V60" s="36"/>
      <c r="W60" s="77"/>
      <c r="X60" s="71" t="str">
        <f>IF(C60="Trả lại đơn vụ","",IF(C60="Trả lại đơn việc","",IF((NETWORKDAYS(F60,G60,'Danh sách ngày nghỉ lễ'!$B$5:$B$25)-1-3)&gt;0,"Quá hạn"&amp;" "&amp;(NETWORKDAYS(F60,G60,'Danh sách ngày nghỉ lễ'!$B$5:$B$25)-1-3)&amp;" "&amp;"ngày","")))</f>
        <v/>
      </c>
      <c r="Y60" s="72" t="str">
        <f>IF(S60=0,"",IF(P60="Chuyển","",IF(P60="Nhập vào vụ khác","",IF(P60="BA",IF((S60-R60)&gt;10,"Quá hạn"&amp;" "&amp;(S60-R60-10)&amp;" "&amp;"ngày",""),IF((NETWORKDAYS(R60,S60,'Danh sách ngày nghỉ lễ'!$B$5:$B$25)-VLOOKUP(P60,'Thời hạn'!$A$17:$B$23,2,0))&gt;1,"Quá hạn"&amp;" "&amp;(NETWORKDAYS(R60,S60,'Danh sách ngày nghỉ lễ'!$B$5:$B$25)-1-VLOOKUP(P60,'Thời hạn'!$A$17:$B$23,2,0))&amp;" "&amp;"ngày","")))))</f>
        <v/>
      </c>
      <c r="Z60" s="23">
        <v>1</v>
      </c>
    </row>
    <row r="61" spans="1:26" x14ac:dyDescent="0.3">
      <c r="A61" s="24">
        <v>1</v>
      </c>
      <c r="B61" s="39"/>
      <c r="C61" s="33"/>
      <c r="D61" s="25"/>
      <c r="E61" s="25"/>
      <c r="F61" s="34"/>
      <c r="G61" s="34"/>
      <c r="H61" s="25"/>
      <c r="I61" s="70" t="str">
        <f>IF(C61="Trả lại đơn vụ","",IF(C61="Trả lại đơn việc","",IF(C61="Hòa giải thành","",IF(F61=0,"",EDATE(F61,VLOOKUP(C61,'Thời hạn'!$A$1:$B$10,2,0))+H61))))</f>
        <v/>
      </c>
      <c r="J61" s="59" t="str">
        <f t="shared" ca="1" si="0"/>
        <v/>
      </c>
      <c r="K61" s="25"/>
      <c r="L61" s="129"/>
      <c r="M61" s="130"/>
      <c r="N61" s="35"/>
      <c r="O61" s="34"/>
      <c r="P61" s="25"/>
      <c r="Q61" s="25"/>
      <c r="R61" s="34"/>
      <c r="S61" s="34"/>
      <c r="T61" s="137"/>
      <c r="U61" s="137"/>
      <c r="V61" s="36"/>
      <c r="W61" s="77"/>
      <c r="X61" s="71" t="str">
        <f>IF(C61="Trả lại đơn vụ","",IF(C61="Trả lại đơn việc","",IF((NETWORKDAYS(F61,G61,'Danh sách ngày nghỉ lễ'!$B$5:$B$25)-1-3)&gt;0,"Quá hạn"&amp;" "&amp;(NETWORKDAYS(F61,G61,'Danh sách ngày nghỉ lễ'!$B$5:$B$25)-1-3)&amp;" "&amp;"ngày","")))</f>
        <v/>
      </c>
      <c r="Y61" s="72" t="str">
        <f>IF(S61=0,"",IF(P61="Chuyển","",IF(P61="Nhập vào vụ khác","",IF(P61="BA",IF((S61-R61)&gt;10,"Quá hạn"&amp;" "&amp;(S61-R61-10)&amp;" "&amp;"ngày",""),IF((NETWORKDAYS(R61,S61,'Danh sách ngày nghỉ lễ'!$B$5:$B$25)-VLOOKUP(P61,'Thời hạn'!$A$17:$B$23,2,0))&gt;1,"Quá hạn"&amp;" "&amp;(NETWORKDAYS(R61,S61,'Danh sách ngày nghỉ lễ'!$B$5:$B$25)-1-VLOOKUP(P61,'Thời hạn'!$A$17:$B$23,2,0))&amp;" "&amp;"ngày","")))))</f>
        <v/>
      </c>
      <c r="Z61" s="23">
        <v>1</v>
      </c>
    </row>
    <row r="62" spans="1:26" x14ac:dyDescent="0.3">
      <c r="A62" s="24">
        <v>1</v>
      </c>
      <c r="B62" s="39"/>
      <c r="C62" s="33"/>
      <c r="D62" s="25"/>
      <c r="E62" s="25"/>
      <c r="F62" s="34"/>
      <c r="G62" s="34"/>
      <c r="H62" s="25"/>
      <c r="I62" s="70" t="str">
        <f>IF(C62="Trả lại đơn vụ","",IF(C62="Trả lại đơn việc","",IF(C62="Hòa giải thành","",IF(F62=0,"",EDATE(F62,VLOOKUP(C62,'Thời hạn'!$A$1:$B$10,2,0))+H62))))</f>
        <v/>
      </c>
      <c r="J62" s="59" t="str">
        <f t="shared" ca="1" si="0"/>
        <v/>
      </c>
      <c r="K62" s="25"/>
      <c r="L62" s="129"/>
      <c r="M62" s="130"/>
      <c r="N62" s="35"/>
      <c r="O62" s="34"/>
      <c r="P62" s="25"/>
      <c r="Q62" s="25"/>
      <c r="R62" s="34"/>
      <c r="S62" s="34"/>
      <c r="T62" s="137"/>
      <c r="U62" s="137"/>
      <c r="V62" s="36"/>
      <c r="W62" s="77"/>
      <c r="X62" s="71" t="str">
        <f>IF(C62="Trả lại đơn vụ","",IF(C62="Trả lại đơn việc","",IF((NETWORKDAYS(F62,G62,'Danh sách ngày nghỉ lễ'!$B$5:$B$25)-1-3)&gt;0,"Quá hạn"&amp;" "&amp;(NETWORKDAYS(F62,G62,'Danh sách ngày nghỉ lễ'!$B$5:$B$25)-1-3)&amp;" "&amp;"ngày","")))</f>
        <v/>
      </c>
      <c r="Y62" s="72" t="str">
        <f>IF(S62=0,"",IF(P62="Chuyển","",IF(P62="Nhập vào vụ khác","",IF(P62="BA",IF((S62-R62)&gt;10,"Quá hạn"&amp;" "&amp;(S62-R62-10)&amp;" "&amp;"ngày",""),IF((NETWORKDAYS(R62,S62,'Danh sách ngày nghỉ lễ'!$B$5:$B$25)-VLOOKUP(P62,'Thời hạn'!$A$17:$B$23,2,0))&gt;1,"Quá hạn"&amp;" "&amp;(NETWORKDAYS(R62,S62,'Danh sách ngày nghỉ lễ'!$B$5:$B$25)-1-VLOOKUP(P62,'Thời hạn'!$A$17:$B$23,2,0))&amp;" "&amp;"ngày","")))))</f>
        <v/>
      </c>
      <c r="Z62" s="23">
        <v>1</v>
      </c>
    </row>
    <row r="63" spans="1:26" x14ac:dyDescent="0.3">
      <c r="A63" s="24">
        <v>1</v>
      </c>
      <c r="B63" s="39"/>
      <c r="C63" s="33"/>
      <c r="D63" s="25"/>
      <c r="E63" s="25"/>
      <c r="F63" s="34"/>
      <c r="G63" s="34"/>
      <c r="H63" s="25"/>
      <c r="I63" s="70" t="str">
        <f>IF(C63="Trả lại đơn vụ","",IF(C63="Trả lại đơn việc","",IF(C63="Hòa giải thành","",IF(F63=0,"",EDATE(F63,VLOOKUP(C63,'Thời hạn'!$A$1:$B$10,2,0))+H63))))</f>
        <v/>
      </c>
      <c r="J63" s="59" t="str">
        <f t="shared" ca="1" si="0"/>
        <v/>
      </c>
      <c r="K63" s="25"/>
      <c r="L63" s="129"/>
      <c r="M63" s="130"/>
      <c r="N63" s="35"/>
      <c r="O63" s="34"/>
      <c r="P63" s="25"/>
      <c r="Q63" s="25"/>
      <c r="R63" s="34"/>
      <c r="S63" s="34"/>
      <c r="T63" s="137"/>
      <c r="U63" s="137"/>
      <c r="V63" s="36"/>
      <c r="W63" s="77"/>
      <c r="X63" s="71" t="str">
        <f>IF(C63="Trả lại đơn vụ","",IF(C63="Trả lại đơn việc","",IF((NETWORKDAYS(F63,G63,'Danh sách ngày nghỉ lễ'!$B$5:$B$25)-1-3)&gt;0,"Quá hạn"&amp;" "&amp;(NETWORKDAYS(F63,G63,'Danh sách ngày nghỉ lễ'!$B$5:$B$25)-1-3)&amp;" "&amp;"ngày","")))</f>
        <v/>
      </c>
      <c r="Y63" s="72" t="str">
        <f>IF(S63=0,"",IF(P63="Chuyển","",IF(P63="Nhập vào vụ khác","",IF(P63="BA",IF((S63-R63)&gt;10,"Quá hạn"&amp;" "&amp;(S63-R63-10)&amp;" "&amp;"ngày",""),IF((NETWORKDAYS(R63,S63,'Danh sách ngày nghỉ lễ'!$B$5:$B$25)-VLOOKUP(P63,'Thời hạn'!$A$17:$B$23,2,0))&gt;1,"Quá hạn"&amp;" "&amp;(NETWORKDAYS(R63,S63,'Danh sách ngày nghỉ lễ'!$B$5:$B$25)-1-VLOOKUP(P63,'Thời hạn'!$A$17:$B$23,2,0))&amp;" "&amp;"ngày","")))))</f>
        <v/>
      </c>
      <c r="Z63" s="23">
        <v>1</v>
      </c>
    </row>
    <row r="64" spans="1:26" x14ac:dyDescent="0.3">
      <c r="A64" s="24">
        <v>1</v>
      </c>
      <c r="B64" s="39"/>
      <c r="C64" s="33"/>
      <c r="D64" s="25"/>
      <c r="E64" s="25"/>
      <c r="F64" s="34"/>
      <c r="G64" s="34"/>
      <c r="H64" s="25"/>
      <c r="I64" s="70" t="str">
        <f>IF(C64="Trả lại đơn vụ","",IF(C64="Trả lại đơn việc","",IF(C64="Hòa giải thành","",IF(F64=0,"",EDATE(F64,VLOOKUP(C64,'Thời hạn'!$A$1:$B$10,2,0))+H64))))</f>
        <v/>
      </c>
      <c r="J64" s="59" t="str">
        <f t="shared" ca="1" si="0"/>
        <v/>
      </c>
      <c r="K64" s="25"/>
      <c r="L64" s="129"/>
      <c r="M64" s="130"/>
      <c r="N64" s="35"/>
      <c r="O64" s="34"/>
      <c r="P64" s="25"/>
      <c r="Q64" s="25"/>
      <c r="R64" s="34"/>
      <c r="S64" s="34"/>
      <c r="T64" s="137"/>
      <c r="U64" s="137"/>
      <c r="V64" s="36"/>
      <c r="W64" s="77"/>
      <c r="X64" s="71" t="str">
        <f>IF(C64="Trả lại đơn vụ","",IF(C64="Trả lại đơn việc","",IF((NETWORKDAYS(F64,G64,'Danh sách ngày nghỉ lễ'!$B$5:$B$25)-1-3)&gt;0,"Quá hạn"&amp;" "&amp;(NETWORKDAYS(F64,G64,'Danh sách ngày nghỉ lễ'!$B$5:$B$25)-1-3)&amp;" "&amp;"ngày","")))</f>
        <v/>
      </c>
      <c r="Y64" s="72" t="str">
        <f>IF(S64=0,"",IF(P64="Chuyển","",IF(P64="Nhập vào vụ khác","",IF(P64="BA",IF((S64-R64)&gt;10,"Quá hạn"&amp;" "&amp;(S64-R64-10)&amp;" "&amp;"ngày",""),IF((NETWORKDAYS(R64,S64,'Danh sách ngày nghỉ lễ'!$B$5:$B$25)-VLOOKUP(P64,'Thời hạn'!$A$17:$B$23,2,0))&gt;1,"Quá hạn"&amp;" "&amp;(NETWORKDAYS(R64,S64,'Danh sách ngày nghỉ lễ'!$B$5:$B$25)-1-VLOOKUP(P64,'Thời hạn'!$A$17:$B$23,2,0))&amp;" "&amp;"ngày","")))))</f>
        <v/>
      </c>
      <c r="Z64" s="23">
        <v>1</v>
      </c>
    </row>
    <row r="65" spans="1:26" x14ac:dyDescent="0.3">
      <c r="A65" s="24">
        <v>1</v>
      </c>
      <c r="B65" s="39"/>
      <c r="C65" s="33"/>
      <c r="D65" s="25"/>
      <c r="E65" s="25"/>
      <c r="G65" s="34"/>
      <c r="H65" s="25"/>
      <c r="I65" s="70" t="str">
        <f>IF(C65="Trả lại đơn vụ","",IF(C65="Trả lại đơn việc","",IF(C65="Hòa giải thành","",IF(F65=0,"",EDATE(F65,VLOOKUP(C65,'Thời hạn'!$A$1:$B$10,2,0))+H65))))</f>
        <v/>
      </c>
      <c r="J65" s="59" t="str">
        <f t="shared" ca="1" si="0"/>
        <v/>
      </c>
      <c r="K65" s="25"/>
      <c r="L65" s="129"/>
      <c r="M65" s="130"/>
      <c r="N65" s="35"/>
      <c r="O65" s="34"/>
      <c r="P65" s="25"/>
      <c r="Q65" s="25"/>
      <c r="R65" s="34"/>
      <c r="S65" s="34"/>
      <c r="T65" s="137"/>
      <c r="U65" s="137"/>
      <c r="V65" s="36"/>
      <c r="W65" s="77"/>
      <c r="X65" s="71" t="str">
        <f>IF(C65="Trả lại đơn vụ","",IF(C65="Trả lại đơn việc","",IF((NETWORKDAYS(F65,G65,'Danh sách ngày nghỉ lễ'!$B$5:$B$25)-1-3)&gt;0,"Quá hạn"&amp;" "&amp;(NETWORKDAYS(F65,G65,'Danh sách ngày nghỉ lễ'!$B$5:$B$25)-1-3)&amp;" "&amp;"ngày","")))</f>
        <v/>
      </c>
      <c r="Y65" s="72" t="str">
        <f>IF(S65=0,"",IF(P65="Chuyển","",IF(P65="Nhập vào vụ khác","",IF(P65="BA",IF((S65-R65)&gt;10,"Quá hạn"&amp;" "&amp;(S65-R65-10)&amp;" "&amp;"ngày",""),IF((NETWORKDAYS(R65,S65,'Danh sách ngày nghỉ lễ'!$B$5:$B$25)-VLOOKUP(P65,'Thời hạn'!$A$17:$B$23,2,0))&gt;1,"Quá hạn"&amp;" "&amp;(NETWORKDAYS(R65,S65,'Danh sách ngày nghỉ lễ'!$B$5:$B$25)-1-VLOOKUP(P65,'Thời hạn'!$A$17:$B$23,2,0))&amp;" "&amp;"ngày","")))))</f>
        <v/>
      </c>
      <c r="Z65" s="23">
        <v>1</v>
      </c>
    </row>
    <row r="66" spans="1:26" x14ac:dyDescent="0.3">
      <c r="A66" s="24">
        <v>1</v>
      </c>
      <c r="B66" s="39"/>
      <c r="C66" s="33"/>
      <c r="D66" s="25"/>
      <c r="E66" s="25"/>
      <c r="F66" s="34"/>
      <c r="G66" s="34"/>
      <c r="H66" s="25"/>
      <c r="I66" s="70" t="str">
        <f>IF(C66="Trả lại đơn vụ","",IF(C66="Trả lại đơn việc","",IF(C66="Hòa giải thành","",IF(F66=0,"",EDATE(F66,VLOOKUP(C66,'Thời hạn'!$A$1:$B$10,2,0))+H66))))</f>
        <v/>
      </c>
      <c r="J66" s="59" t="str">
        <f t="shared" ca="1" si="0"/>
        <v/>
      </c>
      <c r="K66" s="25"/>
      <c r="L66" s="129"/>
      <c r="M66" s="130"/>
      <c r="N66" s="35"/>
      <c r="O66" s="34"/>
      <c r="P66" s="25"/>
      <c r="Q66" s="25"/>
      <c r="R66" s="34"/>
      <c r="S66" s="34"/>
      <c r="T66" s="137"/>
      <c r="U66" s="137"/>
      <c r="V66" s="36"/>
      <c r="W66" s="77"/>
      <c r="X66" s="71" t="str">
        <f>IF(C66="Trả lại đơn vụ","",IF(C66="Trả lại đơn việc","",IF((NETWORKDAYS(F66,G66,'Danh sách ngày nghỉ lễ'!$B$5:$B$25)-1-3)&gt;0,"Quá hạn"&amp;" "&amp;(NETWORKDAYS(F66,G66,'Danh sách ngày nghỉ lễ'!$B$5:$B$25)-1-3)&amp;" "&amp;"ngày","")))</f>
        <v/>
      </c>
      <c r="Y66" s="72" t="str">
        <f>IF(S66=0,"",IF(P66="Chuyển","",IF(P66="Nhập vào vụ khác","",IF(P66="BA",IF((S66-R66)&gt;10,"Quá hạn"&amp;" "&amp;(S66-R66-10)&amp;" "&amp;"ngày",""),IF((NETWORKDAYS(R66,S66,'Danh sách ngày nghỉ lễ'!$B$5:$B$25)-VLOOKUP(P66,'Thời hạn'!$A$17:$B$23,2,0))&gt;1,"Quá hạn"&amp;" "&amp;(NETWORKDAYS(R66,S66,'Danh sách ngày nghỉ lễ'!$B$5:$B$25)-1-VLOOKUP(P66,'Thời hạn'!$A$17:$B$23,2,0))&amp;" "&amp;"ngày","")))))</f>
        <v/>
      </c>
      <c r="Z66" s="23">
        <v>1</v>
      </c>
    </row>
    <row r="67" spans="1:26" x14ac:dyDescent="0.3">
      <c r="A67" s="24">
        <v>1</v>
      </c>
      <c r="B67" s="39"/>
      <c r="C67" s="33"/>
      <c r="D67" s="25"/>
      <c r="E67" s="25"/>
      <c r="F67" s="34"/>
      <c r="G67" s="34"/>
      <c r="H67" s="25"/>
      <c r="I67" s="70" t="str">
        <f>IF(C67="Trả lại đơn vụ","",IF(C67="Trả lại đơn việc","",IF(C67="Hòa giải thành","",IF(F67=0,"",EDATE(F67,VLOOKUP(C67,'Thời hạn'!$A$1:$B$10,2,0))+H67))))</f>
        <v/>
      </c>
      <c r="J67" s="59" t="str">
        <f t="shared" ca="1" si="0"/>
        <v/>
      </c>
      <c r="K67" s="25"/>
      <c r="L67" s="129"/>
      <c r="M67" s="130"/>
      <c r="N67" s="35"/>
      <c r="O67" s="34"/>
      <c r="P67" s="25"/>
      <c r="Q67" s="25"/>
      <c r="R67" s="34"/>
      <c r="S67" s="34"/>
      <c r="T67" s="137"/>
      <c r="U67" s="137"/>
      <c r="V67" s="36"/>
      <c r="W67" s="77"/>
      <c r="X67" s="71" t="str">
        <f>IF(C67="Trả lại đơn vụ","",IF(C67="Trả lại đơn việc","",IF((NETWORKDAYS(F67,G67,'Danh sách ngày nghỉ lễ'!$B$5:$B$25)-1-3)&gt;0,"Quá hạn"&amp;" "&amp;(NETWORKDAYS(F67,G67,'Danh sách ngày nghỉ lễ'!$B$5:$B$25)-1-3)&amp;" "&amp;"ngày","")))</f>
        <v/>
      </c>
      <c r="Y67" s="72" t="str">
        <f>IF(S67=0,"",IF(P67="Chuyển","",IF(P67="Nhập vào vụ khác","",IF(P67="BA",IF((S67-R67)&gt;10,"Quá hạn"&amp;" "&amp;(S67-R67-10)&amp;" "&amp;"ngày",""),IF((NETWORKDAYS(R67,S67,'Danh sách ngày nghỉ lễ'!$B$5:$B$25)-VLOOKUP(P67,'Thời hạn'!$A$17:$B$23,2,0))&gt;1,"Quá hạn"&amp;" "&amp;(NETWORKDAYS(R67,S67,'Danh sách ngày nghỉ lễ'!$B$5:$B$25)-1-VLOOKUP(P67,'Thời hạn'!$A$17:$B$23,2,0))&amp;" "&amp;"ngày","")))))</f>
        <v/>
      </c>
      <c r="Z67" s="23">
        <v>1</v>
      </c>
    </row>
    <row r="68" spans="1:26" x14ac:dyDescent="0.3">
      <c r="A68" s="24">
        <v>1</v>
      </c>
      <c r="B68" s="39"/>
      <c r="C68" s="33"/>
      <c r="D68" s="25"/>
      <c r="E68" s="25"/>
      <c r="F68" s="34"/>
      <c r="G68" s="34"/>
      <c r="H68" s="25"/>
      <c r="I68" s="70" t="str">
        <f>IF(C68="Trả lại đơn vụ","",IF(C68="Trả lại đơn việc","",IF(C68="Hòa giải thành","",IF(F68=0,"",EDATE(F68,VLOOKUP(C68,'Thời hạn'!$A$1:$B$10,2,0))+H68))))</f>
        <v/>
      </c>
      <c r="J68" s="59" t="str">
        <f t="shared" ca="1" si="0"/>
        <v/>
      </c>
      <c r="K68" s="25"/>
      <c r="L68" s="129"/>
      <c r="M68" s="130"/>
      <c r="N68" s="35"/>
      <c r="O68" s="34"/>
      <c r="P68" s="25"/>
      <c r="Q68" s="25"/>
      <c r="R68" s="34"/>
      <c r="S68" s="34"/>
      <c r="T68" s="137"/>
      <c r="U68" s="137"/>
      <c r="V68" s="36"/>
      <c r="W68" s="77"/>
      <c r="X68" s="71" t="str">
        <f>IF(C68="Trả lại đơn vụ","",IF(C68="Trả lại đơn việc","",IF((NETWORKDAYS(F68,G68,'Danh sách ngày nghỉ lễ'!$B$5:$B$25)-1-3)&gt;0,"Quá hạn"&amp;" "&amp;(NETWORKDAYS(F68,G68,'Danh sách ngày nghỉ lễ'!$B$5:$B$25)-1-3)&amp;" "&amp;"ngày","")))</f>
        <v/>
      </c>
      <c r="Y68" s="72" t="str">
        <f>IF(S68=0,"",IF(P68="Chuyển","",IF(P68="Nhập vào vụ khác","",IF(P68="BA",IF((S68-R68)&gt;10,"Quá hạn"&amp;" "&amp;(S68-R68-10)&amp;" "&amp;"ngày",""),IF((NETWORKDAYS(R68,S68,'Danh sách ngày nghỉ lễ'!$B$5:$B$25)-VLOOKUP(P68,'Thời hạn'!$A$17:$B$23,2,0))&gt;1,"Quá hạn"&amp;" "&amp;(NETWORKDAYS(R68,S68,'Danh sách ngày nghỉ lễ'!$B$5:$B$25)-1-VLOOKUP(P68,'Thời hạn'!$A$17:$B$23,2,0))&amp;" "&amp;"ngày","")))))</f>
        <v/>
      </c>
      <c r="Z68" s="23">
        <v>1</v>
      </c>
    </row>
    <row r="69" spans="1:26" x14ac:dyDescent="0.3">
      <c r="A69" s="24">
        <v>1</v>
      </c>
      <c r="B69" s="39"/>
      <c r="C69" s="33"/>
      <c r="D69" s="25"/>
      <c r="E69" s="25"/>
      <c r="F69" s="34"/>
      <c r="G69" s="34"/>
      <c r="H69" s="25"/>
      <c r="I69" s="70" t="str">
        <f>IF(C69="Trả lại đơn vụ","",IF(C69="Trả lại đơn việc","",IF(C69="Hòa giải thành","",IF(F69=0,"",EDATE(F69,VLOOKUP(C69,'Thời hạn'!$A$1:$B$10,2,0))+H69))))</f>
        <v/>
      </c>
      <c r="J69" s="59" t="str">
        <f t="shared" ca="1" si="0"/>
        <v/>
      </c>
      <c r="K69" s="25"/>
      <c r="L69" s="129"/>
      <c r="M69" s="130"/>
      <c r="N69" s="35"/>
      <c r="O69" s="34"/>
      <c r="P69" s="25"/>
      <c r="Q69" s="25"/>
      <c r="R69" s="34"/>
      <c r="S69" s="34"/>
      <c r="T69" s="137"/>
      <c r="U69" s="137"/>
      <c r="V69" s="36"/>
      <c r="W69" s="77"/>
      <c r="X69" s="71" t="str">
        <f>IF(C69="Trả lại đơn vụ","",IF(C69="Trả lại đơn việc","",IF((NETWORKDAYS(F69,G69,'Danh sách ngày nghỉ lễ'!$B$5:$B$25)-1-3)&gt;0,"Quá hạn"&amp;" "&amp;(NETWORKDAYS(F69,G69,'Danh sách ngày nghỉ lễ'!$B$5:$B$25)-1-3)&amp;" "&amp;"ngày","")))</f>
        <v/>
      </c>
      <c r="Y69" s="72" t="str">
        <f>IF(S69=0,"",IF(P69="Chuyển","",IF(P69="Nhập vào vụ khác","",IF(P69="BA",IF((S69-R69)&gt;10,"Quá hạn"&amp;" "&amp;(S69-R69-10)&amp;" "&amp;"ngày",""),IF((NETWORKDAYS(R69,S69,'Danh sách ngày nghỉ lễ'!$B$5:$B$25)-VLOOKUP(P69,'Thời hạn'!$A$17:$B$23,2,0))&gt;1,"Quá hạn"&amp;" "&amp;(NETWORKDAYS(R69,S69,'Danh sách ngày nghỉ lễ'!$B$5:$B$25)-1-VLOOKUP(P69,'Thời hạn'!$A$17:$B$23,2,0))&amp;" "&amp;"ngày","")))))</f>
        <v/>
      </c>
      <c r="Z69" s="23">
        <v>1</v>
      </c>
    </row>
    <row r="70" spans="1:26" x14ac:dyDescent="0.3">
      <c r="A70" s="24">
        <v>1</v>
      </c>
      <c r="B70" s="39"/>
      <c r="C70" s="33"/>
      <c r="D70" s="25"/>
      <c r="E70" s="25"/>
      <c r="F70" s="34"/>
      <c r="G70" s="34"/>
      <c r="H70" s="25"/>
      <c r="I70" s="70" t="str">
        <f>IF(C70="Trả lại đơn vụ","",IF(C70="Trả lại đơn việc","",IF(C70="Hòa giải thành","",IF(F70=0,"",EDATE(F70,VLOOKUP(C70,'Thời hạn'!$A$1:$B$10,2,0))+H70))))</f>
        <v/>
      </c>
      <c r="J70" s="59" t="str">
        <f t="shared" ca="1" si="0"/>
        <v/>
      </c>
      <c r="K70" s="25"/>
      <c r="L70" s="129"/>
      <c r="M70" s="130"/>
      <c r="N70" s="35"/>
      <c r="O70" s="34"/>
      <c r="P70" s="25"/>
      <c r="Q70" s="25"/>
      <c r="R70" s="34"/>
      <c r="S70" s="34"/>
      <c r="T70" s="137"/>
      <c r="U70" s="137"/>
      <c r="V70" s="36"/>
      <c r="W70" s="77"/>
      <c r="X70" s="71" t="str">
        <f>IF(C70="Trả lại đơn vụ","",IF(C70="Trả lại đơn việc","",IF((NETWORKDAYS(F70,G70,'Danh sách ngày nghỉ lễ'!$B$5:$B$25)-1-3)&gt;0,"Quá hạn"&amp;" "&amp;(NETWORKDAYS(F70,G70,'Danh sách ngày nghỉ lễ'!$B$5:$B$25)-1-3)&amp;" "&amp;"ngày","")))</f>
        <v/>
      </c>
      <c r="Y70" s="72" t="str">
        <f>IF(S70=0,"",IF(P70="Chuyển","",IF(P70="Nhập vào vụ khác","",IF(P70="BA",IF((S70-R70)&gt;10,"Quá hạn"&amp;" "&amp;(S70-R70-10)&amp;" "&amp;"ngày",""),IF((NETWORKDAYS(R70,S70,'Danh sách ngày nghỉ lễ'!$B$5:$B$25)-VLOOKUP(P70,'Thời hạn'!$A$17:$B$23,2,0))&gt;1,"Quá hạn"&amp;" "&amp;(NETWORKDAYS(R70,S70,'Danh sách ngày nghỉ lễ'!$B$5:$B$25)-1-VLOOKUP(P70,'Thời hạn'!$A$17:$B$23,2,0))&amp;" "&amp;"ngày","")))))</f>
        <v/>
      </c>
      <c r="Z70" s="23">
        <v>1</v>
      </c>
    </row>
    <row r="71" spans="1:26" x14ac:dyDescent="0.3">
      <c r="A71" s="24">
        <v>1</v>
      </c>
      <c r="B71" s="39"/>
      <c r="C71" s="33"/>
      <c r="D71" s="25"/>
      <c r="E71" s="25"/>
      <c r="F71" s="34"/>
      <c r="G71" s="34"/>
      <c r="H71" s="25"/>
      <c r="I71" s="70" t="str">
        <f>IF(C71="Trả lại đơn vụ","",IF(C71="Trả lại đơn việc","",IF(C71="Hòa giải thành","",IF(F71=0,"",EDATE(F71,VLOOKUP(C71,'Thời hạn'!$A$1:$B$10,2,0))+H71))))</f>
        <v/>
      </c>
      <c r="J71" s="59" t="str">
        <f t="shared" ca="1" si="0"/>
        <v/>
      </c>
      <c r="K71" s="25"/>
      <c r="L71" s="129"/>
      <c r="M71" s="130"/>
      <c r="N71" s="35"/>
      <c r="O71" s="34"/>
      <c r="P71" s="25"/>
      <c r="Q71" s="25"/>
      <c r="R71" s="34"/>
      <c r="S71" s="34"/>
      <c r="T71" s="137"/>
      <c r="U71" s="137"/>
      <c r="V71" s="36"/>
      <c r="W71" s="77"/>
      <c r="X71" s="71" t="str">
        <f>IF(C71="Trả lại đơn vụ","",IF(C71="Trả lại đơn việc","",IF((NETWORKDAYS(F71,G71,'Danh sách ngày nghỉ lễ'!$B$5:$B$25)-1-3)&gt;0,"Quá hạn"&amp;" "&amp;(NETWORKDAYS(F71,G71,'Danh sách ngày nghỉ lễ'!$B$5:$B$25)-1-3)&amp;" "&amp;"ngày","")))</f>
        <v/>
      </c>
      <c r="Y71" s="72" t="str">
        <f>IF(S71=0,"",IF(P71="Chuyển","",IF(P71="Nhập vào vụ khác","",IF(P71="BA",IF((S71-R71)&gt;10,"Quá hạn"&amp;" "&amp;(S71-R71-10)&amp;" "&amp;"ngày",""),IF((NETWORKDAYS(R71,S71,'Danh sách ngày nghỉ lễ'!$B$5:$B$25)-VLOOKUP(P71,'Thời hạn'!$A$17:$B$23,2,0))&gt;1,"Quá hạn"&amp;" "&amp;(NETWORKDAYS(R71,S71,'Danh sách ngày nghỉ lễ'!$B$5:$B$25)-1-VLOOKUP(P71,'Thời hạn'!$A$17:$B$23,2,0))&amp;" "&amp;"ngày","")))))</f>
        <v/>
      </c>
      <c r="Z71" s="23">
        <v>1</v>
      </c>
    </row>
    <row r="72" spans="1:26" x14ac:dyDescent="0.3">
      <c r="A72" s="24">
        <v>1</v>
      </c>
      <c r="B72" s="39"/>
      <c r="C72" s="33"/>
      <c r="D72" s="25"/>
      <c r="E72" s="25"/>
      <c r="F72" s="34"/>
      <c r="G72" s="34"/>
      <c r="H72" s="25"/>
      <c r="I72" s="70" t="str">
        <f>IF(C72="Trả lại đơn vụ","",IF(C72="Trả lại đơn việc","",IF(C72="Hòa giải thành","",IF(F72=0,"",EDATE(F72,VLOOKUP(C72,'Thời hạn'!$A$1:$B$10,2,0))+H72))))</f>
        <v/>
      </c>
      <c r="J72" s="59" t="str">
        <f t="shared" ca="1" si="0"/>
        <v/>
      </c>
      <c r="K72" s="25"/>
      <c r="L72" s="129"/>
      <c r="M72" s="130"/>
      <c r="N72" s="35"/>
      <c r="O72" s="34"/>
      <c r="P72" s="25"/>
      <c r="Q72" s="25"/>
      <c r="R72" s="34"/>
      <c r="S72" s="34"/>
      <c r="T72" s="137"/>
      <c r="U72" s="137"/>
      <c r="V72" s="36"/>
      <c r="W72" s="77"/>
      <c r="X72" s="71" t="str">
        <f>IF(C72="Trả lại đơn vụ","",IF(C72="Trả lại đơn việc","",IF((NETWORKDAYS(F72,G72,'Danh sách ngày nghỉ lễ'!$B$5:$B$25)-1-3)&gt;0,"Quá hạn"&amp;" "&amp;(NETWORKDAYS(F72,G72,'Danh sách ngày nghỉ lễ'!$B$5:$B$25)-1-3)&amp;" "&amp;"ngày","")))</f>
        <v/>
      </c>
      <c r="Y72" s="72" t="str">
        <f>IF(S72=0,"",IF(P72="Chuyển","",IF(P72="Nhập vào vụ khác","",IF(P72="BA",IF((S72-R72)&gt;10,"Quá hạn"&amp;" "&amp;(S72-R72-10)&amp;" "&amp;"ngày",""),IF((NETWORKDAYS(R72,S72,'Danh sách ngày nghỉ lễ'!$B$5:$B$25)-VLOOKUP(P72,'Thời hạn'!$A$17:$B$23,2,0))&gt;1,"Quá hạn"&amp;" "&amp;(NETWORKDAYS(R72,S72,'Danh sách ngày nghỉ lễ'!$B$5:$B$25)-1-VLOOKUP(P72,'Thời hạn'!$A$17:$B$23,2,0))&amp;" "&amp;"ngày","")))))</f>
        <v/>
      </c>
      <c r="Z72" s="23">
        <v>1</v>
      </c>
    </row>
    <row r="73" spans="1:26" x14ac:dyDescent="0.3">
      <c r="A73" s="24">
        <v>1</v>
      </c>
      <c r="B73" s="39"/>
      <c r="C73" s="33"/>
      <c r="D73" s="25"/>
      <c r="E73" s="25"/>
      <c r="F73" s="34"/>
      <c r="G73" s="34"/>
      <c r="H73" s="25"/>
      <c r="I73" s="70" t="str">
        <f>IF(C73="Trả lại đơn vụ","",IF(C73="Trả lại đơn việc","",IF(C73="Hòa giải thành","",IF(F73=0,"",EDATE(F73,VLOOKUP(C73,'Thời hạn'!$A$1:$B$10,2,0))+H73))))</f>
        <v/>
      </c>
      <c r="J73" s="59" t="str">
        <f t="shared" ca="1" si="0"/>
        <v/>
      </c>
      <c r="K73" s="25"/>
      <c r="L73" s="129"/>
      <c r="M73" s="130"/>
      <c r="N73" s="35"/>
      <c r="O73" s="34"/>
      <c r="P73" s="25"/>
      <c r="Q73" s="25"/>
      <c r="R73" s="34"/>
      <c r="S73" s="34"/>
      <c r="T73" s="137"/>
      <c r="U73" s="137"/>
      <c r="V73" s="36"/>
      <c r="W73" s="77"/>
      <c r="X73" s="71" t="str">
        <f>IF(C73="Trả lại đơn vụ","",IF(C73="Trả lại đơn việc","",IF((NETWORKDAYS(F73,G73,'Danh sách ngày nghỉ lễ'!$B$5:$B$25)-1-3)&gt;0,"Quá hạn"&amp;" "&amp;(NETWORKDAYS(F73,G73,'Danh sách ngày nghỉ lễ'!$B$5:$B$25)-1-3)&amp;" "&amp;"ngày","")))</f>
        <v/>
      </c>
      <c r="Y73" s="72" t="str">
        <f>IF(S73=0,"",IF(P73="Chuyển","",IF(P73="Nhập vào vụ khác","",IF(P73="BA",IF((S73-R73)&gt;10,"Quá hạn"&amp;" "&amp;(S73-R73-10)&amp;" "&amp;"ngày",""),IF((NETWORKDAYS(R73,S73,'Danh sách ngày nghỉ lễ'!$B$5:$B$25)-VLOOKUP(P73,'Thời hạn'!$A$17:$B$23,2,0))&gt;1,"Quá hạn"&amp;" "&amp;(NETWORKDAYS(R73,S73,'Danh sách ngày nghỉ lễ'!$B$5:$B$25)-1-VLOOKUP(P73,'Thời hạn'!$A$17:$B$23,2,0))&amp;" "&amp;"ngày","")))))</f>
        <v/>
      </c>
      <c r="Z73" s="23">
        <v>1</v>
      </c>
    </row>
    <row r="74" spans="1:26" x14ac:dyDescent="0.3">
      <c r="A74" s="24">
        <v>1</v>
      </c>
      <c r="B74" s="39"/>
      <c r="C74" s="33"/>
      <c r="D74" s="25"/>
      <c r="E74" s="25"/>
      <c r="F74" s="34"/>
      <c r="G74" s="34"/>
      <c r="H74" s="25"/>
      <c r="I74" s="70" t="str">
        <f>IF(C74="Trả lại đơn vụ","",IF(C74="Trả lại đơn việc","",IF(C74="Hòa giải thành","",IF(F74=0,"",EDATE(F74,VLOOKUP(C74,'Thời hạn'!$A$1:$B$10,2,0))+H74))))</f>
        <v/>
      </c>
      <c r="J74" s="59" t="str">
        <f t="shared" ca="1" si="0"/>
        <v/>
      </c>
      <c r="K74" s="25"/>
      <c r="L74" s="129"/>
      <c r="M74" s="130"/>
      <c r="N74" s="35"/>
      <c r="O74" s="34"/>
      <c r="P74" s="25"/>
      <c r="Q74" s="25"/>
      <c r="R74" s="34"/>
      <c r="S74" s="34"/>
      <c r="T74" s="137"/>
      <c r="U74" s="137"/>
      <c r="V74" s="36"/>
      <c r="W74" s="77"/>
      <c r="X74" s="71" t="str">
        <f>IF(C74="Trả lại đơn vụ","",IF(C74="Trả lại đơn việc","",IF((NETWORKDAYS(F74,G74,'Danh sách ngày nghỉ lễ'!$B$5:$B$25)-1-3)&gt;0,"Quá hạn"&amp;" "&amp;(NETWORKDAYS(F74,G74,'Danh sách ngày nghỉ lễ'!$B$5:$B$25)-1-3)&amp;" "&amp;"ngày","")))</f>
        <v/>
      </c>
      <c r="Y74" s="72" t="str">
        <f>IF(S74=0,"",IF(P74="Chuyển","",IF(P74="Nhập vào vụ khác","",IF(P74="BA",IF((S74-R74)&gt;10,"Quá hạn"&amp;" "&amp;(S74-R74-10)&amp;" "&amp;"ngày",""),IF((NETWORKDAYS(R74,S74,'Danh sách ngày nghỉ lễ'!$B$5:$B$25)-VLOOKUP(P74,'Thời hạn'!$A$17:$B$23,2,0))&gt;1,"Quá hạn"&amp;" "&amp;(NETWORKDAYS(R74,S74,'Danh sách ngày nghỉ lễ'!$B$5:$B$25)-1-VLOOKUP(P74,'Thời hạn'!$A$17:$B$23,2,0))&amp;" "&amp;"ngày","")))))</f>
        <v/>
      </c>
      <c r="Z74" s="23">
        <v>1</v>
      </c>
    </row>
    <row r="75" spans="1:26" x14ac:dyDescent="0.3">
      <c r="A75" s="24">
        <v>1</v>
      </c>
      <c r="B75" s="39"/>
      <c r="C75" s="33"/>
      <c r="D75" s="25"/>
      <c r="E75" s="25"/>
      <c r="F75" s="34"/>
      <c r="G75" s="34"/>
      <c r="H75" s="25"/>
      <c r="I75" s="70" t="str">
        <f>IF(C75="Trả lại đơn vụ","",IF(C75="Trả lại đơn việc","",IF(C75="Hòa giải thành","",IF(F75=0,"",EDATE(F75,VLOOKUP(C75,'Thời hạn'!$A$1:$B$10,2,0))+H75))))</f>
        <v/>
      </c>
      <c r="J75" s="59" t="str">
        <f t="shared" ref="J75:J138" ca="1" si="1">IF(C75="Trả lại đơn vụ","",IF(C75="Trả lại đơn việc","",IF(C75="Hòa giải thành","",IF(N75=0,IF(P75=0,IF(F75=0,"",I75-TODAY()+1),""),""))))</f>
        <v/>
      </c>
      <c r="K75" s="25"/>
      <c r="L75" s="129"/>
      <c r="M75" s="130"/>
      <c r="N75" s="35"/>
      <c r="O75" s="34"/>
      <c r="P75" s="25"/>
      <c r="Q75" s="25"/>
      <c r="R75" s="34"/>
      <c r="S75" s="34"/>
      <c r="T75" s="137"/>
      <c r="U75" s="137"/>
      <c r="V75" s="36"/>
      <c r="W75" s="77"/>
      <c r="X75" s="71" t="str">
        <f>IF(C75="Trả lại đơn vụ","",IF(C75="Trả lại đơn việc","",IF((NETWORKDAYS(F75,G75,'Danh sách ngày nghỉ lễ'!$B$5:$B$25)-1-3)&gt;0,"Quá hạn"&amp;" "&amp;(NETWORKDAYS(F75,G75,'Danh sách ngày nghỉ lễ'!$B$5:$B$25)-1-3)&amp;" "&amp;"ngày","")))</f>
        <v/>
      </c>
      <c r="Y75" s="72" t="str">
        <f>IF(S75=0,"",IF(P75="Chuyển","",IF(P75="Nhập vào vụ khác","",IF(P75="BA",IF((S75-R75)&gt;10,"Quá hạn"&amp;" "&amp;(S75-R75-10)&amp;" "&amp;"ngày",""),IF((NETWORKDAYS(R75,S75,'Danh sách ngày nghỉ lễ'!$B$5:$B$25)-VLOOKUP(P75,'Thời hạn'!$A$17:$B$23,2,0))&gt;1,"Quá hạn"&amp;" "&amp;(NETWORKDAYS(R75,S75,'Danh sách ngày nghỉ lễ'!$B$5:$B$25)-1-VLOOKUP(P75,'Thời hạn'!$A$17:$B$23,2,0))&amp;" "&amp;"ngày","")))))</f>
        <v/>
      </c>
      <c r="Z75" s="23">
        <v>1</v>
      </c>
    </row>
    <row r="76" spans="1:26" x14ac:dyDescent="0.3">
      <c r="A76" s="24">
        <v>1</v>
      </c>
      <c r="B76" s="39"/>
      <c r="C76" s="33"/>
      <c r="D76" s="25"/>
      <c r="E76" s="25"/>
      <c r="F76" s="34"/>
      <c r="G76" s="34"/>
      <c r="H76" s="25"/>
      <c r="I76" s="70" t="str">
        <f>IF(C76="Trả lại đơn vụ","",IF(C76="Trả lại đơn việc","",IF(C76="Hòa giải thành","",IF(F76=0,"",EDATE(F76,VLOOKUP(C76,'Thời hạn'!$A$1:$B$10,2,0))+H76))))</f>
        <v/>
      </c>
      <c r="J76" s="59" t="str">
        <f t="shared" ca="1" si="1"/>
        <v/>
      </c>
      <c r="K76" s="25"/>
      <c r="L76" s="129"/>
      <c r="M76" s="130"/>
      <c r="N76" s="35"/>
      <c r="O76" s="34"/>
      <c r="P76" s="25"/>
      <c r="Q76" s="25"/>
      <c r="R76" s="34"/>
      <c r="S76" s="34"/>
      <c r="T76" s="137"/>
      <c r="U76" s="137"/>
      <c r="V76" s="36"/>
      <c r="W76" s="77"/>
      <c r="X76" s="71" t="str">
        <f>IF(C76="Trả lại đơn vụ","",IF(C76="Trả lại đơn việc","",IF((NETWORKDAYS(F76,G76,'Danh sách ngày nghỉ lễ'!$B$5:$B$25)-1-3)&gt;0,"Quá hạn"&amp;" "&amp;(NETWORKDAYS(F76,G76,'Danh sách ngày nghỉ lễ'!$B$5:$B$25)-1-3)&amp;" "&amp;"ngày","")))</f>
        <v/>
      </c>
      <c r="Y76" s="72" t="str">
        <f>IF(S76=0,"",IF(P76="Chuyển","",IF(P76="Nhập vào vụ khác","",IF(P76="BA",IF((S76-R76)&gt;10,"Quá hạn"&amp;" "&amp;(S76-R76-10)&amp;" "&amp;"ngày",""),IF((NETWORKDAYS(R76,S76,'Danh sách ngày nghỉ lễ'!$B$5:$B$25)-VLOOKUP(P76,'Thời hạn'!$A$17:$B$23,2,0))&gt;1,"Quá hạn"&amp;" "&amp;(NETWORKDAYS(R76,S76,'Danh sách ngày nghỉ lễ'!$B$5:$B$25)-1-VLOOKUP(P76,'Thời hạn'!$A$17:$B$23,2,0))&amp;" "&amp;"ngày","")))))</f>
        <v/>
      </c>
      <c r="Z76" s="23">
        <v>1</v>
      </c>
    </row>
    <row r="77" spans="1:26" x14ac:dyDescent="0.3">
      <c r="A77" s="24">
        <v>1</v>
      </c>
      <c r="B77" s="39"/>
      <c r="C77" s="33"/>
      <c r="D77" s="25"/>
      <c r="F77" s="34"/>
      <c r="G77" s="34"/>
      <c r="H77" s="25"/>
      <c r="I77" s="70" t="str">
        <f>IF(C77="Trả lại đơn vụ","",IF(C77="Trả lại đơn việc","",IF(C77="Hòa giải thành","",IF(F77=0,"",EDATE(F77,VLOOKUP(C77,'Thời hạn'!$A$1:$B$10,2,0))+H77))))</f>
        <v/>
      </c>
      <c r="J77" s="59" t="str">
        <f t="shared" ca="1" si="1"/>
        <v/>
      </c>
      <c r="K77" s="25"/>
      <c r="L77" s="129"/>
      <c r="M77" s="130"/>
      <c r="N77" s="35"/>
      <c r="O77" s="34"/>
      <c r="P77" s="25"/>
      <c r="Q77" s="25"/>
      <c r="R77" s="34"/>
      <c r="S77" s="34"/>
      <c r="T77" s="137"/>
      <c r="U77" s="137"/>
      <c r="V77" s="36"/>
      <c r="W77" s="77"/>
      <c r="X77" s="71" t="str">
        <f>IF(C77="Trả lại đơn vụ","",IF(C77="Trả lại đơn việc","",IF((NETWORKDAYS(F77,G77,'Danh sách ngày nghỉ lễ'!$B$5:$B$25)-1-3)&gt;0,"Quá hạn"&amp;" "&amp;(NETWORKDAYS(F77,G77,'Danh sách ngày nghỉ lễ'!$B$5:$B$25)-1-3)&amp;" "&amp;"ngày","")))</f>
        <v/>
      </c>
      <c r="Y77" s="72" t="str">
        <f>IF(S77=0,"",IF(P77="Chuyển","",IF(P77="Nhập vào vụ khác","",IF(P77="BA",IF((S77-R77)&gt;10,"Quá hạn"&amp;" "&amp;(S77-R77-10)&amp;" "&amp;"ngày",""),IF((NETWORKDAYS(R77,S77,'Danh sách ngày nghỉ lễ'!$B$5:$B$25)-VLOOKUP(P77,'Thời hạn'!$A$17:$B$23,2,0))&gt;1,"Quá hạn"&amp;" "&amp;(NETWORKDAYS(R77,S77,'Danh sách ngày nghỉ lễ'!$B$5:$B$25)-1-VLOOKUP(P77,'Thời hạn'!$A$17:$B$23,2,0))&amp;" "&amp;"ngày","")))))</f>
        <v/>
      </c>
      <c r="Z77" s="23">
        <v>1</v>
      </c>
    </row>
    <row r="78" spans="1:26" x14ac:dyDescent="0.3">
      <c r="A78" s="24">
        <v>1</v>
      </c>
      <c r="B78" s="39"/>
      <c r="C78" s="33"/>
      <c r="D78" s="25"/>
      <c r="E78" s="25"/>
      <c r="F78" s="34"/>
      <c r="G78" s="34"/>
      <c r="H78" s="25"/>
      <c r="I78" s="70" t="str">
        <f>IF(C78="Trả lại đơn vụ","",IF(C78="Trả lại đơn việc","",IF(C78="Hòa giải thành","",IF(F78=0,"",EDATE(F78,VLOOKUP(C78,'Thời hạn'!$A$1:$B$10,2,0))+H78))))</f>
        <v/>
      </c>
      <c r="J78" s="59" t="str">
        <f t="shared" ca="1" si="1"/>
        <v/>
      </c>
      <c r="K78" s="25"/>
      <c r="L78" s="129"/>
      <c r="M78" s="130"/>
      <c r="N78" s="35"/>
      <c r="O78" s="34"/>
      <c r="P78" s="25"/>
      <c r="Q78" s="25"/>
      <c r="R78" s="34"/>
      <c r="S78" s="34"/>
      <c r="T78" s="137"/>
      <c r="U78" s="137"/>
      <c r="V78" s="36"/>
      <c r="W78" s="77"/>
      <c r="X78" s="71" t="str">
        <f>IF(C78="Trả lại đơn vụ","",IF(C78="Trả lại đơn việc","",IF((NETWORKDAYS(F78,G78,'Danh sách ngày nghỉ lễ'!$B$5:$B$25)-1-3)&gt;0,"Quá hạn"&amp;" "&amp;(NETWORKDAYS(F78,G78,'Danh sách ngày nghỉ lễ'!$B$5:$B$25)-1-3)&amp;" "&amp;"ngày","")))</f>
        <v/>
      </c>
      <c r="Y78" s="72" t="str">
        <f>IF(S78=0,"",IF(P78="Chuyển","",IF(P78="Nhập vào vụ khác","",IF(P78="BA",IF((S78-R78)&gt;10,"Quá hạn"&amp;" "&amp;(S78-R78-10)&amp;" "&amp;"ngày",""),IF((NETWORKDAYS(R78,S78,'Danh sách ngày nghỉ lễ'!$B$5:$B$25)-VLOOKUP(P78,'Thời hạn'!$A$17:$B$23,2,0))&gt;1,"Quá hạn"&amp;" "&amp;(NETWORKDAYS(R78,S78,'Danh sách ngày nghỉ lễ'!$B$5:$B$25)-1-VLOOKUP(P78,'Thời hạn'!$A$17:$B$23,2,0))&amp;" "&amp;"ngày","")))))</f>
        <v/>
      </c>
      <c r="Z78" s="23">
        <v>1</v>
      </c>
    </row>
    <row r="79" spans="1:26" x14ac:dyDescent="0.3">
      <c r="A79" s="24">
        <v>1</v>
      </c>
      <c r="B79" s="39"/>
      <c r="C79" s="33"/>
      <c r="D79" s="25"/>
      <c r="E79" s="25"/>
      <c r="F79" s="34"/>
      <c r="G79" s="34"/>
      <c r="H79" s="25"/>
      <c r="I79" s="70" t="str">
        <f>IF(C79="Trả lại đơn vụ","",IF(C79="Trả lại đơn việc","",IF(C79="Hòa giải thành","",IF(F79=0,"",EDATE(F79,VLOOKUP(C79,'Thời hạn'!$A$1:$B$10,2,0))+H79))))</f>
        <v/>
      </c>
      <c r="J79" s="59" t="str">
        <f t="shared" ca="1" si="1"/>
        <v/>
      </c>
      <c r="K79" s="25"/>
      <c r="L79" s="129"/>
      <c r="M79" s="130"/>
      <c r="N79" s="35"/>
      <c r="O79" s="34"/>
      <c r="P79" s="25"/>
      <c r="Q79" s="25"/>
      <c r="R79" s="34"/>
      <c r="S79" s="34"/>
      <c r="T79" s="137"/>
      <c r="U79" s="137"/>
      <c r="V79" s="36"/>
      <c r="W79" s="77"/>
      <c r="X79" s="71" t="str">
        <f>IF(C79="Trả lại đơn vụ","",IF(C79="Trả lại đơn việc","",IF((NETWORKDAYS(F79,G79,'Danh sách ngày nghỉ lễ'!$B$5:$B$25)-1-3)&gt;0,"Quá hạn"&amp;" "&amp;(NETWORKDAYS(F79,G79,'Danh sách ngày nghỉ lễ'!$B$5:$B$25)-1-3)&amp;" "&amp;"ngày","")))</f>
        <v/>
      </c>
      <c r="Y79" s="72" t="str">
        <f>IF(S79=0,"",IF(P79="Chuyển","",IF(P79="Nhập vào vụ khác","",IF(P79="BA",IF((S79-R79)&gt;10,"Quá hạn"&amp;" "&amp;(S79-R79-10)&amp;" "&amp;"ngày",""),IF((NETWORKDAYS(R79,S79,'Danh sách ngày nghỉ lễ'!$B$5:$B$25)-VLOOKUP(P79,'Thời hạn'!$A$17:$B$23,2,0))&gt;1,"Quá hạn"&amp;" "&amp;(NETWORKDAYS(R79,S79,'Danh sách ngày nghỉ lễ'!$B$5:$B$25)-1-VLOOKUP(P79,'Thời hạn'!$A$17:$B$23,2,0))&amp;" "&amp;"ngày","")))))</f>
        <v/>
      </c>
      <c r="Z79" s="23">
        <v>1</v>
      </c>
    </row>
    <row r="80" spans="1:26" x14ac:dyDescent="0.3">
      <c r="A80" s="24">
        <v>1</v>
      </c>
      <c r="B80" s="39"/>
      <c r="C80" s="33"/>
      <c r="D80" s="25"/>
      <c r="E80" s="25"/>
      <c r="F80" s="34"/>
      <c r="G80" s="34"/>
      <c r="H80" s="25"/>
      <c r="I80" s="70" t="str">
        <f>IF(C80="Trả lại đơn vụ","",IF(C80="Trả lại đơn việc","",IF(C80="Hòa giải thành","",IF(F80=0,"",EDATE(F80,VLOOKUP(C80,'Thời hạn'!$A$1:$B$10,2,0))+H80))))</f>
        <v/>
      </c>
      <c r="J80" s="59" t="str">
        <f t="shared" ca="1" si="1"/>
        <v/>
      </c>
      <c r="K80" s="25"/>
      <c r="L80" s="129"/>
      <c r="M80" s="130"/>
      <c r="N80" s="35"/>
      <c r="O80" s="34"/>
      <c r="P80" s="25"/>
      <c r="Q80" s="25"/>
      <c r="R80" s="34"/>
      <c r="S80" s="34"/>
      <c r="T80" s="137"/>
      <c r="U80" s="137"/>
      <c r="V80" s="36"/>
      <c r="W80" s="77"/>
      <c r="X80" s="71" t="str">
        <f>IF(C80="Trả lại đơn vụ","",IF(C80="Trả lại đơn việc","",IF((NETWORKDAYS(F80,G80,'Danh sách ngày nghỉ lễ'!$B$5:$B$25)-1-3)&gt;0,"Quá hạn"&amp;" "&amp;(NETWORKDAYS(F80,G80,'Danh sách ngày nghỉ lễ'!$B$5:$B$25)-1-3)&amp;" "&amp;"ngày","")))</f>
        <v/>
      </c>
      <c r="Y80" s="72" t="str">
        <f>IF(S80=0,"",IF(P80="Chuyển","",IF(P80="Nhập vào vụ khác","",IF(P80="BA",IF((S80-R80)&gt;10,"Quá hạn"&amp;" "&amp;(S80-R80-10)&amp;" "&amp;"ngày",""),IF((NETWORKDAYS(R80,S80,'Danh sách ngày nghỉ lễ'!$B$5:$B$25)-VLOOKUP(P80,'Thời hạn'!$A$17:$B$23,2,0))&gt;1,"Quá hạn"&amp;" "&amp;(NETWORKDAYS(R80,S80,'Danh sách ngày nghỉ lễ'!$B$5:$B$25)-1-VLOOKUP(P80,'Thời hạn'!$A$17:$B$23,2,0))&amp;" "&amp;"ngày","")))))</f>
        <v/>
      </c>
      <c r="Z80" s="23">
        <v>1</v>
      </c>
    </row>
    <row r="81" spans="1:26" x14ac:dyDescent="0.3">
      <c r="A81" s="24">
        <v>1</v>
      </c>
      <c r="B81" s="39"/>
      <c r="C81" s="33"/>
      <c r="D81" s="25"/>
      <c r="E81" s="25"/>
      <c r="F81" s="34"/>
      <c r="G81" s="34"/>
      <c r="H81" s="25"/>
      <c r="I81" s="70" t="str">
        <f>IF(C81="Trả lại đơn vụ","",IF(C81="Trả lại đơn việc","",IF(C81="Hòa giải thành","",IF(F81=0,"",EDATE(F81,VLOOKUP(C81,'Thời hạn'!$A$1:$B$10,2,0))+H81))))</f>
        <v/>
      </c>
      <c r="J81" s="59" t="str">
        <f t="shared" ca="1" si="1"/>
        <v/>
      </c>
      <c r="K81" s="25"/>
      <c r="L81" s="129"/>
      <c r="M81" s="130"/>
      <c r="N81" s="35"/>
      <c r="O81" s="34"/>
      <c r="P81" s="25"/>
      <c r="Q81" s="25"/>
      <c r="R81" s="34"/>
      <c r="S81" s="34"/>
      <c r="T81" s="137"/>
      <c r="U81" s="137"/>
      <c r="V81" s="36"/>
      <c r="W81" s="77"/>
      <c r="X81" s="71" t="str">
        <f>IF(C81="Trả lại đơn vụ","",IF(C81="Trả lại đơn việc","",IF((NETWORKDAYS(F81,G81,'Danh sách ngày nghỉ lễ'!$B$5:$B$25)-1-3)&gt;0,"Quá hạn"&amp;" "&amp;(NETWORKDAYS(F81,G81,'Danh sách ngày nghỉ lễ'!$B$5:$B$25)-1-3)&amp;" "&amp;"ngày","")))</f>
        <v/>
      </c>
      <c r="Y81" s="72" t="str">
        <f>IF(S81=0,"",IF(P81="Chuyển","",IF(P81="Nhập vào vụ khác","",IF(P81="BA",IF((S81-R81)&gt;10,"Quá hạn"&amp;" "&amp;(S81-R81-10)&amp;" "&amp;"ngày",""),IF((NETWORKDAYS(R81,S81,'Danh sách ngày nghỉ lễ'!$B$5:$B$25)-VLOOKUP(P81,'Thời hạn'!$A$17:$B$23,2,0))&gt;1,"Quá hạn"&amp;" "&amp;(NETWORKDAYS(R81,S81,'Danh sách ngày nghỉ lễ'!$B$5:$B$25)-1-VLOOKUP(P81,'Thời hạn'!$A$17:$B$23,2,0))&amp;" "&amp;"ngày","")))))</f>
        <v/>
      </c>
      <c r="Z81" s="23">
        <v>1</v>
      </c>
    </row>
    <row r="82" spans="1:26" x14ac:dyDescent="0.3">
      <c r="A82" s="24">
        <v>1</v>
      </c>
      <c r="B82" s="39"/>
      <c r="C82" s="33"/>
      <c r="D82" s="25"/>
      <c r="E82" s="25"/>
      <c r="F82" s="34"/>
      <c r="G82" s="34"/>
      <c r="H82" s="25"/>
      <c r="I82" s="70" t="str">
        <f>IF(C82="Trả lại đơn vụ","",IF(C82="Trả lại đơn việc","",IF(C82="Hòa giải thành","",IF(F82=0,"",EDATE(F82,VLOOKUP(C82,'Thời hạn'!$A$1:$B$10,2,0))+H82))))</f>
        <v/>
      </c>
      <c r="J82" s="59" t="str">
        <f t="shared" ca="1" si="1"/>
        <v/>
      </c>
      <c r="K82" s="25"/>
      <c r="L82" s="129"/>
      <c r="M82" s="130"/>
      <c r="N82" s="35"/>
      <c r="O82" s="34"/>
      <c r="P82" s="25"/>
      <c r="Q82" s="25"/>
      <c r="R82" s="34"/>
      <c r="S82" s="34"/>
      <c r="T82" s="137"/>
      <c r="U82" s="137"/>
      <c r="V82" s="36"/>
      <c r="W82" s="77"/>
      <c r="X82" s="71" t="str">
        <f>IF(C82="Trả lại đơn vụ","",IF(C82="Trả lại đơn việc","",IF((NETWORKDAYS(F82,G82,'Danh sách ngày nghỉ lễ'!$B$5:$B$25)-1-3)&gt;0,"Quá hạn"&amp;" "&amp;(NETWORKDAYS(F82,G82,'Danh sách ngày nghỉ lễ'!$B$5:$B$25)-1-3)&amp;" "&amp;"ngày","")))</f>
        <v/>
      </c>
      <c r="Y82" s="72" t="str">
        <f>IF(S82=0,"",IF(P82="Chuyển","",IF(P82="Nhập vào vụ khác","",IF(P82="BA",IF((S82-R82)&gt;10,"Quá hạn"&amp;" "&amp;(S82-R82-10)&amp;" "&amp;"ngày",""),IF((NETWORKDAYS(R82,S82,'Danh sách ngày nghỉ lễ'!$B$5:$B$25)-VLOOKUP(P82,'Thời hạn'!$A$17:$B$23,2,0))&gt;1,"Quá hạn"&amp;" "&amp;(NETWORKDAYS(R82,S82,'Danh sách ngày nghỉ lễ'!$B$5:$B$25)-1-VLOOKUP(P82,'Thời hạn'!$A$17:$B$23,2,0))&amp;" "&amp;"ngày","")))))</f>
        <v/>
      </c>
      <c r="Z82" s="23">
        <v>1</v>
      </c>
    </row>
    <row r="83" spans="1:26" x14ac:dyDescent="0.3">
      <c r="A83" s="24">
        <v>1</v>
      </c>
      <c r="B83" s="39"/>
      <c r="C83" s="33"/>
      <c r="D83" s="25"/>
      <c r="E83" s="25"/>
      <c r="F83" s="34"/>
      <c r="G83" s="34"/>
      <c r="H83" s="25"/>
      <c r="I83" s="70" t="str">
        <f>IF(C83="Trả lại đơn vụ","",IF(C83="Trả lại đơn việc","",IF(C83="Hòa giải thành","",IF(F83=0,"",EDATE(F83,VLOOKUP(C83,'Thời hạn'!$A$1:$B$10,2,0))+H83))))</f>
        <v/>
      </c>
      <c r="J83" s="59" t="str">
        <f t="shared" ca="1" si="1"/>
        <v/>
      </c>
      <c r="K83" s="25"/>
      <c r="L83" s="129"/>
      <c r="M83" s="130"/>
      <c r="N83" s="35"/>
      <c r="O83" s="34"/>
      <c r="P83" s="25"/>
      <c r="Q83" s="25"/>
      <c r="R83" s="34"/>
      <c r="S83" s="34"/>
      <c r="T83" s="137"/>
      <c r="U83" s="137"/>
      <c r="V83" s="36"/>
      <c r="W83" s="77"/>
      <c r="X83" s="71" t="str">
        <f>IF(C83="Trả lại đơn vụ","",IF(C83="Trả lại đơn việc","",IF((NETWORKDAYS(F83,G83,'Danh sách ngày nghỉ lễ'!$B$5:$B$25)-1-3)&gt;0,"Quá hạn"&amp;" "&amp;(NETWORKDAYS(F83,G83,'Danh sách ngày nghỉ lễ'!$B$5:$B$25)-1-3)&amp;" "&amp;"ngày","")))</f>
        <v/>
      </c>
      <c r="Y83" s="72" t="str">
        <f>IF(S83=0,"",IF(P83="Chuyển","",IF(P83="Nhập vào vụ khác","",IF(P83="BA",IF((S83-R83)&gt;10,"Quá hạn"&amp;" "&amp;(S83-R83-10)&amp;" "&amp;"ngày",""),IF((NETWORKDAYS(R83,S83,'Danh sách ngày nghỉ lễ'!$B$5:$B$25)-VLOOKUP(P83,'Thời hạn'!$A$17:$B$23,2,0))&gt;1,"Quá hạn"&amp;" "&amp;(NETWORKDAYS(R83,S83,'Danh sách ngày nghỉ lễ'!$B$5:$B$25)-1-VLOOKUP(P83,'Thời hạn'!$A$17:$B$23,2,0))&amp;" "&amp;"ngày","")))))</f>
        <v/>
      </c>
      <c r="Z83" s="23">
        <v>1</v>
      </c>
    </row>
    <row r="84" spans="1:26" x14ac:dyDescent="0.3">
      <c r="A84" s="24">
        <v>1</v>
      </c>
      <c r="B84" s="39"/>
      <c r="C84" s="33"/>
      <c r="D84" s="25"/>
      <c r="E84" s="25"/>
      <c r="F84" s="34"/>
      <c r="G84" s="34"/>
      <c r="H84" s="25"/>
      <c r="I84" s="70" t="str">
        <f>IF(C84="Trả lại đơn vụ","",IF(C84="Trả lại đơn việc","",IF(C84="Hòa giải thành","",IF(F84=0,"",EDATE(F84,VLOOKUP(C84,'Thời hạn'!$A$1:$B$10,2,0))+H84))))</f>
        <v/>
      </c>
      <c r="J84" s="59" t="str">
        <f t="shared" ca="1" si="1"/>
        <v/>
      </c>
      <c r="K84" s="25"/>
      <c r="L84" s="129"/>
      <c r="M84" s="130"/>
      <c r="N84" s="35"/>
      <c r="O84" s="34"/>
      <c r="P84" s="25"/>
      <c r="Q84" s="25"/>
      <c r="R84" s="34"/>
      <c r="S84" s="34"/>
      <c r="T84" s="137"/>
      <c r="U84" s="137"/>
      <c r="V84" s="36"/>
      <c r="W84" s="77"/>
      <c r="X84" s="71" t="str">
        <f>IF(C84="Trả lại đơn vụ","",IF(C84="Trả lại đơn việc","",IF((NETWORKDAYS(F84,G84,'Danh sách ngày nghỉ lễ'!$B$5:$B$25)-1-3)&gt;0,"Quá hạn"&amp;" "&amp;(NETWORKDAYS(F84,G84,'Danh sách ngày nghỉ lễ'!$B$5:$B$25)-1-3)&amp;" "&amp;"ngày","")))</f>
        <v/>
      </c>
      <c r="Y84" s="72" t="str">
        <f>IF(S84=0,"",IF(P84="Chuyển","",IF(P84="Nhập vào vụ khác","",IF(P84="BA",IF((S84-R84)&gt;10,"Quá hạn"&amp;" "&amp;(S84-R84-10)&amp;" "&amp;"ngày",""),IF((NETWORKDAYS(R84,S84,'Danh sách ngày nghỉ lễ'!$B$5:$B$25)-VLOOKUP(P84,'Thời hạn'!$A$17:$B$23,2,0))&gt;1,"Quá hạn"&amp;" "&amp;(NETWORKDAYS(R84,S84,'Danh sách ngày nghỉ lễ'!$B$5:$B$25)-1-VLOOKUP(P84,'Thời hạn'!$A$17:$B$23,2,0))&amp;" "&amp;"ngày","")))))</f>
        <v/>
      </c>
      <c r="Z84" s="23">
        <v>1</v>
      </c>
    </row>
    <row r="85" spans="1:26" x14ac:dyDescent="0.3">
      <c r="A85" s="24">
        <v>1</v>
      </c>
      <c r="B85" s="39"/>
      <c r="C85" s="33"/>
      <c r="D85" s="25"/>
      <c r="E85" s="25"/>
      <c r="F85" s="34"/>
      <c r="G85" s="34"/>
      <c r="H85" s="25"/>
      <c r="I85" s="70" t="str">
        <f>IF(C85="Trả lại đơn vụ","",IF(C85="Trả lại đơn việc","",IF(C85="Hòa giải thành","",IF(F85=0,"",EDATE(F85,VLOOKUP(C85,'Thời hạn'!$A$1:$B$10,2,0))+H85))))</f>
        <v/>
      </c>
      <c r="J85" s="59" t="str">
        <f t="shared" ca="1" si="1"/>
        <v/>
      </c>
      <c r="K85" s="25"/>
      <c r="L85" s="129"/>
      <c r="M85" s="130"/>
      <c r="N85" s="35"/>
      <c r="O85" s="34"/>
      <c r="P85" s="25"/>
      <c r="Q85" s="25"/>
      <c r="R85" s="34"/>
      <c r="S85" s="34"/>
      <c r="T85" s="137"/>
      <c r="U85" s="137"/>
      <c r="V85" s="36"/>
      <c r="W85" s="77"/>
      <c r="X85" s="71" t="str">
        <f>IF(C85="Trả lại đơn vụ","",IF(C85="Trả lại đơn việc","",IF((NETWORKDAYS(F85,G85,'Danh sách ngày nghỉ lễ'!$B$5:$B$25)-1-3)&gt;0,"Quá hạn"&amp;" "&amp;(NETWORKDAYS(F85,G85,'Danh sách ngày nghỉ lễ'!$B$5:$B$25)-1-3)&amp;" "&amp;"ngày","")))</f>
        <v/>
      </c>
      <c r="Y85" s="72" t="str">
        <f>IF(S85=0,"",IF(P85="Chuyển","",IF(P85="Nhập vào vụ khác","",IF(P85="BA",IF((S85-R85)&gt;10,"Quá hạn"&amp;" "&amp;(S85-R85-10)&amp;" "&amp;"ngày",""),IF((NETWORKDAYS(R85,S85,'Danh sách ngày nghỉ lễ'!$B$5:$B$25)-VLOOKUP(P85,'Thời hạn'!$A$17:$B$23,2,0))&gt;1,"Quá hạn"&amp;" "&amp;(NETWORKDAYS(R85,S85,'Danh sách ngày nghỉ lễ'!$B$5:$B$25)-1-VLOOKUP(P85,'Thời hạn'!$A$17:$B$23,2,0))&amp;" "&amp;"ngày","")))))</f>
        <v/>
      </c>
      <c r="Z85" s="23">
        <v>1</v>
      </c>
    </row>
    <row r="86" spans="1:26" x14ac:dyDescent="0.3">
      <c r="A86" s="24">
        <v>1</v>
      </c>
      <c r="B86" s="39"/>
      <c r="C86" s="33"/>
      <c r="D86" s="25"/>
      <c r="E86" s="25"/>
      <c r="F86" s="34"/>
      <c r="G86" s="34"/>
      <c r="H86" s="25"/>
      <c r="I86" s="70" t="str">
        <f>IF(C86="Trả lại đơn vụ","",IF(C86="Trả lại đơn việc","",IF(C86="Hòa giải thành","",IF(F86=0,"",EDATE(F86,VLOOKUP(C86,'Thời hạn'!$A$1:$B$10,2,0))+H86))))</f>
        <v/>
      </c>
      <c r="J86" s="59" t="str">
        <f t="shared" ca="1" si="1"/>
        <v/>
      </c>
      <c r="K86" s="25"/>
      <c r="L86" s="129"/>
      <c r="M86" s="130"/>
      <c r="N86" s="35"/>
      <c r="O86" s="34"/>
      <c r="P86" s="25"/>
      <c r="Q86" s="25"/>
      <c r="R86" s="34"/>
      <c r="S86" s="34"/>
      <c r="T86" s="137"/>
      <c r="U86" s="137"/>
      <c r="V86" s="36"/>
      <c r="W86" s="77"/>
      <c r="X86" s="71" t="str">
        <f>IF(C86="Trả lại đơn vụ","",IF(C86="Trả lại đơn việc","",IF((NETWORKDAYS(F86,G86,'Danh sách ngày nghỉ lễ'!$B$5:$B$25)-1-3)&gt;0,"Quá hạn"&amp;" "&amp;(NETWORKDAYS(F86,G86,'Danh sách ngày nghỉ lễ'!$B$5:$B$25)-1-3)&amp;" "&amp;"ngày","")))</f>
        <v/>
      </c>
      <c r="Y86" s="72" t="str">
        <f>IF(S86=0,"",IF(P86="Chuyển","",IF(P86="Nhập vào vụ khác","",IF(P86="BA",IF((S86-R86)&gt;10,"Quá hạn"&amp;" "&amp;(S86-R86-10)&amp;" "&amp;"ngày",""),IF((NETWORKDAYS(R86,S86,'Danh sách ngày nghỉ lễ'!$B$5:$B$25)-VLOOKUP(P86,'Thời hạn'!$A$17:$B$23,2,0))&gt;1,"Quá hạn"&amp;" "&amp;(NETWORKDAYS(R86,S86,'Danh sách ngày nghỉ lễ'!$B$5:$B$25)-1-VLOOKUP(P86,'Thời hạn'!$A$17:$B$23,2,0))&amp;" "&amp;"ngày","")))))</f>
        <v/>
      </c>
      <c r="Z86" s="23">
        <v>1</v>
      </c>
    </row>
    <row r="87" spans="1:26" x14ac:dyDescent="0.3">
      <c r="A87" s="24">
        <v>1</v>
      </c>
      <c r="B87" s="39"/>
      <c r="C87" s="33"/>
      <c r="D87" s="25"/>
      <c r="E87" s="25"/>
      <c r="F87" s="34"/>
      <c r="G87" s="34"/>
      <c r="H87" s="25"/>
      <c r="I87" s="70" t="str">
        <f>IF(C87="Trả lại đơn vụ","",IF(C87="Trả lại đơn việc","",IF(C87="Hòa giải thành","",IF(F87=0,"",EDATE(F87,VLOOKUP(C87,'Thời hạn'!$A$1:$B$10,2,0))+H87))))</f>
        <v/>
      </c>
      <c r="J87" s="59" t="str">
        <f t="shared" ca="1" si="1"/>
        <v/>
      </c>
      <c r="K87" s="25"/>
      <c r="L87" s="129"/>
      <c r="M87" s="130"/>
      <c r="N87" s="35"/>
      <c r="O87" s="34"/>
      <c r="P87" s="25"/>
      <c r="Q87" s="25"/>
      <c r="R87" s="34"/>
      <c r="S87" s="34"/>
      <c r="T87" s="137"/>
      <c r="U87" s="137"/>
      <c r="V87" s="36"/>
      <c r="W87" s="77"/>
      <c r="X87" s="71" t="str">
        <f>IF(C87="Trả lại đơn vụ","",IF(C87="Trả lại đơn việc","",IF((NETWORKDAYS(F87,G87,'Danh sách ngày nghỉ lễ'!$B$5:$B$25)-1-3)&gt;0,"Quá hạn"&amp;" "&amp;(NETWORKDAYS(F87,G87,'Danh sách ngày nghỉ lễ'!$B$5:$B$25)-1-3)&amp;" "&amp;"ngày","")))</f>
        <v/>
      </c>
      <c r="Y87" s="72" t="str">
        <f>IF(S87=0,"",IF(P87="Chuyển","",IF(P87="Nhập vào vụ khác","",IF(P87="BA",IF((S87-R87)&gt;10,"Quá hạn"&amp;" "&amp;(S87-R87-10)&amp;" "&amp;"ngày",""),IF((NETWORKDAYS(R87,S87,'Danh sách ngày nghỉ lễ'!$B$5:$B$25)-VLOOKUP(P87,'Thời hạn'!$A$17:$B$23,2,0))&gt;1,"Quá hạn"&amp;" "&amp;(NETWORKDAYS(R87,S87,'Danh sách ngày nghỉ lễ'!$B$5:$B$25)-1-VLOOKUP(P87,'Thời hạn'!$A$17:$B$23,2,0))&amp;" "&amp;"ngày","")))))</f>
        <v/>
      </c>
      <c r="Z87" s="23">
        <v>1</v>
      </c>
    </row>
    <row r="88" spans="1:26" x14ac:dyDescent="0.3">
      <c r="A88" s="24">
        <v>1</v>
      </c>
      <c r="B88" s="39"/>
      <c r="C88" s="33"/>
      <c r="D88" s="25"/>
      <c r="E88" s="25"/>
      <c r="F88" s="34"/>
      <c r="G88" s="34"/>
      <c r="H88" s="25"/>
      <c r="I88" s="70" t="str">
        <f>IF(C88="Trả lại đơn vụ","",IF(C88="Trả lại đơn việc","",IF(C88="Hòa giải thành","",IF(F88=0,"",EDATE(F88,VLOOKUP(C88,'Thời hạn'!$A$1:$B$10,2,0))+H88))))</f>
        <v/>
      </c>
      <c r="J88" s="59" t="str">
        <f t="shared" ca="1" si="1"/>
        <v/>
      </c>
      <c r="K88" s="25"/>
      <c r="L88" s="129"/>
      <c r="M88" s="130"/>
      <c r="N88" s="35"/>
      <c r="O88" s="34"/>
      <c r="P88" s="25"/>
      <c r="Q88" s="25"/>
      <c r="R88" s="34"/>
      <c r="S88" s="34"/>
      <c r="T88" s="137"/>
      <c r="U88" s="137"/>
      <c r="V88" s="36"/>
      <c r="W88" s="77"/>
      <c r="X88" s="71" t="str">
        <f>IF(C88="Trả lại đơn vụ","",IF(C88="Trả lại đơn việc","",IF((NETWORKDAYS(F88,G88,'Danh sách ngày nghỉ lễ'!$B$5:$B$25)-1-3)&gt;0,"Quá hạn"&amp;" "&amp;(NETWORKDAYS(F88,G88,'Danh sách ngày nghỉ lễ'!$B$5:$B$25)-1-3)&amp;" "&amp;"ngày","")))</f>
        <v/>
      </c>
      <c r="Y88" s="72" t="str">
        <f>IF(S88=0,"",IF(P88="Chuyển","",IF(P88="Nhập vào vụ khác","",IF(P88="BA",IF((S88-R88)&gt;10,"Quá hạn"&amp;" "&amp;(S88-R88-10)&amp;" "&amp;"ngày",""),IF((NETWORKDAYS(R88,S88,'Danh sách ngày nghỉ lễ'!$B$5:$B$25)-VLOOKUP(P88,'Thời hạn'!$A$17:$B$23,2,0))&gt;1,"Quá hạn"&amp;" "&amp;(NETWORKDAYS(R88,S88,'Danh sách ngày nghỉ lễ'!$B$5:$B$25)-1-VLOOKUP(P88,'Thời hạn'!$A$17:$B$23,2,0))&amp;" "&amp;"ngày","")))))</f>
        <v/>
      </c>
      <c r="Z88" s="23">
        <v>1</v>
      </c>
    </row>
    <row r="89" spans="1:26" x14ac:dyDescent="0.3">
      <c r="A89" s="24">
        <v>1</v>
      </c>
      <c r="B89" s="39"/>
      <c r="C89" s="33"/>
      <c r="D89" s="25"/>
      <c r="E89" s="25"/>
      <c r="F89" s="34"/>
      <c r="G89" s="34"/>
      <c r="H89" s="25"/>
      <c r="I89" s="70" t="str">
        <f>IF(C89="Trả lại đơn vụ","",IF(C89="Trả lại đơn việc","",IF(C89="Hòa giải thành","",IF(F89=0,"",EDATE(F89,VLOOKUP(C89,'Thời hạn'!$A$1:$B$10,2,0))+H89))))</f>
        <v/>
      </c>
      <c r="J89" s="59" t="str">
        <f t="shared" ca="1" si="1"/>
        <v/>
      </c>
      <c r="K89" s="25"/>
      <c r="L89" s="129"/>
      <c r="M89" s="130"/>
      <c r="N89" s="35"/>
      <c r="O89" s="34"/>
      <c r="P89" s="25"/>
      <c r="Q89" s="25"/>
      <c r="R89" s="34"/>
      <c r="S89" s="34"/>
      <c r="T89" s="137"/>
      <c r="U89" s="137"/>
      <c r="V89" s="36"/>
      <c r="W89" s="77"/>
      <c r="X89" s="71" t="str">
        <f>IF(C89="Trả lại đơn vụ","",IF(C89="Trả lại đơn việc","",IF((NETWORKDAYS(F89,G89,'Danh sách ngày nghỉ lễ'!$B$5:$B$25)-1-3)&gt;0,"Quá hạn"&amp;" "&amp;(NETWORKDAYS(F89,G89,'Danh sách ngày nghỉ lễ'!$B$5:$B$25)-1-3)&amp;" "&amp;"ngày","")))</f>
        <v/>
      </c>
      <c r="Y89" s="72" t="str">
        <f>IF(S89=0,"",IF(P89="Chuyển","",IF(P89="Nhập vào vụ khác","",IF(P89="BA",IF((S89-R89)&gt;10,"Quá hạn"&amp;" "&amp;(S89-R89-10)&amp;" "&amp;"ngày",""),IF((NETWORKDAYS(R89,S89,'Danh sách ngày nghỉ lễ'!$B$5:$B$25)-VLOOKUP(P89,'Thời hạn'!$A$17:$B$23,2,0))&gt;1,"Quá hạn"&amp;" "&amp;(NETWORKDAYS(R89,S89,'Danh sách ngày nghỉ lễ'!$B$5:$B$25)-1-VLOOKUP(P89,'Thời hạn'!$A$17:$B$23,2,0))&amp;" "&amp;"ngày","")))))</f>
        <v/>
      </c>
      <c r="Z89" s="23">
        <v>1</v>
      </c>
    </row>
    <row r="90" spans="1:26" x14ac:dyDescent="0.3">
      <c r="A90" s="24">
        <v>1</v>
      </c>
      <c r="B90" s="39"/>
      <c r="C90" s="33"/>
      <c r="D90" s="25"/>
      <c r="E90" s="25"/>
      <c r="F90" s="34"/>
      <c r="G90" s="34"/>
      <c r="H90" s="25"/>
      <c r="I90" s="70" t="str">
        <f>IF(C90="Trả lại đơn vụ","",IF(C90="Trả lại đơn việc","",IF(C90="Hòa giải thành","",IF(F90=0,"",EDATE(F90,VLOOKUP(C90,'Thời hạn'!$A$1:$B$10,2,0))+H90))))</f>
        <v/>
      </c>
      <c r="J90" s="59" t="str">
        <f t="shared" ca="1" si="1"/>
        <v/>
      </c>
      <c r="K90" s="25"/>
      <c r="L90" s="129"/>
      <c r="M90" s="130"/>
      <c r="N90" s="35"/>
      <c r="O90" s="34"/>
      <c r="P90" s="25"/>
      <c r="Q90" s="25"/>
      <c r="R90" s="34"/>
      <c r="S90" s="34"/>
      <c r="T90" s="137"/>
      <c r="U90" s="137"/>
      <c r="V90" s="36"/>
      <c r="W90" s="77"/>
      <c r="X90" s="71" t="str">
        <f>IF(C90="Trả lại đơn vụ","",IF(C90="Trả lại đơn việc","",IF((NETWORKDAYS(F90,G90,'Danh sách ngày nghỉ lễ'!$B$5:$B$25)-1-3)&gt;0,"Quá hạn"&amp;" "&amp;(NETWORKDAYS(F90,G90,'Danh sách ngày nghỉ lễ'!$B$5:$B$25)-1-3)&amp;" "&amp;"ngày","")))</f>
        <v/>
      </c>
      <c r="Y90" s="72" t="str">
        <f>IF(S90=0,"",IF(P90="Chuyển","",IF(P90="Nhập vào vụ khác","",IF(P90="BA",IF((S90-R90)&gt;10,"Quá hạn"&amp;" "&amp;(S90-R90-10)&amp;" "&amp;"ngày",""),IF((NETWORKDAYS(R90,S90,'Danh sách ngày nghỉ lễ'!$B$5:$B$25)-VLOOKUP(P90,'Thời hạn'!$A$17:$B$23,2,0))&gt;1,"Quá hạn"&amp;" "&amp;(NETWORKDAYS(R90,S90,'Danh sách ngày nghỉ lễ'!$B$5:$B$25)-1-VLOOKUP(P90,'Thời hạn'!$A$17:$B$23,2,0))&amp;" "&amp;"ngày","")))))</f>
        <v/>
      </c>
      <c r="Z90" s="23">
        <v>1</v>
      </c>
    </row>
    <row r="91" spans="1:26" x14ac:dyDescent="0.3">
      <c r="A91" s="24">
        <v>1</v>
      </c>
      <c r="B91" s="39"/>
      <c r="C91" s="33"/>
      <c r="D91" s="25"/>
      <c r="E91" s="25"/>
      <c r="F91" s="34"/>
      <c r="G91" s="34"/>
      <c r="H91" s="25"/>
      <c r="I91" s="70" t="str">
        <f>IF(C91="Trả lại đơn vụ","",IF(C91="Trả lại đơn việc","",IF(C91="Hòa giải thành","",IF(F91=0,"",EDATE(F91,VLOOKUP(C91,'Thời hạn'!$A$1:$B$10,2,0))+H91))))</f>
        <v/>
      </c>
      <c r="J91" s="59" t="str">
        <f t="shared" ca="1" si="1"/>
        <v/>
      </c>
      <c r="K91" s="25"/>
      <c r="L91" s="129"/>
      <c r="M91" s="130"/>
      <c r="N91" s="35"/>
      <c r="O91" s="34"/>
      <c r="P91" s="25"/>
      <c r="Q91" s="25"/>
      <c r="R91" s="34"/>
      <c r="S91" s="34"/>
      <c r="T91" s="137"/>
      <c r="U91" s="137"/>
      <c r="V91" s="36"/>
      <c r="W91" s="77"/>
      <c r="X91" s="71" t="str">
        <f>IF(C91="Trả lại đơn vụ","",IF(C91="Trả lại đơn việc","",IF((NETWORKDAYS(F91,G91,'Danh sách ngày nghỉ lễ'!$B$5:$B$25)-1-3)&gt;0,"Quá hạn"&amp;" "&amp;(NETWORKDAYS(F91,G91,'Danh sách ngày nghỉ lễ'!$B$5:$B$25)-1-3)&amp;" "&amp;"ngày","")))</f>
        <v/>
      </c>
      <c r="Y91" s="72" t="str">
        <f>IF(S91=0,"",IF(P91="Chuyển","",IF(P91="Nhập vào vụ khác","",IF(P91="BA",IF((S91-R91)&gt;10,"Quá hạn"&amp;" "&amp;(S91-R91-10)&amp;" "&amp;"ngày",""),IF((NETWORKDAYS(R91,S91,'Danh sách ngày nghỉ lễ'!$B$5:$B$25)-VLOOKUP(P91,'Thời hạn'!$A$17:$B$23,2,0))&gt;1,"Quá hạn"&amp;" "&amp;(NETWORKDAYS(R91,S91,'Danh sách ngày nghỉ lễ'!$B$5:$B$25)-1-VLOOKUP(P91,'Thời hạn'!$A$17:$B$23,2,0))&amp;" "&amp;"ngày","")))))</f>
        <v/>
      </c>
      <c r="Z91" s="23">
        <v>1</v>
      </c>
    </row>
    <row r="92" spans="1:26" x14ac:dyDescent="0.3">
      <c r="A92" s="24">
        <v>1</v>
      </c>
      <c r="B92" s="39"/>
      <c r="C92" s="33"/>
      <c r="D92" s="25"/>
      <c r="E92" s="25"/>
      <c r="F92" s="34"/>
      <c r="G92" s="34"/>
      <c r="H92" s="25"/>
      <c r="I92" s="70" t="str">
        <f>IF(C92="Trả lại đơn vụ","",IF(C92="Trả lại đơn việc","",IF(C92="Hòa giải thành","",IF(F92=0,"",EDATE(F92,VLOOKUP(C92,'Thời hạn'!$A$1:$B$10,2,0))+H92))))</f>
        <v/>
      </c>
      <c r="J92" s="59" t="str">
        <f t="shared" ca="1" si="1"/>
        <v/>
      </c>
      <c r="K92" s="25"/>
      <c r="L92" s="129"/>
      <c r="M92" s="130"/>
      <c r="N92" s="35"/>
      <c r="O92" s="34"/>
      <c r="P92" s="25"/>
      <c r="Q92" s="25"/>
      <c r="R92" s="34"/>
      <c r="S92" s="34"/>
      <c r="T92" s="137"/>
      <c r="U92" s="137"/>
      <c r="V92" s="36"/>
      <c r="W92" s="77"/>
      <c r="X92" s="71" t="str">
        <f>IF(C92="Trả lại đơn vụ","",IF(C92="Trả lại đơn việc","",IF((NETWORKDAYS(F92,G92,'Danh sách ngày nghỉ lễ'!$B$5:$B$25)-1-3)&gt;0,"Quá hạn"&amp;" "&amp;(NETWORKDAYS(F92,G92,'Danh sách ngày nghỉ lễ'!$B$5:$B$25)-1-3)&amp;" "&amp;"ngày","")))</f>
        <v/>
      </c>
      <c r="Y92" s="72" t="str">
        <f>IF(S92=0,"",IF(P92="Chuyển","",IF(P92="Nhập vào vụ khác","",IF(P92="BA",IF((S92-R92)&gt;10,"Quá hạn"&amp;" "&amp;(S92-R92-10)&amp;" "&amp;"ngày",""),IF((NETWORKDAYS(R92,S92,'Danh sách ngày nghỉ lễ'!$B$5:$B$25)-VLOOKUP(P92,'Thời hạn'!$A$17:$B$23,2,0))&gt;1,"Quá hạn"&amp;" "&amp;(NETWORKDAYS(R92,S92,'Danh sách ngày nghỉ lễ'!$B$5:$B$25)-1-VLOOKUP(P92,'Thời hạn'!$A$17:$B$23,2,0))&amp;" "&amp;"ngày","")))))</f>
        <v/>
      </c>
      <c r="Z92" s="23">
        <v>1</v>
      </c>
    </row>
    <row r="93" spans="1:26" x14ac:dyDescent="0.3">
      <c r="A93" s="24">
        <v>1</v>
      </c>
      <c r="B93" s="39"/>
      <c r="C93" s="33"/>
      <c r="D93" s="25"/>
      <c r="E93" s="25"/>
      <c r="F93" s="34"/>
      <c r="G93" s="34"/>
      <c r="H93" s="25"/>
      <c r="I93" s="70" t="str">
        <f>IF(C93="Trả lại đơn vụ","",IF(C93="Trả lại đơn việc","",IF(C93="Hòa giải thành","",IF(F93=0,"",EDATE(F93,VLOOKUP(C93,'Thời hạn'!$A$1:$B$10,2,0))+H93))))</f>
        <v/>
      </c>
      <c r="J93" s="59" t="str">
        <f t="shared" ca="1" si="1"/>
        <v/>
      </c>
      <c r="K93" s="25"/>
      <c r="L93" s="129"/>
      <c r="M93" s="130"/>
      <c r="N93" s="35"/>
      <c r="O93" s="34"/>
      <c r="P93" s="25"/>
      <c r="Q93" s="25"/>
      <c r="R93" s="34"/>
      <c r="S93" s="34"/>
      <c r="T93" s="137"/>
      <c r="U93" s="137"/>
      <c r="V93" s="36"/>
      <c r="W93" s="77"/>
      <c r="X93" s="71" t="str">
        <f>IF(C93="Trả lại đơn vụ","",IF(C93="Trả lại đơn việc","",IF((NETWORKDAYS(F93,G93,'Danh sách ngày nghỉ lễ'!$B$5:$B$25)-1-3)&gt;0,"Quá hạn"&amp;" "&amp;(NETWORKDAYS(F93,G93,'Danh sách ngày nghỉ lễ'!$B$5:$B$25)-1-3)&amp;" "&amp;"ngày","")))</f>
        <v/>
      </c>
      <c r="Y93" s="72" t="str">
        <f>IF(S93=0,"",IF(P93="Chuyển","",IF(P93="Nhập vào vụ khác","",IF(P93="BA",IF((S93-R93)&gt;10,"Quá hạn"&amp;" "&amp;(S93-R93-10)&amp;" "&amp;"ngày",""),IF((NETWORKDAYS(R93,S93,'Danh sách ngày nghỉ lễ'!$B$5:$B$25)-VLOOKUP(P93,'Thời hạn'!$A$17:$B$23,2,0))&gt;1,"Quá hạn"&amp;" "&amp;(NETWORKDAYS(R93,S93,'Danh sách ngày nghỉ lễ'!$B$5:$B$25)-1-VLOOKUP(P93,'Thời hạn'!$A$17:$B$23,2,0))&amp;" "&amp;"ngày","")))))</f>
        <v/>
      </c>
      <c r="Z93" s="23">
        <v>1</v>
      </c>
    </row>
    <row r="94" spans="1:26" x14ac:dyDescent="0.3">
      <c r="A94" s="24">
        <v>1</v>
      </c>
      <c r="B94" s="39"/>
      <c r="C94" s="33"/>
      <c r="D94" s="25"/>
      <c r="E94" s="25"/>
      <c r="F94" s="34"/>
      <c r="G94" s="34"/>
      <c r="H94" s="25"/>
      <c r="I94" s="70" t="str">
        <f>IF(C94="Trả lại đơn vụ","",IF(C94="Trả lại đơn việc","",IF(C94="Hòa giải thành","",IF(F94=0,"",EDATE(F94,VLOOKUP(C94,'Thời hạn'!$A$1:$B$10,2,0))+H94))))</f>
        <v/>
      </c>
      <c r="J94" s="59" t="str">
        <f t="shared" ca="1" si="1"/>
        <v/>
      </c>
      <c r="K94" s="25"/>
      <c r="L94" s="129"/>
      <c r="M94" s="130"/>
      <c r="N94" s="35"/>
      <c r="O94" s="34"/>
      <c r="P94" s="25"/>
      <c r="Q94" s="25"/>
      <c r="R94" s="34"/>
      <c r="S94" s="34"/>
      <c r="T94" s="137"/>
      <c r="U94" s="137"/>
      <c r="V94" s="36"/>
      <c r="W94" s="77"/>
      <c r="X94" s="71" t="str">
        <f>IF(C94="Trả lại đơn vụ","",IF(C94="Trả lại đơn việc","",IF((NETWORKDAYS(F94,G94,'Danh sách ngày nghỉ lễ'!$B$5:$B$25)-1-3)&gt;0,"Quá hạn"&amp;" "&amp;(NETWORKDAYS(F94,G94,'Danh sách ngày nghỉ lễ'!$B$5:$B$25)-1-3)&amp;" "&amp;"ngày","")))</f>
        <v/>
      </c>
      <c r="Y94" s="72" t="str">
        <f>IF(S94=0,"",IF(P94="Chuyển","",IF(P94="Nhập vào vụ khác","",IF(P94="BA",IF((S94-R94)&gt;10,"Quá hạn"&amp;" "&amp;(S94-R94-10)&amp;" "&amp;"ngày",""),IF((NETWORKDAYS(R94,S94,'Danh sách ngày nghỉ lễ'!$B$5:$B$25)-VLOOKUP(P94,'Thời hạn'!$A$17:$B$23,2,0))&gt;1,"Quá hạn"&amp;" "&amp;(NETWORKDAYS(R94,S94,'Danh sách ngày nghỉ lễ'!$B$5:$B$25)-1-VLOOKUP(P94,'Thời hạn'!$A$17:$B$23,2,0))&amp;" "&amp;"ngày","")))))</f>
        <v/>
      </c>
      <c r="Z94" s="23">
        <v>1</v>
      </c>
    </row>
    <row r="95" spans="1:26" x14ac:dyDescent="0.3">
      <c r="A95" s="24">
        <v>1</v>
      </c>
      <c r="B95" s="39"/>
      <c r="C95" s="33"/>
      <c r="D95" s="25"/>
      <c r="E95" s="25"/>
      <c r="F95" s="34"/>
      <c r="G95" s="34"/>
      <c r="H95" s="25"/>
      <c r="I95" s="70" t="str">
        <f>IF(C95="Trả lại đơn vụ","",IF(C95="Trả lại đơn việc","",IF(C95="Hòa giải thành","",IF(F95=0,"",EDATE(F95,VLOOKUP(C95,'Thời hạn'!$A$1:$B$10,2,0))+H95))))</f>
        <v/>
      </c>
      <c r="J95" s="59" t="str">
        <f t="shared" ca="1" si="1"/>
        <v/>
      </c>
      <c r="K95" s="25"/>
      <c r="L95" s="129"/>
      <c r="M95" s="130"/>
      <c r="N95" s="35"/>
      <c r="O95" s="34"/>
      <c r="P95" s="25"/>
      <c r="Q95" s="25"/>
      <c r="R95" s="34"/>
      <c r="S95" s="34"/>
      <c r="T95" s="137"/>
      <c r="U95" s="137"/>
      <c r="V95" s="36"/>
      <c r="W95" s="77"/>
      <c r="X95" s="71" t="str">
        <f>IF(C95="Trả lại đơn vụ","",IF(C95="Trả lại đơn việc","",IF((NETWORKDAYS(F95,G95,'Danh sách ngày nghỉ lễ'!$B$5:$B$25)-1-3)&gt;0,"Quá hạn"&amp;" "&amp;(NETWORKDAYS(F95,G95,'Danh sách ngày nghỉ lễ'!$B$5:$B$25)-1-3)&amp;" "&amp;"ngày","")))</f>
        <v/>
      </c>
      <c r="Y95" s="72" t="str">
        <f>IF(S95=0,"",IF(P95="Chuyển","",IF(P95="Nhập vào vụ khác","",IF(P95="BA",IF((S95-R95)&gt;10,"Quá hạn"&amp;" "&amp;(S95-R95-10)&amp;" "&amp;"ngày",""),IF((NETWORKDAYS(R95,S95,'Danh sách ngày nghỉ lễ'!$B$5:$B$25)-VLOOKUP(P95,'Thời hạn'!$A$17:$B$23,2,0))&gt;1,"Quá hạn"&amp;" "&amp;(NETWORKDAYS(R95,S95,'Danh sách ngày nghỉ lễ'!$B$5:$B$25)-1-VLOOKUP(P95,'Thời hạn'!$A$17:$B$23,2,0))&amp;" "&amp;"ngày","")))))</f>
        <v/>
      </c>
      <c r="Z95" s="23">
        <v>1</v>
      </c>
    </row>
    <row r="96" spans="1:26" x14ac:dyDescent="0.3">
      <c r="A96" s="24">
        <v>1</v>
      </c>
      <c r="B96" s="39"/>
      <c r="C96" s="33"/>
      <c r="D96" s="25"/>
      <c r="E96" s="25"/>
      <c r="F96" s="34"/>
      <c r="G96" s="34"/>
      <c r="H96" s="25"/>
      <c r="I96" s="70" t="str">
        <f>IF(C96="Trả lại đơn vụ","",IF(C96="Trả lại đơn việc","",IF(C96="Hòa giải thành","",IF(F96=0,"",EDATE(F96,VLOOKUP(C96,'Thời hạn'!$A$1:$B$10,2,0))+H96))))</f>
        <v/>
      </c>
      <c r="J96" s="59" t="str">
        <f t="shared" ca="1" si="1"/>
        <v/>
      </c>
      <c r="K96" s="25"/>
      <c r="L96" s="129"/>
      <c r="M96" s="130"/>
      <c r="N96" s="35"/>
      <c r="O96" s="34"/>
      <c r="P96" s="25"/>
      <c r="Q96" s="25"/>
      <c r="R96" s="34"/>
      <c r="S96" s="34"/>
      <c r="T96" s="137"/>
      <c r="U96" s="137"/>
      <c r="V96" s="36"/>
      <c r="W96" s="77"/>
      <c r="X96" s="71" t="str">
        <f>IF(C96="Trả lại đơn vụ","",IF(C96="Trả lại đơn việc","",IF((NETWORKDAYS(F96,G96,'Danh sách ngày nghỉ lễ'!$B$5:$B$25)-1-3)&gt;0,"Quá hạn"&amp;" "&amp;(NETWORKDAYS(F96,G96,'Danh sách ngày nghỉ lễ'!$B$5:$B$25)-1-3)&amp;" "&amp;"ngày","")))</f>
        <v/>
      </c>
      <c r="Y96" s="72" t="str">
        <f>IF(S96=0,"",IF(P96="Chuyển","",IF(P96="Nhập vào vụ khác","",IF(P96="BA",IF((S96-R96)&gt;10,"Quá hạn"&amp;" "&amp;(S96-R96-10)&amp;" "&amp;"ngày",""),IF((NETWORKDAYS(R96,S96,'Danh sách ngày nghỉ lễ'!$B$5:$B$25)-VLOOKUP(P96,'Thời hạn'!$A$17:$B$23,2,0))&gt;1,"Quá hạn"&amp;" "&amp;(NETWORKDAYS(R96,S96,'Danh sách ngày nghỉ lễ'!$B$5:$B$25)-1-VLOOKUP(P96,'Thời hạn'!$A$17:$B$23,2,0))&amp;" "&amp;"ngày","")))))</f>
        <v/>
      </c>
      <c r="Z96" s="23">
        <v>1</v>
      </c>
    </row>
    <row r="97" spans="1:26" x14ac:dyDescent="0.3">
      <c r="A97" s="24">
        <v>1</v>
      </c>
      <c r="B97" s="39"/>
      <c r="C97" s="33"/>
      <c r="D97" s="25"/>
      <c r="E97" s="25"/>
      <c r="F97" s="34"/>
      <c r="G97" s="34"/>
      <c r="H97" s="25"/>
      <c r="I97" s="70" t="str">
        <f>IF(C97="Trả lại đơn vụ","",IF(C97="Trả lại đơn việc","",IF(C97="Hòa giải thành","",IF(F97=0,"",EDATE(F97,VLOOKUP(C97,'Thời hạn'!$A$1:$B$10,2,0))+H97))))</f>
        <v/>
      </c>
      <c r="J97" s="59" t="str">
        <f t="shared" ca="1" si="1"/>
        <v/>
      </c>
      <c r="K97" s="25"/>
      <c r="L97" s="129"/>
      <c r="M97" s="130"/>
      <c r="N97" s="35"/>
      <c r="O97" s="34"/>
      <c r="P97" s="25"/>
      <c r="Q97" s="25"/>
      <c r="R97" s="34"/>
      <c r="S97" s="34"/>
      <c r="T97" s="137"/>
      <c r="U97" s="137"/>
      <c r="V97" s="36"/>
      <c r="W97" s="77"/>
      <c r="X97" s="71" t="str">
        <f>IF(C97="Trả lại đơn vụ","",IF(C97="Trả lại đơn việc","",IF((NETWORKDAYS(F97,G97,'Danh sách ngày nghỉ lễ'!$B$5:$B$25)-1-3)&gt;0,"Quá hạn"&amp;" "&amp;(NETWORKDAYS(F97,G97,'Danh sách ngày nghỉ lễ'!$B$5:$B$25)-1-3)&amp;" "&amp;"ngày","")))</f>
        <v/>
      </c>
      <c r="Y97" s="72" t="str">
        <f>IF(S97=0,"",IF(P97="Chuyển","",IF(P97="Nhập vào vụ khác","",IF(P97="BA",IF((S97-R97)&gt;10,"Quá hạn"&amp;" "&amp;(S97-R97-10)&amp;" "&amp;"ngày",""),IF((NETWORKDAYS(R97,S97,'Danh sách ngày nghỉ lễ'!$B$5:$B$25)-VLOOKUP(P97,'Thời hạn'!$A$17:$B$23,2,0))&gt;1,"Quá hạn"&amp;" "&amp;(NETWORKDAYS(R97,S97,'Danh sách ngày nghỉ lễ'!$B$5:$B$25)-1-VLOOKUP(P97,'Thời hạn'!$A$17:$B$23,2,0))&amp;" "&amp;"ngày","")))))</f>
        <v/>
      </c>
      <c r="Z97" s="23">
        <v>1</v>
      </c>
    </row>
    <row r="98" spans="1:26" x14ac:dyDescent="0.3">
      <c r="A98" s="24">
        <v>1</v>
      </c>
      <c r="B98" s="39"/>
      <c r="C98" s="33"/>
      <c r="D98" s="25"/>
      <c r="E98" s="25"/>
      <c r="F98" s="34"/>
      <c r="G98" s="34"/>
      <c r="H98" s="25"/>
      <c r="I98" s="70" t="str">
        <f>IF(C98="Trả lại đơn vụ","",IF(C98="Trả lại đơn việc","",IF(C98="Hòa giải thành","",IF(F98=0,"",EDATE(F98,VLOOKUP(C98,'Thời hạn'!$A$1:$B$10,2,0))+H98))))</f>
        <v/>
      </c>
      <c r="J98" s="59" t="str">
        <f t="shared" ca="1" si="1"/>
        <v/>
      </c>
      <c r="K98" s="25"/>
      <c r="L98" s="129"/>
      <c r="M98" s="130"/>
      <c r="N98" s="35"/>
      <c r="O98" s="34"/>
      <c r="P98" s="25"/>
      <c r="Q98" s="25"/>
      <c r="R98" s="34"/>
      <c r="S98" s="34"/>
      <c r="T98" s="137"/>
      <c r="U98" s="137"/>
      <c r="V98" s="36"/>
      <c r="W98" s="77"/>
      <c r="X98" s="71" t="str">
        <f>IF(C98="Trả lại đơn vụ","",IF(C98="Trả lại đơn việc","",IF((NETWORKDAYS(F98,G98,'Danh sách ngày nghỉ lễ'!$B$5:$B$25)-1-3)&gt;0,"Quá hạn"&amp;" "&amp;(NETWORKDAYS(F98,G98,'Danh sách ngày nghỉ lễ'!$B$5:$B$25)-1-3)&amp;" "&amp;"ngày","")))</f>
        <v/>
      </c>
      <c r="Y98" s="72" t="str">
        <f>IF(S98=0,"",IF(P98="Chuyển","",IF(P98="Nhập vào vụ khác","",IF(P98="BA",IF((S98-R98)&gt;10,"Quá hạn"&amp;" "&amp;(S98-R98-10)&amp;" "&amp;"ngày",""),IF((NETWORKDAYS(R98,S98,'Danh sách ngày nghỉ lễ'!$B$5:$B$25)-VLOOKUP(P98,'Thời hạn'!$A$17:$B$23,2,0))&gt;1,"Quá hạn"&amp;" "&amp;(NETWORKDAYS(R98,S98,'Danh sách ngày nghỉ lễ'!$B$5:$B$25)-1-VLOOKUP(P98,'Thời hạn'!$A$17:$B$23,2,0))&amp;" "&amp;"ngày","")))))</f>
        <v/>
      </c>
      <c r="Z98" s="23">
        <v>1</v>
      </c>
    </row>
    <row r="99" spans="1:26" x14ac:dyDescent="0.3">
      <c r="A99" s="24">
        <v>1</v>
      </c>
      <c r="B99" s="39"/>
      <c r="C99" s="33"/>
      <c r="D99" s="25"/>
      <c r="E99" s="25"/>
      <c r="F99" s="34"/>
      <c r="G99" s="34"/>
      <c r="H99" s="25"/>
      <c r="I99" s="70" t="str">
        <f>IF(C99="Trả lại đơn vụ","",IF(C99="Trả lại đơn việc","",IF(C99="Hòa giải thành","",IF(F99=0,"",EDATE(F99,VLOOKUP(C99,'Thời hạn'!$A$1:$B$10,2,0))+H99))))</f>
        <v/>
      </c>
      <c r="J99" s="59" t="str">
        <f t="shared" ca="1" si="1"/>
        <v/>
      </c>
      <c r="K99" s="25"/>
      <c r="L99" s="129"/>
      <c r="M99" s="130"/>
      <c r="N99" s="35"/>
      <c r="O99" s="34"/>
      <c r="P99" s="25"/>
      <c r="Q99" s="25"/>
      <c r="R99" s="34"/>
      <c r="S99" s="34"/>
      <c r="T99" s="137"/>
      <c r="U99" s="137"/>
      <c r="V99" s="36"/>
      <c r="W99" s="77"/>
      <c r="X99" s="71" t="str">
        <f>IF(C99="Trả lại đơn vụ","",IF(C99="Trả lại đơn việc","",IF((NETWORKDAYS(F99,G99,'Danh sách ngày nghỉ lễ'!$B$5:$B$25)-1-3)&gt;0,"Quá hạn"&amp;" "&amp;(NETWORKDAYS(F99,G99,'Danh sách ngày nghỉ lễ'!$B$5:$B$25)-1-3)&amp;" "&amp;"ngày","")))</f>
        <v/>
      </c>
      <c r="Y99" s="72" t="str">
        <f>IF(S99=0,"",IF(P99="Chuyển","",IF(P99="Nhập vào vụ khác","",IF(P99="BA",IF((S99-R99)&gt;10,"Quá hạn"&amp;" "&amp;(S99-R99-10)&amp;" "&amp;"ngày",""),IF((NETWORKDAYS(R99,S99,'Danh sách ngày nghỉ lễ'!$B$5:$B$25)-VLOOKUP(P99,'Thời hạn'!$A$17:$B$23,2,0))&gt;1,"Quá hạn"&amp;" "&amp;(NETWORKDAYS(R99,S99,'Danh sách ngày nghỉ lễ'!$B$5:$B$25)-1-VLOOKUP(P99,'Thời hạn'!$A$17:$B$23,2,0))&amp;" "&amp;"ngày","")))))</f>
        <v/>
      </c>
      <c r="Z99" s="23">
        <v>1</v>
      </c>
    </row>
    <row r="100" spans="1:26" x14ac:dyDescent="0.3">
      <c r="A100" s="24">
        <v>1</v>
      </c>
      <c r="B100" s="39"/>
      <c r="C100" s="33"/>
      <c r="D100" s="25"/>
      <c r="E100" s="25"/>
      <c r="F100" s="34"/>
      <c r="G100" s="34"/>
      <c r="H100" s="25"/>
      <c r="I100" s="70" t="str">
        <f>IF(C100="Trả lại đơn vụ","",IF(C100="Trả lại đơn việc","",IF(C100="Hòa giải thành","",IF(F100=0,"",EDATE(F100,VLOOKUP(C100,'Thời hạn'!$A$1:$B$10,2,0))+H100))))</f>
        <v/>
      </c>
      <c r="J100" s="59" t="str">
        <f t="shared" ca="1" si="1"/>
        <v/>
      </c>
      <c r="K100" s="25"/>
      <c r="L100" s="129"/>
      <c r="M100" s="130"/>
      <c r="N100" s="35"/>
      <c r="O100" s="34"/>
      <c r="P100" s="25"/>
      <c r="Q100" s="25"/>
      <c r="R100" s="34"/>
      <c r="S100" s="34"/>
      <c r="T100" s="137"/>
      <c r="U100" s="137"/>
      <c r="V100" s="36"/>
      <c r="W100" s="77"/>
      <c r="X100" s="71" t="str">
        <f>IF(C100="Trả lại đơn vụ","",IF(C100="Trả lại đơn việc","",IF((NETWORKDAYS(F100,G100,'Danh sách ngày nghỉ lễ'!$B$5:$B$25)-1-3)&gt;0,"Quá hạn"&amp;" "&amp;(NETWORKDAYS(F100,G100,'Danh sách ngày nghỉ lễ'!$B$5:$B$25)-1-3)&amp;" "&amp;"ngày","")))</f>
        <v/>
      </c>
      <c r="Y100" s="72" t="str">
        <f>IF(S100=0,"",IF(P100="Chuyển","",IF(P100="Nhập vào vụ khác","",IF(P100="BA",IF((S100-R100)&gt;10,"Quá hạn"&amp;" "&amp;(S100-R100-10)&amp;" "&amp;"ngày",""),IF((NETWORKDAYS(R100,S100,'Danh sách ngày nghỉ lễ'!$B$5:$B$25)-VLOOKUP(P100,'Thời hạn'!$A$17:$B$23,2,0))&gt;1,"Quá hạn"&amp;" "&amp;(NETWORKDAYS(R100,S100,'Danh sách ngày nghỉ lễ'!$B$5:$B$25)-1-VLOOKUP(P100,'Thời hạn'!$A$17:$B$23,2,0))&amp;" "&amp;"ngày","")))))</f>
        <v/>
      </c>
      <c r="Z100" s="23">
        <v>1</v>
      </c>
    </row>
    <row r="101" spans="1:26" x14ac:dyDescent="0.3">
      <c r="A101" s="24">
        <v>1</v>
      </c>
      <c r="B101" s="39"/>
      <c r="C101" s="33"/>
      <c r="D101" s="25"/>
      <c r="E101" s="25"/>
      <c r="F101" s="34"/>
      <c r="G101" s="34"/>
      <c r="H101" s="25"/>
      <c r="I101" s="70" t="str">
        <f>IF(C101="Trả lại đơn vụ","",IF(C101="Trả lại đơn việc","",IF(C101="Hòa giải thành","",IF(F101=0,"",EDATE(F101,VLOOKUP(C101,'Thời hạn'!$A$1:$B$10,2,0))+H101))))</f>
        <v/>
      </c>
      <c r="J101" s="59" t="str">
        <f t="shared" ca="1" si="1"/>
        <v/>
      </c>
      <c r="K101" s="25"/>
      <c r="L101" s="129"/>
      <c r="M101" s="130"/>
      <c r="N101" s="35"/>
      <c r="O101" s="34"/>
      <c r="P101" s="25"/>
      <c r="Q101" s="25"/>
      <c r="R101" s="34"/>
      <c r="S101" s="34"/>
      <c r="T101" s="137"/>
      <c r="U101" s="137"/>
      <c r="V101" s="36"/>
      <c r="W101" s="77"/>
      <c r="X101" s="71" t="str">
        <f>IF(C101="Trả lại đơn vụ","",IF(C101="Trả lại đơn việc","",IF((NETWORKDAYS(F101,G101,'Danh sách ngày nghỉ lễ'!$B$5:$B$25)-1-3)&gt;0,"Quá hạn"&amp;" "&amp;(NETWORKDAYS(F101,G101,'Danh sách ngày nghỉ lễ'!$B$5:$B$25)-1-3)&amp;" "&amp;"ngày","")))</f>
        <v/>
      </c>
      <c r="Y101" s="72" t="str">
        <f>IF(S101=0,"",IF(P101="Chuyển","",IF(P101="Nhập vào vụ khác","",IF(P101="BA",IF((S101-R101)&gt;10,"Quá hạn"&amp;" "&amp;(S101-R101-10)&amp;" "&amp;"ngày",""),IF((NETWORKDAYS(R101,S101,'Danh sách ngày nghỉ lễ'!$B$5:$B$25)-VLOOKUP(P101,'Thời hạn'!$A$17:$B$23,2,0))&gt;1,"Quá hạn"&amp;" "&amp;(NETWORKDAYS(R101,S101,'Danh sách ngày nghỉ lễ'!$B$5:$B$25)-1-VLOOKUP(P101,'Thời hạn'!$A$17:$B$23,2,0))&amp;" "&amp;"ngày","")))))</f>
        <v/>
      </c>
      <c r="Z101" s="23">
        <v>1</v>
      </c>
    </row>
    <row r="102" spans="1:26" x14ac:dyDescent="0.3">
      <c r="A102" s="24">
        <v>1</v>
      </c>
      <c r="B102" s="39"/>
      <c r="C102" s="33"/>
      <c r="D102" s="25"/>
      <c r="E102" s="25"/>
      <c r="F102" s="34"/>
      <c r="G102" s="34"/>
      <c r="H102" s="25"/>
      <c r="I102" s="70" t="str">
        <f>IF(C102="Trả lại đơn vụ","",IF(C102="Trả lại đơn việc","",IF(C102="Hòa giải thành","",IF(F102=0,"",EDATE(F102,VLOOKUP(C102,'Thời hạn'!$A$1:$B$10,2,0))+H102))))</f>
        <v/>
      </c>
      <c r="J102" s="59" t="str">
        <f t="shared" ca="1" si="1"/>
        <v/>
      </c>
      <c r="K102" s="25"/>
      <c r="L102" s="129"/>
      <c r="M102" s="130"/>
      <c r="N102" s="35"/>
      <c r="O102" s="34"/>
      <c r="P102" s="25"/>
      <c r="Q102" s="25"/>
      <c r="R102" s="34"/>
      <c r="S102" s="34"/>
      <c r="T102" s="137"/>
      <c r="U102" s="137"/>
      <c r="V102" s="36"/>
      <c r="W102" s="77"/>
      <c r="X102" s="71" t="str">
        <f>IF(C102="Trả lại đơn vụ","",IF(C102="Trả lại đơn việc","",IF((NETWORKDAYS(F102,G102,'Danh sách ngày nghỉ lễ'!$B$5:$B$25)-1-3)&gt;0,"Quá hạn"&amp;" "&amp;(NETWORKDAYS(F102,G102,'Danh sách ngày nghỉ lễ'!$B$5:$B$25)-1-3)&amp;" "&amp;"ngày","")))</f>
        <v/>
      </c>
      <c r="Y102" s="72" t="str">
        <f>IF(S102=0,"",IF(P102="Chuyển","",IF(P102="Nhập vào vụ khác","",IF(P102="BA",IF((S102-R102)&gt;10,"Quá hạn"&amp;" "&amp;(S102-R102-10)&amp;" "&amp;"ngày",""),IF((NETWORKDAYS(R102,S102,'Danh sách ngày nghỉ lễ'!$B$5:$B$25)-VLOOKUP(P102,'Thời hạn'!$A$17:$B$23,2,0))&gt;1,"Quá hạn"&amp;" "&amp;(NETWORKDAYS(R102,S102,'Danh sách ngày nghỉ lễ'!$B$5:$B$25)-1-VLOOKUP(P102,'Thời hạn'!$A$17:$B$23,2,0))&amp;" "&amp;"ngày","")))))</f>
        <v/>
      </c>
      <c r="Z102" s="23">
        <v>1</v>
      </c>
    </row>
    <row r="103" spans="1:26" x14ac:dyDescent="0.3">
      <c r="A103" s="24">
        <v>1</v>
      </c>
      <c r="B103" s="39"/>
      <c r="C103" s="33"/>
      <c r="D103" s="25"/>
      <c r="E103" s="25"/>
      <c r="F103" s="34"/>
      <c r="G103" s="34"/>
      <c r="H103" s="25"/>
      <c r="I103" s="70" t="str">
        <f>IF(C103="Trả lại đơn vụ","",IF(C103="Trả lại đơn việc","",IF(C103="Hòa giải thành","",IF(F103=0,"",EDATE(F103,VLOOKUP(C103,'Thời hạn'!$A$1:$B$10,2,0))+H103))))</f>
        <v/>
      </c>
      <c r="J103" s="59" t="str">
        <f t="shared" ca="1" si="1"/>
        <v/>
      </c>
      <c r="K103" s="25"/>
      <c r="L103" s="129"/>
      <c r="M103" s="130"/>
      <c r="N103" s="35"/>
      <c r="O103" s="34"/>
      <c r="P103" s="25"/>
      <c r="Q103" s="25"/>
      <c r="R103" s="34"/>
      <c r="S103" s="34"/>
      <c r="T103" s="137"/>
      <c r="U103" s="137"/>
      <c r="V103" s="36"/>
      <c r="W103" s="77"/>
      <c r="X103" s="71" t="str">
        <f>IF(C103="Trả lại đơn vụ","",IF(C103="Trả lại đơn việc","",IF((NETWORKDAYS(F103,G103,'Danh sách ngày nghỉ lễ'!$B$5:$B$25)-1-3)&gt;0,"Quá hạn"&amp;" "&amp;(NETWORKDAYS(F103,G103,'Danh sách ngày nghỉ lễ'!$B$5:$B$25)-1-3)&amp;" "&amp;"ngày","")))</f>
        <v/>
      </c>
      <c r="Y103" s="72" t="str">
        <f>IF(S103=0,"",IF(P103="Chuyển","",IF(P103="Nhập vào vụ khác","",IF(P103="BA",IF((S103-R103)&gt;10,"Quá hạn"&amp;" "&amp;(S103-R103-10)&amp;" "&amp;"ngày",""),IF((NETWORKDAYS(R103,S103,'Danh sách ngày nghỉ lễ'!$B$5:$B$25)-VLOOKUP(P103,'Thời hạn'!$A$17:$B$23,2,0))&gt;1,"Quá hạn"&amp;" "&amp;(NETWORKDAYS(R103,S103,'Danh sách ngày nghỉ lễ'!$B$5:$B$25)-1-VLOOKUP(P103,'Thời hạn'!$A$17:$B$23,2,0))&amp;" "&amp;"ngày","")))))</f>
        <v/>
      </c>
      <c r="Z103" s="23">
        <v>1</v>
      </c>
    </row>
    <row r="104" spans="1:26" x14ac:dyDescent="0.3">
      <c r="A104" s="24">
        <v>1</v>
      </c>
      <c r="B104" s="39"/>
      <c r="C104" s="33"/>
      <c r="D104" s="25"/>
      <c r="E104" s="25"/>
      <c r="F104" s="34"/>
      <c r="G104" s="34"/>
      <c r="H104" s="25"/>
      <c r="I104" s="70" t="str">
        <f>IF(C104="Trả lại đơn vụ","",IF(C104="Trả lại đơn việc","",IF(C104="Hòa giải thành","",IF(F104=0,"",EDATE(F104,VLOOKUP(C104,'Thời hạn'!$A$1:$B$10,2,0))+H104))))</f>
        <v/>
      </c>
      <c r="J104" s="59" t="str">
        <f t="shared" ca="1" si="1"/>
        <v/>
      </c>
      <c r="K104" s="25"/>
      <c r="L104" s="129"/>
      <c r="M104" s="130"/>
      <c r="N104" s="35"/>
      <c r="O104" s="34"/>
      <c r="P104" s="25"/>
      <c r="Q104" s="25"/>
      <c r="R104" s="34"/>
      <c r="S104" s="34"/>
      <c r="T104" s="137"/>
      <c r="U104" s="137"/>
      <c r="V104" s="36"/>
      <c r="W104" s="77"/>
      <c r="X104" s="71" t="str">
        <f>IF(C104="Trả lại đơn vụ","",IF(C104="Trả lại đơn việc","",IF((NETWORKDAYS(F104,G104,'Danh sách ngày nghỉ lễ'!$B$5:$B$25)-1-3)&gt;0,"Quá hạn"&amp;" "&amp;(NETWORKDAYS(F104,G104,'Danh sách ngày nghỉ lễ'!$B$5:$B$25)-1-3)&amp;" "&amp;"ngày","")))</f>
        <v/>
      </c>
      <c r="Y104" s="72" t="str">
        <f>IF(S104=0,"",IF(P104="Chuyển","",IF(P104="Nhập vào vụ khác","",IF(P104="BA",IF((S104-R104)&gt;10,"Quá hạn"&amp;" "&amp;(S104-R104-10)&amp;" "&amp;"ngày",""),IF((NETWORKDAYS(R104,S104,'Danh sách ngày nghỉ lễ'!$B$5:$B$25)-VLOOKUP(P104,'Thời hạn'!$A$17:$B$23,2,0))&gt;1,"Quá hạn"&amp;" "&amp;(NETWORKDAYS(R104,S104,'Danh sách ngày nghỉ lễ'!$B$5:$B$25)-1-VLOOKUP(P104,'Thời hạn'!$A$17:$B$23,2,0))&amp;" "&amp;"ngày","")))))</f>
        <v/>
      </c>
      <c r="Z104" s="23">
        <v>1</v>
      </c>
    </row>
    <row r="105" spans="1:26" x14ac:dyDescent="0.3">
      <c r="A105" s="24">
        <v>1</v>
      </c>
      <c r="B105" s="39"/>
      <c r="C105" s="33"/>
      <c r="D105" s="25"/>
      <c r="E105" s="25"/>
      <c r="F105" s="34"/>
      <c r="G105" s="34"/>
      <c r="H105" s="25"/>
      <c r="I105" s="70" t="str">
        <f>IF(C105="Trả lại đơn vụ","",IF(C105="Trả lại đơn việc","",IF(C105="Hòa giải thành","",IF(F105=0,"",EDATE(F105,VLOOKUP(C105,'Thời hạn'!$A$1:$B$10,2,0))+H105))))</f>
        <v/>
      </c>
      <c r="J105" s="59" t="str">
        <f t="shared" ca="1" si="1"/>
        <v/>
      </c>
      <c r="K105" s="25"/>
      <c r="L105" s="129"/>
      <c r="M105" s="130"/>
      <c r="N105" s="35"/>
      <c r="O105" s="34"/>
      <c r="P105" s="25"/>
      <c r="Q105" s="25"/>
      <c r="R105" s="34"/>
      <c r="S105" s="34"/>
      <c r="T105" s="137"/>
      <c r="U105" s="137"/>
      <c r="V105" s="36"/>
      <c r="W105" s="77"/>
      <c r="X105" s="71" t="str">
        <f>IF(C105="Trả lại đơn vụ","",IF(C105="Trả lại đơn việc","",IF((NETWORKDAYS(F105,G105,'Danh sách ngày nghỉ lễ'!$B$5:$B$25)-1-3)&gt;0,"Quá hạn"&amp;" "&amp;(NETWORKDAYS(F105,G105,'Danh sách ngày nghỉ lễ'!$B$5:$B$25)-1-3)&amp;" "&amp;"ngày","")))</f>
        <v/>
      </c>
      <c r="Y105" s="72" t="str">
        <f>IF(S105=0,"",IF(P105="Chuyển","",IF(P105="Nhập vào vụ khác","",IF(P105="BA",IF((S105-R105)&gt;10,"Quá hạn"&amp;" "&amp;(S105-R105-10)&amp;" "&amp;"ngày",""),IF((NETWORKDAYS(R105,S105,'Danh sách ngày nghỉ lễ'!$B$5:$B$25)-VLOOKUP(P105,'Thời hạn'!$A$17:$B$23,2,0))&gt;1,"Quá hạn"&amp;" "&amp;(NETWORKDAYS(R105,S105,'Danh sách ngày nghỉ lễ'!$B$5:$B$25)-1-VLOOKUP(P105,'Thời hạn'!$A$17:$B$23,2,0))&amp;" "&amp;"ngày","")))))</f>
        <v/>
      </c>
      <c r="Z105" s="23">
        <v>1</v>
      </c>
    </row>
    <row r="106" spans="1:26" x14ac:dyDescent="0.3">
      <c r="A106" s="24">
        <v>1</v>
      </c>
      <c r="B106" s="39"/>
      <c r="C106" s="33"/>
      <c r="D106" s="25"/>
      <c r="E106" s="25"/>
      <c r="F106" s="34"/>
      <c r="G106" s="34"/>
      <c r="H106" s="25"/>
      <c r="I106" s="70" t="str">
        <f>IF(C106="Trả lại đơn vụ","",IF(C106="Trả lại đơn việc","",IF(C106="Hòa giải thành","",IF(F106=0,"",EDATE(F106,VLOOKUP(C106,'Thời hạn'!$A$1:$B$10,2,0))+H106))))</f>
        <v/>
      </c>
      <c r="J106" s="59" t="str">
        <f t="shared" ca="1" si="1"/>
        <v/>
      </c>
      <c r="K106" s="25"/>
      <c r="L106" s="129"/>
      <c r="M106" s="130"/>
      <c r="N106" s="35"/>
      <c r="O106" s="34"/>
      <c r="P106" s="25"/>
      <c r="Q106" s="25"/>
      <c r="R106" s="34"/>
      <c r="S106" s="34"/>
      <c r="T106" s="137"/>
      <c r="U106" s="137"/>
      <c r="V106" s="36"/>
      <c r="W106" s="77"/>
      <c r="X106" s="71" t="str">
        <f>IF(C106="Trả lại đơn vụ","",IF(C106="Trả lại đơn việc","",IF((NETWORKDAYS(F106,G106,'Danh sách ngày nghỉ lễ'!$B$5:$B$25)-1-3)&gt;0,"Quá hạn"&amp;" "&amp;(NETWORKDAYS(F106,G106,'Danh sách ngày nghỉ lễ'!$B$5:$B$25)-1-3)&amp;" "&amp;"ngày","")))</f>
        <v/>
      </c>
      <c r="Y106" s="72" t="str">
        <f>IF(S106=0,"",IF(P106="Chuyển","",IF(P106="Nhập vào vụ khác","",IF(P106="BA",IF((S106-R106)&gt;10,"Quá hạn"&amp;" "&amp;(S106-R106-10)&amp;" "&amp;"ngày",""),IF((NETWORKDAYS(R106,S106,'Danh sách ngày nghỉ lễ'!$B$5:$B$25)-VLOOKUP(P106,'Thời hạn'!$A$17:$B$23,2,0))&gt;1,"Quá hạn"&amp;" "&amp;(NETWORKDAYS(R106,S106,'Danh sách ngày nghỉ lễ'!$B$5:$B$25)-1-VLOOKUP(P106,'Thời hạn'!$A$17:$B$23,2,0))&amp;" "&amp;"ngày","")))))</f>
        <v/>
      </c>
      <c r="Z106" s="23">
        <v>1</v>
      </c>
    </row>
    <row r="107" spans="1:26" x14ac:dyDescent="0.3">
      <c r="A107" s="24">
        <v>1</v>
      </c>
      <c r="B107" s="39"/>
      <c r="C107" s="33"/>
      <c r="D107" s="25"/>
      <c r="E107" s="25"/>
      <c r="F107" s="34"/>
      <c r="G107" s="34"/>
      <c r="H107" s="25"/>
      <c r="I107" s="70" t="str">
        <f>IF(C107="Trả lại đơn vụ","",IF(C107="Trả lại đơn việc","",IF(C107="Hòa giải thành","",IF(F107=0,"",EDATE(F107,VLOOKUP(C107,'Thời hạn'!$A$1:$B$10,2,0))+H107))))</f>
        <v/>
      </c>
      <c r="J107" s="59" t="str">
        <f t="shared" ca="1" si="1"/>
        <v/>
      </c>
      <c r="K107" s="25"/>
      <c r="L107" s="129"/>
      <c r="M107" s="130"/>
      <c r="N107" s="35"/>
      <c r="O107" s="34"/>
      <c r="P107" s="25"/>
      <c r="Q107" s="25"/>
      <c r="R107" s="34"/>
      <c r="S107" s="34"/>
      <c r="T107" s="137"/>
      <c r="U107" s="137"/>
      <c r="V107" s="36"/>
      <c r="W107" s="77"/>
      <c r="X107" s="71" t="str">
        <f>IF(C107="Trả lại đơn vụ","",IF(C107="Trả lại đơn việc","",IF((NETWORKDAYS(F107,G107,'Danh sách ngày nghỉ lễ'!$B$5:$B$25)-1-3)&gt;0,"Quá hạn"&amp;" "&amp;(NETWORKDAYS(F107,G107,'Danh sách ngày nghỉ lễ'!$B$5:$B$25)-1-3)&amp;" "&amp;"ngày","")))</f>
        <v/>
      </c>
      <c r="Y107" s="72" t="str">
        <f>IF(S107=0,"",IF(P107="Chuyển","",IF(P107="Nhập vào vụ khác","",IF(P107="BA",IF((S107-R107)&gt;10,"Quá hạn"&amp;" "&amp;(S107-R107-10)&amp;" "&amp;"ngày",""),IF((NETWORKDAYS(R107,S107,'Danh sách ngày nghỉ lễ'!$B$5:$B$25)-VLOOKUP(P107,'Thời hạn'!$A$17:$B$23,2,0))&gt;1,"Quá hạn"&amp;" "&amp;(NETWORKDAYS(R107,S107,'Danh sách ngày nghỉ lễ'!$B$5:$B$25)-1-VLOOKUP(P107,'Thời hạn'!$A$17:$B$23,2,0))&amp;" "&amp;"ngày","")))))</f>
        <v/>
      </c>
      <c r="Z107" s="23">
        <v>1</v>
      </c>
    </row>
    <row r="108" spans="1:26" x14ac:dyDescent="0.3">
      <c r="A108" s="24">
        <v>1</v>
      </c>
      <c r="B108" s="39"/>
      <c r="C108" s="33"/>
      <c r="D108" s="25"/>
      <c r="E108" s="25"/>
      <c r="F108" s="34"/>
      <c r="G108" s="34"/>
      <c r="H108" s="25"/>
      <c r="I108" s="70" t="str">
        <f>IF(C108="Trả lại đơn vụ","",IF(C108="Trả lại đơn việc","",IF(C108="Hòa giải thành","",IF(F108=0,"",EDATE(F108,VLOOKUP(C108,'Thời hạn'!$A$1:$B$10,2,0))+H108))))</f>
        <v/>
      </c>
      <c r="J108" s="59" t="str">
        <f t="shared" ca="1" si="1"/>
        <v/>
      </c>
      <c r="K108" s="25"/>
      <c r="L108" s="129"/>
      <c r="M108" s="130"/>
      <c r="N108" s="35"/>
      <c r="O108" s="34"/>
      <c r="P108" s="25"/>
      <c r="Q108" s="25"/>
      <c r="R108" s="34"/>
      <c r="S108" s="34"/>
      <c r="T108" s="137"/>
      <c r="U108" s="137"/>
      <c r="V108" s="36"/>
      <c r="W108" s="77"/>
      <c r="X108" s="71" t="str">
        <f>IF(C108="Trả lại đơn vụ","",IF(C108="Trả lại đơn việc","",IF((NETWORKDAYS(F108,G108,'Danh sách ngày nghỉ lễ'!$B$5:$B$25)-1-3)&gt;0,"Quá hạn"&amp;" "&amp;(NETWORKDAYS(F108,G108,'Danh sách ngày nghỉ lễ'!$B$5:$B$25)-1-3)&amp;" "&amp;"ngày","")))</f>
        <v/>
      </c>
      <c r="Y108" s="72" t="str">
        <f>IF(S108=0,"",IF(P108="Chuyển","",IF(P108="Nhập vào vụ khác","",IF(P108="BA",IF((S108-R108)&gt;10,"Quá hạn"&amp;" "&amp;(S108-R108-10)&amp;" "&amp;"ngày",""),IF((NETWORKDAYS(R108,S108,'Danh sách ngày nghỉ lễ'!$B$5:$B$25)-VLOOKUP(P108,'Thời hạn'!$A$17:$B$23,2,0))&gt;1,"Quá hạn"&amp;" "&amp;(NETWORKDAYS(R108,S108,'Danh sách ngày nghỉ lễ'!$B$5:$B$25)-1-VLOOKUP(P108,'Thời hạn'!$A$17:$B$23,2,0))&amp;" "&amp;"ngày","")))))</f>
        <v/>
      </c>
      <c r="Z108" s="23">
        <v>1</v>
      </c>
    </row>
    <row r="109" spans="1:26" x14ac:dyDescent="0.3">
      <c r="A109" s="24">
        <v>1</v>
      </c>
      <c r="B109" s="39"/>
      <c r="C109" s="33"/>
      <c r="D109" s="25"/>
      <c r="E109" s="25"/>
      <c r="F109" s="34"/>
      <c r="G109" s="34"/>
      <c r="H109" s="25"/>
      <c r="I109" s="70" t="str">
        <f>IF(C109="Trả lại đơn vụ","",IF(C109="Trả lại đơn việc","",IF(C109="Hòa giải thành","",IF(F109=0,"",EDATE(F109,VLOOKUP(C109,'Thời hạn'!$A$1:$B$10,2,0))+H109))))</f>
        <v/>
      </c>
      <c r="J109" s="59" t="str">
        <f t="shared" ca="1" si="1"/>
        <v/>
      </c>
      <c r="K109" s="25"/>
      <c r="L109" s="129"/>
      <c r="M109" s="130"/>
      <c r="N109" s="35"/>
      <c r="O109" s="34"/>
      <c r="P109" s="25"/>
      <c r="Q109" s="25"/>
      <c r="R109" s="34"/>
      <c r="S109" s="34"/>
      <c r="T109" s="137"/>
      <c r="U109" s="137"/>
      <c r="V109" s="36"/>
      <c r="W109" s="77"/>
      <c r="X109" s="71" t="str">
        <f>IF(C109="Trả lại đơn vụ","",IF(C109="Trả lại đơn việc","",IF((NETWORKDAYS(F109,G109,'Danh sách ngày nghỉ lễ'!$B$5:$B$25)-1-3)&gt;0,"Quá hạn"&amp;" "&amp;(NETWORKDAYS(F109,G109,'Danh sách ngày nghỉ lễ'!$B$5:$B$25)-1-3)&amp;" "&amp;"ngày","")))</f>
        <v/>
      </c>
      <c r="Y109" s="72" t="str">
        <f>IF(S109=0,"",IF(P109="Chuyển","",IF(P109="Nhập vào vụ khác","",IF(P109="BA",IF((S109-R109)&gt;10,"Quá hạn"&amp;" "&amp;(S109-R109-10)&amp;" "&amp;"ngày",""),IF((NETWORKDAYS(R109,S109,'Danh sách ngày nghỉ lễ'!$B$5:$B$25)-VLOOKUP(P109,'Thời hạn'!$A$17:$B$23,2,0))&gt;1,"Quá hạn"&amp;" "&amp;(NETWORKDAYS(R109,S109,'Danh sách ngày nghỉ lễ'!$B$5:$B$25)-1-VLOOKUP(P109,'Thời hạn'!$A$17:$B$23,2,0))&amp;" "&amp;"ngày","")))))</f>
        <v/>
      </c>
      <c r="Z109" s="23">
        <v>1</v>
      </c>
    </row>
    <row r="110" spans="1:26" x14ac:dyDescent="0.3">
      <c r="A110" s="24">
        <v>1</v>
      </c>
      <c r="B110" s="39"/>
      <c r="C110" s="33"/>
      <c r="D110" s="25"/>
      <c r="E110" s="25"/>
      <c r="F110" s="34"/>
      <c r="G110" s="34"/>
      <c r="H110" s="25"/>
      <c r="I110" s="70" t="str">
        <f>IF(C110="Trả lại đơn vụ","",IF(C110="Trả lại đơn việc","",IF(C110="Hòa giải thành","",IF(F110=0,"",EDATE(F110,VLOOKUP(C110,'Thời hạn'!$A$1:$B$10,2,0))+H110))))</f>
        <v/>
      </c>
      <c r="J110" s="59" t="str">
        <f t="shared" ca="1" si="1"/>
        <v/>
      </c>
      <c r="K110" s="25"/>
      <c r="L110" s="129"/>
      <c r="M110" s="130"/>
      <c r="N110" s="35"/>
      <c r="O110" s="34"/>
      <c r="P110" s="25"/>
      <c r="Q110" s="25"/>
      <c r="R110" s="34"/>
      <c r="S110" s="34"/>
      <c r="T110" s="137"/>
      <c r="U110" s="137"/>
      <c r="V110" s="36"/>
      <c r="W110" s="77"/>
      <c r="X110" s="71" t="str">
        <f>IF(C110="Trả lại đơn vụ","",IF(C110="Trả lại đơn việc","",IF((NETWORKDAYS(F110,G110,'Danh sách ngày nghỉ lễ'!$B$5:$B$25)-1-3)&gt;0,"Quá hạn"&amp;" "&amp;(NETWORKDAYS(F110,G110,'Danh sách ngày nghỉ lễ'!$B$5:$B$25)-1-3)&amp;" "&amp;"ngày","")))</f>
        <v/>
      </c>
      <c r="Y110" s="72" t="str">
        <f>IF(S110=0,"",IF(P110="Chuyển","",IF(P110="Nhập vào vụ khác","",IF(P110="BA",IF((S110-R110)&gt;10,"Quá hạn"&amp;" "&amp;(S110-R110-10)&amp;" "&amp;"ngày",""),IF((NETWORKDAYS(R110,S110,'Danh sách ngày nghỉ lễ'!$B$5:$B$25)-VLOOKUP(P110,'Thời hạn'!$A$17:$B$23,2,0))&gt;1,"Quá hạn"&amp;" "&amp;(NETWORKDAYS(R110,S110,'Danh sách ngày nghỉ lễ'!$B$5:$B$25)-1-VLOOKUP(P110,'Thời hạn'!$A$17:$B$23,2,0))&amp;" "&amp;"ngày","")))))</f>
        <v/>
      </c>
      <c r="Z110" s="23">
        <v>1</v>
      </c>
    </row>
    <row r="111" spans="1:26" x14ac:dyDescent="0.3">
      <c r="A111" s="24">
        <v>1</v>
      </c>
      <c r="B111" s="39"/>
      <c r="C111" s="33"/>
      <c r="D111" s="25"/>
      <c r="E111" s="25"/>
      <c r="F111" s="34"/>
      <c r="G111" s="34"/>
      <c r="H111" s="25"/>
      <c r="I111" s="70" t="str">
        <f>IF(C111="Trả lại đơn vụ","",IF(C111="Trả lại đơn việc","",IF(C111="Hòa giải thành","",IF(F111=0,"",EDATE(F111,VLOOKUP(C111,'Thời hạn'!$A$1:$B$10,2,0))+H111))))</f>
        <v/>
      </c>
      <c r="J111" s="59" t="str">
        <f t="shared" ca="1" si="1"/>
        <v/>
      </c>
      <c r="K111" s="25"/>
      <c r="L111" s="129"/>
      <c r="M111" s="130"/>
      <c r="N111" s="35"/>
      <c r="O111" s="34"/>
      <c r="P111" s="25"/>
      <c r="Q111" s="25"/>
      <c r="R111" s="34"/>
      <c r="S111" s="34"/>
      <c r="T111" s="137"/>
      <c r="U111" s="137"/>
      <c r="V111" s="36"/>
      <c r="W111" s="77"/>
      <c r="X111" s="71" t="str">
        <f>IF(C111="Trả lại đơn vụ","",IF(C111="Trả lại đơn việc","",IF((NETWORKDAYS(F111,G111,'Danh sách ngày nghỉ lễ'!$B$5:$B$25)-1-3)&gt;0,"Quá hạn"&amp;" "&amp;(NETWORKDAYS(F111,G111,'Danh sách ngày nghỉ lễ'!$B$5:$B$25)-1-3)&amp;" "&amp;"ngày","")))</f>
        <v/>
      </c>
      <c r="Y111" s="72" t="str">
        <f>IF(S111=0,"",IF(P111="Chuyển","",IF(P111="Nhập vào vụ khác","",IF(P111="BA",IF((S111-R111)&gt;10,"Quá hạn"&amp;" "&amp;(S111-R111-10)&amp;" "&amp;"ngày",""),IF((NETWORKDAYS(R111,S111,'Danh sách ngày nghỉ lễ'!$B$5:$B$25)-VLOOKUP(P111,'Thời hạn'!$A$17:$B$23,2,0))&gt;1,"Quá hạn"&amp;" "&amp;(NETWORKDAYS(R111,S111,'Danh sách ngày nghỉ lễ'!$B$5:$B$25)-1-VLOOKUP(P111,'Thời hạn'!$A$17:$B$23,2,0))&amp;" "&amp;"ngày","")))))</f>
        <v/>
      </c>
      <c r="Z111" s="23">
        <v>1</v>
      </c>
    </row>
    <row r="112" spans="1:26" x14ac:dyDescent="0.3">
      <c r="A112" s="24">
        <v>1</v>
      </c>
      <c r="B112" s="39"/>
      <c r="C112" s="33"/>
      <c r="D112" s="25"/>
      <c r="E112" s="25"/>
      <c r="F112" s="34"/>
      <c r="G112" s="34"/>
      <c r="H112" s="25"/>
      <c r="I112" s="70" t="str">
        <f>IF(C112="Trả lại đơn vụ","",IF(C112="Trả lại đơn việc","",IF(C112="Hòa giải thành","",IF(F112=0,"",EDATE(F112,VLOOKUP(C112,'Thời hạn'!$A$1:$B$10,2,0))+H112))))</f>
        <v/>
      </c>
      <c r="J112" s="59" t="str">
        <f t="shared" ca="1" si="1"/>
        <v/>
      </c>
      <c r="K112" s="25"/>
      <c r="L112" s="129"/>
      <c r="M112" s="130"/>
      <c r="N112" s="35"/>
      <c r="O112" s="34"/>
      <c r="P112" s="25"/>
      <c r="Q112" s="25"/>
      <c r="R112" s="34"/>
      <c r="S112" s="34"/>
      <c r="T112" s="137"/>
      <c r="U112" s="137"/>
      <c r="V112" s="36"/>
      <c r="W112" s="77"/>
      <c r="X112" s="71" t="str">
        <f>IF(C112="Trả lại đơn vụ","",IF(C112="Trả lại đơn việc","",IF((NETWORKDAYS(F112,G112,'Danh sách ngày nghỉ lễ'!$B$5:$B$25)-1-3)&gt;0,"Quá hạn"&amp;" "&amp;(NETWORKDAYS(F112,G112,'Danh sách ngày nghỉ lễ'!$B$5:$B$25)-1-3)&amp;" "&amp;"ngày","")))</f>
        <v/>
      </c>
      <c r="Y112" s="72" t="str">
        <f>IF(S112=0,"",IF(P112="Chuyển","",IF(P112="Nhập vào vụ khác","",IF(P112="BA",IF((S112-R112)&gt;10,"Quá hạn"&amp;" "&amp;(S112-R112-10)&amp;" "&amp;"ngày",""),IF((NETWORKDAYS(R112,S112,'Danh sách ngày nghỉ lễ'!$B$5:$B$25)-VLOOKUP(P112,'Thời hạn'!$A$17:$B$23,2,0))&gt;1,"Quá hạn"&amp;" "&amp;(NETWORKDAYS(R112,S112,'Danh sách ngày nghỉ lễ'!$B$5:$B$25)-1-VLOOKUP(P112,'Thời hạn'!$A$17:$B$23,2,0))&amp;" "&amp;"ngày","")))))</f>
        <v/>
      </c>
      <c r="Z112" s="23">
        <v>1</v>
      </c>
    </row>
    <row r="113" spans="1:26" x14ac:dyDescent="0.3">
      <c r="A113" s="24">
        <v>1</v>
      </c>
      <c r="B113" s="39"/>
      <c r="C113" s="33"/>
      <c r="D113" s="25"/>
      <c r="E113" s="25"/>
      <c r="F113" s="34"/>
      <c r="G113" s="34"/>
      <c r="H113" s="25"/>
      <c r="I113" s="70" t="str">
        <f>IF(C113="Trả lại đơn vụ","",IF(C113="Trả lại đơn việc","",IF(C113="Hòa giải thành","",IF(F113=0,"",EDATE(F113,VLOOKUP(C113,'Thời hạn'!$A$1:$B$10,2,0))+H113))))</f>
        <v/>
      </c>
      <c r="J113" s="59" t="str">
        <f t="shared" ca="1" si="1"/>
        <v/>
      </c>
      <c r="K113" s="25"/>
      <c r="L113" s="129"/>
      <c r="M113" s="130"/>
      <c r="N113" s="35"/>
      <c r="O113" s="34"/>
      <c r="P113" s="25"/>
      <c r="Q113" s="25"/>
      <c r="R113" s="34"/>
      <c r="S113" s="34"/>
      <c r="T113" s="137"/>
      <c r="U113" s="137"/>
      <c r="V113" s="36"/>
      <c r="W113" s="77"/>
      <c r="X113" s="71" t="str">
        <f>IF(C113="Trả lại đơn vụ","",IF(C113="Trả lại đơn việc","",IF((NETWORKDAYS(F113,G113,'Danh sách ngày nghỉ lễ'!$B$5:$B$25)-1-3)&gt;0,"Quá hạn"&amp;" "&amp;(NETWORKDAYS(F113,G113,'Danh sách ngày nghỉ lễ'!$B$5:$B$25)-1-3)&amp;" "&amp;"ngày","")))</f>
        <v/>
      </c>
      <c r="Y113" s="72" t="str">
        <f>IF(S113=0,"",IF(P113="Chuyển","",IF(P113="Nhập vào vụ khác","",IF(P113="BA",IF((S113-R113)&gt;10,"Quá hạn"&amp;" "&amp;(S113-R113-10)&amp;" "&amp;"ngày",""),IF((NETWORKDAYS(R113,S113,'Danh sách ngày nghỉ lễ'!$B$5:$B$25)-VLOOKUP(P113,'Thời hạn'!$A$17:$B$23,2,0))&gt;1,"Quá hạn"&amp;" "&amp;(NETWORKDAYS(R113,S113,'Danh sách ngày nghỉ lễ'!$B$5:$B$25)-1-VLOOKUP(P113,'Thời hạn'!$A$17:$B$23,2,0))&amp;" "&amp;"ngày","")))))</f>
        <v/>
      </c>
      <c r="Z113" s="23">
        <v>1</v>
      </c>
    </row>
    <row r="114" spans="1:26" x14ac:dyDescent="0.3">
      <c r="A114" s="24">
        <v>1</v>
      </c>
      <c r="B114" s="39"/>
      <c r="C114" s="33"/>
      <c r="D114" s="25"/>
      <c r="E114" s="25"/>
      <c r="F114" s="34"/>
      <c r="G114" s="34"/>
      <c r="H114" s="25"/>
      <c r="I114" s="70" t="str">
        <f>IF(C114="Trả lại đơn vụ","",IF(C114="Trả lại đơn việc","",IF(C114="Hòa giải thành","",IF(F114=0,"",EDATE(F114,VLOOKUP(C114,'Thời hạn'!$A$1:$B$10,2,0))+H114))))</f>
        <v/>
      </c>
      <c r="J114" s="59" t="str">
        <f t="shared" ca="1" si="1"/>
        <v/>
      </c>
      <c r="K114" s="25"/>
      <c r="L114" s="129"/>
      <c r="M114" s="130"/>
      <c r="N114" s="35"/>
      <c r="O114" s="34"/>
      <c r="P114" s="25"/>
      <c r="Q114" s="25"/>
      <c r="R114" s="34"/>
      <c r="S114" s="34"/>
      <c r="T114" s="137"/>
      <c r="U114" s="137"/>
      <c r="V114" s="36"/>
      <c r="W114" s="77"/>
      <c r="X114" s="71" t="str">
        <f>IF(C114="Trả lại đơn vụ","",IF(C114="Trả lại đơn việc","",IF((NETWORKDAYS(F114,G114,'Danh sách ngày nghỉ lễ'!$B$5:$B$25)-1-3)&gt;0,"Quá hạn"&amp;" "&amp;(NETWORKDAYS(F114,G114,'Danh sách ngày nghỉ lễ'!$B$5:$B$25)-1-3)&amp;" "&amp;"ngày","")))</f>
        <v/>
      </c>
      <c r="Y114" s="72" t="str">
        <f>IF(S114=0,"",IF(P114="Chuyển","",IF(P114="Nhập vào vụ khác","",IF(P114="BA",IF((S114-R114)&gt;10,"Quá hạn"&amp;" "&amp;(S114-R114-10)&amp;" "&amp;"ngày",""),IF((NETWORKDAYS(R114,S114,'Danh sách ngày nghỉ lễ'!$B$5:$B$25)-VLOOKUP(P114,'Thời hạn'!$A$17:$B$23,2,0))&gt;1,"Quá hạn"&amp;" "&amp;(NETWORKDAYS(R114,S114,'Danh sách ngày nghỉ lễ'!$B$5:$B$25)-1-VLOOKUP(P114,'Thời hạn'!$A$17:$B$23,2,0))&amp;" "&amp;"ngày","")))))</f>
        <v/>
      </c>
      <c r="Z114" s="23">
        <v>1</v>
      </c>
    </row>
    <row r="115" spans="1:26" x14ac:dyDescent="0.3">
      <c r="A115" s="24">
        <v>1</v>
      </c>
      <c r="B115" s="39"/>
      <c r="C115" s="33"/>
      <c r="D115" s="25"/>
      <c r="E115" s="25"/>
      <c r="F115" s="34"/>
      <c r="G115" s="34"/>
      <c r="H115" s="25"/>
      <c r="I115" s="70" t="str">
        <f>IF(C115="Trả lại đơn vụ","",IF(C115="Trả lại đơn việc","",IF(C115="Hòa giải thành","",IF(F115=0,"",EDATE(F115,VLOOKUP(C115,'Thời hạn'!$A$1:$B$10,2,0))+H115))))</f>
        <v/>
      </c>
      <c r="J115" s="59" t="str">
        <f t="shared" ca="1" si="1"/>
        <v/>
      </c>
      <c r="K115" s="25"/>
      <c r="L115" s="129"/>
      <c r="M115" s="130"/>
      <c r="N115" s="35"/>
      <c r="O115" s="34"/>
      <c r="P115" s="25"/>
      <c r="Q115" s="25"/>
      <c r="R115" s="34"/>
      <c r="S115" s="34"/>
      <c r="T115" s="137"/>
      <c r="U115" s="137"/>
      <c r="V115" s="36"/>
      <c r="W115" s="77"/>
      <c r="X115" s="71" t="str">
        <f>IF(C115="Trả lại đơn vụ","",IF(C115="Trả lại đơn việc","",IF((NETWORKDAYS(F115,G115,'Danh sách ngày nghỉ lễ'!$B$5:$B$25)-1-3)&gt;0,"Quá hạn"&amp;" "&amp;(NETWORKDAYS(F115,G115,'Danh sách ngày nghỉ lễ'!$B$5:$B$25)-1-3)&amp;" "&amp;"ngày","")))</f>
        <v/>
      </c>
      <c r="Y115" s="72" t="str">
        <f>IF(S115=0,"",IF(P115="Chuyển","",IF(P115="Nhập vào vụ khác","",IF(P115="BA",IF((S115-R115)&gt;10,"Quá hạn"&amp;" "&amp;(S115-R115-10)&amp;" "&amp;"ngày",""),IF((NETWORKDAYS(R115,S115,'Danh sách ngày nghỉ lễ'!$B$5:$B$25)-VLOOKUP(P115,'Thời hạn'!$A$17:$B$23,2,0))&gt;1,"Quá hạn"&amp;" "&amp;(NETWORKDAYS(R115,S115,'Danh sách ngày nghỉ lễ'!$B$5:$B$25)-1-VLOOKUP(P115,'Thời hạn'!$A$17:$B$23,2,0))&amp;" "&amp;"ngày","")))))</f>
        <v/>
      </c>
      <c r="Z115" s="23">
        <v>1</v>
      </c>
    </row>
    <row r="116" spans="1:26" x14ac:dyDescent="0.3">
      <c r="A116" s="24">
        <v>1</v>
      </c>
      <c r="B116" s="39"/>
      <c r="C116" s="33"/>
      <c r="D116" s="25"/>
      <c r="E116" s="25"/>
      <c r="F116" s="34"/>
      <c r="G116" s="34"/>
      <c r="H116" s="25"/>
      <c r="I116" s="70" t="str">
        <f>IF(C116="Trả lại đơn vụ","",IF(C116="Trả lại đơn việc","",IF(C116="Hòa giải thành","",IF(F116=0,"",EDATE(F116,VLOOKUP(C116,'Thời hạn'!$A$1:$B$10,2,0))+H116))))</f>
        <v/>
      </c>
      <c r="J116" s="59" t="str">
        <f t="shared" ca="1" si="1"/>
        <v/>
      </c>
      <c r="K116" s="25"/>
      <c r="L116" s="129"/>
      <c r="M116" s="130"/>
      <c r="N116" s="35"/>
      <c r="O116" s="34"/>
      <c r="P116" s="25"/>
      <c r="Q116" s="25"/>
      <c r="R116" s="34"/>
      <c r="S116" s="34"/>
      <c r="T116" s="137"/>
      <c r="U116" s="137"/>
      <c r="V116" s="36"/>
      <c r="W116" s="77"/>
      <c r="X116" s="71" t="str">
        <f>IF(C116="Trả lại đơn vụ","",IF(C116="Trả lại đơn việc","",IF((NETWORKDAYS(F116,G116,'Danh sách ngày nghỉ lễ'!$B$5:$B$25)-1-3)&gt;0,"Quá hạn"&amp;" "&amp;(NETWORKDAYS(F116,G116,'Danh sách ngày nghỉ lễ'!$B$5:$B$25)-1-3)&amp;" "&amp;"ngày","")))</f>
        <v/>
      </c>
      <c r="Y116" s="72" t="str">
        <f>IF(S116=0,"",IF(P116="Chuyển","",IF(P116="Nhập vào vụ khác","",IF(P116="BA",IF((S116-R116)&gt;10,"Quá hạn"&amp;" "&amp;(S116-R116-10)&amp;" "&amp;"ngày",""),IF((NETWORKDAYS(R116,S116,'Danh sách ngày nghỉ lễ'!$B$5:$B$25)-VLOOKUP(P116,'Thời hạn'!$A$17:$B$23,2,0))&gt;1,"Quá hạn"&amp;" "&amp;(NETWORKDAYS(R116,S116,'Danh sách ngày nghỉ lễ'!$B$5:$B$25)-1-VLOOKUP(P116,'Thời hạn'!$A$17:$B$23,2,0))&amp;" "&amp;"ngày","")))))</f>
        <v/>
      </c>
      <c r="Z116" s="23">
        <v>1</v>
      </c>
    </row>
    <row r="117" spans="1:26" x14ac:dyDescent="0.3">
      <c r="A117" s="24">
        <v>1</v>
      </c>
      <c r="B117" s="39"/>
      <c r="C117" s="33"/>
      <c r="D117" s="25"/>
      <c r="E117" s="25"/>
      <c r="F117" s="34"/>
      <c r="G117" s="34"/>
      <c r="H117" s="25"/>
      <c r="I117" s="70" t="str">
        <f>IF(C117="Trả lại đơn vụ","",IF(C117="Trả lại đơn việc","",IF(C117="Hòa giải thành","",IF(F117=0,"",EDATE(F117,VLOOKUP(C117,'Thời hạn'!$A$1:$B$10,2,0))+H117))))</f>
        <v/>
      </c>
      <c r="J117" s="59" t="str">
        <f t="shared" ca="1" si="1"/>
        <v/>
      </c>
      <c r="K117" s="25"/>
      <c r="L117" s="129"/>
      <c r="M117" s="130"/>
      <c r="N117" s="35"/>
      <c r="O117" s="34"/>
      <c r="P117" s="25"/>
      <c r="Q117" s="25"/>
      <c r="R117" s="34"/>
      <c r="S117" s="34"/>
      <c r="T117" s="137"/>
      <c r="U117" s="137"/>
      <c r="V117" s="36"/>
      <c r="W117" s="77"/>
      <c r="X117" s="71" t="str">
        <f>IF(C117="Trả lại đơn vụ","",IF(C117="Trả lại đơn việc","",IF((NETWORKDAYS(F117,G117,'Danh sách ngày nghỉ lễ'!$B$5:$B$25)-1-3)&gt;0,"Quá hạn"&amp;" "&amp;(NETWORKDAYS(F117,G117,'Danh sách ngày nghỉ lễ'!$B$5:$B$25)-1-3)&amp;" "&amp;"ngày","")))</f>
        <v/>
      </c>
      <c r="Y117" s="72" t="str">
        <f>IF(S117=0,"",IF(P117="Chuyển","",IF(P117="Nhập vào vụ khác","",IF(P117="BA",IF((S117-R117)&gt;10,"Quá hạn"&amp;" "&amp;(S117-R117-10)&amp;" "&amp;"ngày",""),IF((NETWORKDAYS(R117,S117,'Danh sách ngày nghỉ lễ'!$B$5:$B$25)-VLOOKUP(P117,'Thời hạn'!$A$17:$B$23,2,0))&gt;1,"Quá hạn"&amp;" "&amp;(NETWORKDAYS(R117,S117,'Danh sách ngày nghỉ lễ'!$B$5:$B$25)-1-VLOOKUP(P117,'Thời hạn'!$A$17:$B$23,2,0))&amp;" "&amp;"ngày","")))))</f>
        <v/>
      </c>
      <c r="Z117" s="23">
        <v>1</v>
      </c>
    </row>
    <row r="118" spans="1:26" x14ac:dyDescent="0.3">
      <c r="A118" s="24">
        <v>1</v>
      </c>
      <c r="B118" s="39"/>
      <c r="C118" s="33"/>
      <c r="D118" s="25"/>
      <c r="E118" s="25"/>
      <c r="F118" s="34"/>
      <c r="G118" s="34"/>
      <c r="H118" s="25"/>
      <c r="I118" s="70" t="str">
        <f>IF(C118="Trả lại đơn vụ","",IF(C118="Trả lại đơn việc","",IF(C118="Hòa giải thành","",IF(F118=0,"",EDATE(F118,VLOOKUP(C118,'Thời hạn'!$A$1:$B$10,2,0))+H118))))</f>
        <v/>
      </c>
      <c r="J118" s="59" t="str">
        <f t="shared" ca="1" si="1"/>
        <v/>
      </c>
      <c r="K118" s="25"/>
      <c r="L118" s="129"/>
      <c r="M118" s="130"/>
      <c r="N118" s="35"/>
      <c r="O118" s="34"/>
      <c r="P118" s="25"/>
      <c r="Q118" s="25"/>
      <c r="R118" s="34"/>
      <c r="S118" s="34"/>
      <c r="T118" s="137"/>
      <c r="U118" s="137"/>
      <c r="V118" s="36"/>
      <c r="W118" s="77"/>
      <c r="X118" s="71" t="str">
        <f>IF(C118="Trả lại đơn vụ","",IF(C118="Trả lại đơn việc","",IF((NETWORKDAYS(F118,G118,'Danh sách ngày nghỉ lễ'!$B$5:$B$25)-1-3)&gt;0,"Quá hạn"&amp;" "&amp;(NETWORKDAYS(F118,G118,'Danh sách ngày nghỉ lễ'!$B$5:$B$25)-1-3)&amp;" "&amp;"ngày","")))</f>
        <v/>
      </c>
      <c r="Y118" s="72" t="str">
        <f>IF(S118=0,"",IF(P118="Chuyển","",IF(P118="Nhập vào vụ khác","",IF(P118="BA",IF((S118-R118)&gt;10,"Quá hạn"&amp;" "&amp;(S118-R118-10)&amp;" "&amp;"ngày",""),IF((NETWORKDAYS(R118,S118,'Danh sách ngày nghỉ lễ'!$B$5:$B$25)-VLOOKUP(P118,'Thời hạn'!$A$17:$B$23,2,0))&gt;1,"Quá hạn"&amp;" "&amp;(NETWORKDAYS(R118,S118,'Danh sách ngày nghỉ lễ'!$B$5:$B$25)-1-VLOOKUP(P118,'Thời hạn'!$A$17:$B$23,2,0))&amp;" "&amp;"ngày","")))))</f>
        <v/>
      </c>
      <c r="Z118" s="23">
        <v>1</v>
      </c>
    </row>
    <row r="119" spans="1:26" x14ac:dyDescent="0.3">
      <c r="A119" s="24">
        <v>1</v>
      </c>
      <c r="B119" s="39"/>
      <c r="C119" s="33"/>
      <c r="D119" s="25"/>
      <c r="E119" s="25"/>
      <c r="F119" s="34"/>
      <c r="G119" s="34"/>
      <c r="H119" s="25"/>
      <c r="I119" s="70" t="str">
        <f>IF(C119="Trả lại đơn vụ","",IF(C119="Trả lại đơn việc","",IF(C119="Hòa giải thành","",IF(F119=0,"",EDATE(F119,VLOOKUP(C119,'Thời hạn'!$A$1:$B$10,2,0))+H119))))</f>
        <v/>
      </c>
      <c r="J119" s="59" t="str">
        <f t="shared" ca="1" si="1"/>
        <v/>
      </c>
      <c r="K119" s="25"/>
      <c r="L119" s="129"/>
      <c r="M119" s="130"/>
      <c r="N119" s="35"/>
      <c r="O119" s="34"/>
      <c r="P119" s="25"/>
      <c r="Q119" s="25"/>
      <c r="R119" s="34"/>
      <c r="S119" s="34"/>
      <c r="T119" s="137"/>
      <c r="U119" s="137"/>
      <c r="V119" s="36"/>
      <c r="W119" s="77"/>
      <c r="X119" s="71" t="str">
        <f>IF(C119="Trả lại đơn vụ","",IF(C119="Trả lại đơn việc","",IF((NETWORKDAYS(F119,G119,'Danh sách ngày nghỉ lễ'!$B$5:$B$25)-1-3)&gt;0,"Quá hạn"&amp;" "&amp;(NETWORKDAYS(F119,G119,'Danh sách ngày nghỉ lễ'!$B$5:$B$25)-1-3)&amp;" "&amp;"ngày","")))</f>
        <v/>
      </c>
      <c r="Y119" s="72" t="str">
        <f>IF(S119=0,"",IF(P119="Chuyển","",IF(P119="Nhập vào vụ khác","",IF(P119="BA",IF((S119-R119)&gt;10,"Quá hạn"&amp;" "&amp;(S119-R119-10)&amp;" "&amp;"ngày",""),IF((NETWORKDAYS(R119,S119,'Danh sách ngày nghỉ lễ'!$B$5:$B$25)-VLOOKUP(P119,'Thời hạn'!$A$17:$B$23,2,0))&gt;1,"Quá hạn"&amp;" "&amp;(NETWORKDAYS(R119,S119,'Danh sách ngày nghỉ lễ'!$B$5:$B$25)-1-VLOOKUP(P119,'Thời hạn'!$A$17:$B$23,2,0))&amp;" "&amp;"ngày","")))))</f>
        <v/>
      </c>
      <c r="Z119" s="23">
        <v>1</v>
      </c>
    </row>
    <row r="120" spans="1:26" x14ac:dyDescent="0.3">
      <c r="A120" s="24">
        <v>1</v>
      </c>
      <c r="B120" s="39"/>
      <c r="C120" s="33"/>
      <c r="D120" s="25"/>
      <c r="E120" s="25"/>
      <c r="F120" s="34"/>
      <c r="G120" s="34"/>
      <c r="H120" s="25"/>
      <c r="I120" s="70" t="str">
        <f>IF(C120="Trả lại đơn vụ","",IF(C120="Trả lại đơn việc","",IF(C120="Hòa giải thành","",IF(F120=0,"",EDATE(F120,VLOOKUP(C120,'Thời hạn'!$A$1:$B$10,2,0))+H120))))</f>
        <v/>
      </c>
      <c r="J120" s="59" t="str">
        <f t="shared" ca="1" si="1"/>
        <v/>
      </c>
      <c r="K120" s="25"/>
      <c r="L120" s="129"/>
      <c r="M120" s="130"/>
      <c r="N120" s="35"/>
      <c r="O120" s="34"/>
      <c r="P120" s="25"/>
      <c r="Q120" s="25"/>
      <c r="R120" s="34"/>
      <c r="S120" s="34"/>
      <c r="T120" s="137"/>
      <c r="U120" s="137"/>
      <c r="V120" s="36"/>
      <c r="W120" s="77"/>
      <c r="X120" s="71" t="str">
        <f>IF(C120="Trả lại đơn vụ","",IF(C120="Trả lại đơn việc","",IF((NETWORKDAYS(F120,G120,'Danh sách ngày nghỉ lễ'!$B$5:$B$25)-1-3)&gt;0,"Quá hạn"&amp;" "&amp;(NETWORKDAYS(F120,G120,'Danh sách ngày nghỉ lễ'!$B$5:$B$25)-1-3)&amp;" "&amp;"ngày","")))</f>
        <v/>
      </c>
      <c r="Y120" s="72" t="str">
        <f>IF(S120=0,"",IF(P120="Chuyển","",IF(P120="Nhập vào vụ khác","",IF(P120="BA",IF((S120-R120)&gt;10,"Quá hạn"&amp;" "&amp;(S120-R120-10)&amp;" "&amp;"ngày",""),IF((NETWORKDAYS(R120,S120,'Danh sách ngày nghỉ lễ'!$B$5:$B$25)-VLOOKUP(P120,'Thời hạn'!$A$17:$B$23,2,0))&gt;1,"Quá hạn"&amp;" "&amp;(NETWORKDAYS(R120,S120,'Danh sách ngày nghỉ lễ'!$B$5:$B$25)-1-VLOOKUP(P120,'Thời hạn'!$A$17:$B$23,2,0))&amp;" "&amp;"ngày","")))))</f>
        <v/>
      </c>
      <c r="Z120" s="23">
        <v>1</v>
      </c>
    </row>
    <row r="121" spans="1:26" x14ac:dyDescent="0.3">
      <c r="A121" s="24">
        <v>1</v>
      </c>
      <c r="B121" s="39"/>
      <c r="C121" s="33"/>
      <c r="D121" s="25"/>
      <c r="E121" s="25"/>
      <c r="F121" s="34"/>
      <c r="G121" s="34"/>
      <c r="H121" s="25"/>
      <c r="I121" s="70" t="str">
        <f>IF(C121="Trả lại đơn vụ","",IF(C121="Trả lại đơn việc","",IF(C121="Hòa giải thành","",IF(F121=0,"",EDATE(F121,VLOOKUP(C121,'Thời hạn'!$A$1:$B$10,2,0))+H121))))</f>
        <v/>
      </c>
      <c r="J121" s="59" t="str">
        <f t="shared" ca="1" si="1"/>
        <v/>
      </c>
      <c r="K121" s="25"/>
      <c r="L121" s="129"/>
      <c r="M121" s="130"/>
      <c r="N121" s="35"/>
      <c r="O121" s="34"/>
      <c r="P121" s="25"/>
      <c r="Q121" s="25"/>
      <c r="R121" s="34"/>
      <c r="S121" s="34"/>
      <c r="T121" s="137"/>
      <c r="U121" s="137"/>
      <c r="V121" s="36"/>
      <c r="W121" s="77"/>
      <c r="X121" s="71" t="str">
        <f>IF(C121="Trả lại đơn vụ","",IF(C121="Trả lại đơn việc","",IF((NETWORKDAYS(F121,G121,'Danh sách ngày nghỉ lễ'!$B$5:$B$25)-1-3)&gt;0,"Quá hạn"&amp;" "&amp;(NETWORKDAYS(F121,G121,'Danh sách ngày nghỉ lễ'!$B$5:$B$25)-1-3)&amp;" "&amp;"ngày","")))</f>
        <v/>
      </c>
      <c r="Y121" s="72" t="str">
        <f>IF(S121=0,"",IF(P121="Chuyển","",IF(P121="Nhập vào vụ khác","",IF(P121="BA",IF((S121-R121)&gt;10,"Quá hạn"&amp;" "&amp;(S121-R121-10)&amp;" "&amp;"ngày",""),IF((NETWORKDAYS(R121,S121,'Danh sách ngày nghỉ lễ'!$B$5:$B$25)-VLOOKUP(P121,'Thời hạn'!$A$17:$B$23,2,0))&gt;1,"Quá hạn"&amp;" "&amp;(NETWORKDAYS(R121,S121,'Danh sách ngày nghỉ lễ'!$B$5:$B$25)-1-VLOOKUP(P121,'Thời hạn'!$A$17:$B$23,2,0))&amp;" "&amp;"ngày","")))))</f>
        <v/>
      </c>
      <c r="Z121" s="23">
        <v>1</v>
      </c>
    </row>
    <row r="122" spans="1:26" x14ac:dyDescent="0.3">
      <c r="A122" s="24">
        <v>1</v>
      </c>
      <c r="B122" s="39"/>
      <c r="C122" s="33"/>
      <c r="D122" s="25"/>
      <c r="E122" s="25"/>
      <c r="F122" s="34"/>
      <c r="G122" s="34"/>
      <c r="H122" s="25"/>
      <c r="I122" s="70" t="str">
        <f>IF(C122="Trả lại đơn vụ","",IF(C122="Trả lại đơn việc","",IF(C122="Hòa giải thành","",IF(F122=0,"",EDATE(F122,VLOOKUP(C122,'Thời hạn'!$A$1:$B$10,2,0))+H122))))</f>
        <v/>
      </c>
      <c r="J122" s="59" t="str">
        <f t="shared" ca="1" si="1"/>
        <v/>
      </c>
      <c r="K122" s="25"/>
      <c r="L122" s="129"/>
      <c r="M122" s="130"/>
      <c r="N122" s="35"/>
      <c r="O122" s="34"/>
      <c r="P122" s="25"/>
      <c r="Q122" s="25"/>
      <c r="R122" s="34"/>
      <c r="S122" s="34"/>
      <c r="T122" s="137"/>
      <c r="U122" s="137"/>
      <c r="V122" s="36"/>
      <c r="W122" s="77"/>
      <c r="X122" s="71" t="str">
        <f>IF(C122="Trả lại đơn vụ","",IF(C122="Trả lại đơn việc","",IF((NETWORKDAYS(F122,G122,'Danh sách ngày nghỉ lễ'!$B$5:$B$25)-1-3)&gt;0,"Quá hạn"&amp;" "&amp;(NETWORKDAYS(F122,G122,'Danh sách ngày nghỉ lễ'!$B$5:$B$25)-1-3)&amp;" "&amp;"ngày","")))</f>
        <v/>
      </c>
      <c r="Y122" s="72" t="str">
        <f>IF(S122=0,"",IF(P122="Chuyển","",IF(P122="Nhập vào vụ khác","",IF(P122="BA",IF((S122-R122)&gt;10,"Quá hạn"&amp;" "&amp;(S122-R122-10)&amp;" "&amp;"ngày",""),IF((NETWORKDAYS(R122,S122,'Danh sách ngày nghỉ lễ'!$B$5:$B$25)-VLOOKUP(P122,'Thời hạn'!$A$17:$B$23,2,0))&gt;1,"Quá hạn"&amp;" "&amp;(NETWORKDAYS(R122,S122,'Danh sách ngày nghỉ lễ'!$B$5:$B$25)-1-VLOOKUP(P122,'Thời hạn'!$A$17:$B$23,2,0))&amp;" "&amp;"ngày","")))))</f>
        <v/>
      </c>
      <c r="Z122" s="23">
        <v>1</v>
      </c>
    </row>
    <row r="123" spans="1:26" x14ac:dyDescent="0.3">
      <c r="A123" s="24">
        <v>1</v>
      </c>
      <c r="B123" s="39"/>
      <c r="C123" s="33"/>
      <c r="D123" s="25"/>
      <c r="E123" s="25"/>
      <c r="F123" s="34"/>
      <c r="G123" s="34"/>
      <c r="H123" s="25"/>
      <c r="I123" s="70" t="str">
        <f>IF(C123="Trả lại đơn vụ","",IF(C123="Trả lại đơn việc","",IF(C123="Hòa giải thành","",IF(F123=0,"",EDATE(F123,VLOOKUP(C123,'Thời hạn'!$A$1:$B$10,2,0))+H123))))</f>
        <v/>
      </c>
      <c r="J123" s="59" t="str">
        <f t="shared" ca="1" si="1"/>
        <v/>
      </c>
      <c r="K123" s="25"/>
      <c r="L123" s="129"/>
      <c r="M123" s="130"/>
      <c r="N123" s="35"/>
      <c r="O123" s="34"/>
      <c r="P123" s="25"/>
      <c r="Q123" s="25"/>
      <c r="R123" s="34"/>
      <c r="S123" s="34"/>
      <c r="T123" s="137"/>
      <c r="U123" s="137"/>
      <c r="V123" s="36"/>
      <c r="W123" s="77"/>
      <c r="X123" s="71" t="str">
        <f>IF(C123="Trả lại đơn vụ","",IF(C123="Trả lại đơn việc","",IF((NETWORKDAYS(F123,G123,'Danh sách ngày nghỉ lễ'!$B$5:$B$25)-1-3)&gt;0,"Quá hạn"&amp;" "&amp;(NETWORKDAYS(F123,G123,'Danh sách ngày nghỉ lễ'!$B$5:$B$25)-1-3)&amp;" "&amp;"ngày","")))</f>
        <v/>
      </c>
      <c r="Y123" s="72" t="str">
        <f>IF(S123=0,"",IF(P123="Chuyển","",IF(P123="Nhập vào vụ khác","",IF(P123="BA",IF((S123-R123)&gt;10,"Quá hạn"&amp;" "&amp;(S123-R123-10)&amp;" "&amp;"ngày",""),IF((NETWORKDAYS(R123,S123,'Danh sách ngày nghỉ lễ'!$B$5:$B$25)-VLOOKUP(P123,'Thời hạn'!$A$17:$B$23,2,0))&gt;1,"Quá hạn"&amp;" "&amp;(NETWORKDAYS(R123,S123,'Danh sách ngày nghỉ lễ'!$B$5:$B$25)-1-VLOOKUP(P123,'Thời hạn'!$A$17:$B$23,2,0))&amp;" "&amp;"ngày","")))))</f>
        <v/>
      </c>
      <c r="Z123" s="23">
        <v>1</v>
      </c>
    </row>
    <row r="124" spans="1:26" x14ac:dyDescent="0.3">
      <c r="A124" s="24">
        <v>1</v>
      </c>
      <c r="B124" s="39"/>
      <c r="C124" s="33"/>
      <c r="D124" s="25"/>
      <c r="E124" s="25"/>
      <c r="F124" s="34"/>
      <c r="G124" s="34"/>
      <c r="H124" s="25"/>
      <c r="I124" s="70" t="str">
        <f>IF(C124="Trả lại đơn vụ","",IF(C124="Trả lại đơn việc","",IF(C124="Hòa giải thành","",IF(F124=0,"",EDATE(F124,VLOOKUP(C124,'Thời hạn'!$A$1:$B$10,2,0))+H124))))</f>
        <v/>
      </c>
      <c r="J124" s="59" t="str">
        <f t="shared" ca="1" si="1"/>
        <v/>
      </c>
      <c r="K124" s="25"/>
      <c r="L124" s="129"/>
      <c r="M124" s="130"/>
      <c r="N124" s="35"/>
      <c r="O124" s="34"/>
      <c r="P124" s="25"/>
      <c r="Q124" s="25"/>
      <c r="R124" s="34"/>
      <c r="S124" s="34"/>
      <c r="T124" s="137"/>
      <c r="U124" s="137"/>
      <c r="V124" s="36"/>
      <c r="W124" s="77"/>
      <c r="X124" s="71" t="str">
        <f>IF(C124="Trả lại đơn vụ","",IF(C124="Trả lại đơn việc","",IF((NETWORKDAYS(F124,G124,'Danh sách ngày nghỉ lễ'!$B$5:$B$25)-1-3)&gt;0,"Quá hạn"&amp;" "&amp;(NETWORKDAYS(F124,G124,'Danh sách ngày nghỉ lễ'!$B$5:$B$25)-1-3)&amp;" "&amp;"ngày","")))</f>
        <v/>
      </c>
      <c r="Y124" s="72" t="str">
        <f>IF(S124=0,"",IF(P124="Chuyển","",IF(P124="Nhập vào vụ khác","",IF(P124="BA",IF((S124-R124)&gt;10,"Quá hạn"&amp;" "&amp;(S124-R124-10)&amp;" "&amp;"ngày",""),IF((NETWORKDAYS(R124,S124,'Danh sách ngày nghỉ lễ'!$B$5:$B$25)-VLOOKUP(P124,'Thời hạn'!$A$17:$B$23,2,0))&gt;1,"Quá hạn"&amp;" "&amp;(NETWORKDAYS(R124,S124,'Danh sách ngày nghỉ lễ'!$B$5:$B$25)-1-VLOOKUP(P124,'Thời hạn'!$A$17:$B$23,2,0))&amp;" "&amp;"ngày","")))))</f>
        <v/>
      </c>
      <c r="Z124" s="23">
        <v>1</v>
      </c>
    </row>
    <row r="125" spans="1:26" x14ac:dyDescent="0.3">
      <c r="A125" s="24">
        <v>1</v>
      </c>
      <c r="B125" s="39"/>
      <c r="C125" s="33"/>
      <c r="D125" s="25"/>
      <c r="E125" s="25"/>
      <c r="F125" s="34"/>
      <c r="G125" s="34"/>
      <c r="H125" s="25"/>
      <c r="I125" s="70" t="str">
        <f>IF(C125="Trả lại đơn vụ","",IF(C125="Trả lại đơn việc","",IF(C125="Hòa giải thành","",IF(F125=0,"",EDATE(F125,VLOOKUP(C125,'Thời hạn'!$A$1:$B$10,2,0))+H125))))</f>
        <v/>
      </c>
      <c r="J125" s="59" t="str">
        <f t="shared" ca="1" si="1"/>
        <v/>
      </c>
      <c r="K125" s="25"/>
      <c r="L125" s="129"/>
      <c r="M125" s="130"/>
      <c r="N125" s="35"/>
      <c r="O125" s="34"/>
      <c r="P125" s="25"/>
      <c r="Q125" s="25"/>
      <c r="R125" s="34"/>
      <c r="S125" s="34"/>
      <c r="T125" s="137"/>
      <c r="U125" s="137"/>
      <c r="V125" s="36"/>
      <c r="W125" s="77"/>
      <c r="X125" s="71" t="str">
        <f>IF(C125="Trả lại đơn vụ","",IF(C125="Trả lại đơn việc","",IF((NETWORKDAYS(F125,G125,'Danh sách ngày nghỉ lễ'!$B$5:$B$25)-1-3)&gt;0,"Quá hạn"&amp;" "&amp;(NETWORKDAYS(F125,G125,'Danh sách ngày nghỉ lễ'!$B$5:$B$25)-1-3)&amp;" "&amp;"ngày","")))</f>
        <v/>
      </c>
      <c r="Y125" s="72" t="str">
        <f>IF(S125=0,"",IF(P125="Chuyển","",IF(P125="Nhập vào vụ khác","",IF(P125="BA",IF((S125-R125)&gt;10,"Quá hạn"&amp;" "&amp;(S125-R125-10)&amp;" "&amp;"ngày",""),IF((NETWORKDAYS(R125,S125,'Danh sách ngày nghỉ lễ'!$B$5:$B$25)-VLOOKUP(P125,'Thời hạn'!$A$17:$B$23,2,0))&gt;1,"Quá hạn"&amp;" "&amp;(NETWORKDAYS(R125,S125,'Danh sách ngày nghỉ lễ'!$B$5:$B$25)-1-VLOOKUP(P125,'Thời hạn'!$A$17:$B$23,2,0))&amp;" "&amp;"ngày","")))))</f>
        <v/>
      </c>
      <c r="Z125" s="23">
        <v>1</v>
      </c>
    </row>
    <row r="126" spans="1:26" x14ac:dyDescent="0.3">
      <c r="A126" s="24">
        <v>1</v>
      </c>
      <c r="B126" s="39"/>
      <c r="C126" s="33"/>
      <c r="D126" s="25"/>
      <c r="E126" s="25"/>
      <c r="F126" s="34"/>
      <c r="G126" s="34"/>
      <c r="H126" s="25"/>
      <c r="I126" s="70" t="str">
        <f>IF(C126="Trả lại đơn vụ","",IF(C126="Trả lại đơn việc","",IF(C126="Hòa giải thành","",IF(F126=0,"",EDATE(F126,VLOOKUP(C126,'Thời hạn'!$A$1:$B$10,2,0))+H126))))</f>
        <v/>
      </c>
      <c r="J126" s="59" t="str">
        <f t="shared" ca="1" si="1"/>
        <v/>
      </c>
      <c r="K126" s="25"/>
      <c r="L126" s="129"/>
      <c r="M126" s="130"/>
      <c r="N126" s="35"/>
      <c r="O126" s="34"/>
      <c r="P126" s="25"/>
      <c r="Q126" s="25"/>
      <c r="R126" s="34"/>
      <c r="S126" s="34"/>
      <c r="T126" s="137"/>
      <c r="U126" s="137"/>
      <c r="V126" s="36"/>
      <c r="W126" s="77"/>
      <c r="X126" s="71" t="str">
        <f>IF(C126="Trả lại đơn vụ","",IF(C126="Trả lại đơn việc","",IF((NETWORKDAYS(F126,G126,'Danh sách ngày nghỉ lễ'!$B$5:$B$25)-1-3)&gt;0,"Quá hạn"&amp;" "&amp;(NETWORKDAYS(F126,G126,'Danh sách ngày nghỉ lễ'!$B$5:$B$25)-1-3)&amp;" "&amp;"ngày","")))</f>
        <v/>
      </c>
      <c r="Y126" s="72" t="str">
        <f>IF(S126=0,"",IF(P126="Chuyển","",IF(P126="Nhập vào vụ khác","",IF(P126="BA",IF((S126-R126)&gt;10,"Quá hạn"&amp;" "&amp;(S126-R126-10)&amp;" "&amp;"ngày",""),IF((NETWORKDAYS(R126,S126,'Danh sách ngày nghỉ lễ'!$B$5:$B$25)-VLOOKUP(P126,'Thời hạn'!$A$17:$B$23,2,0))&gt;1,"Quá hạn"&amp;" "&amp;(NETWORKDAYS(R126,S126,'Danh sách ngày nghỉ lễ'!$B$5:$B$25)-1-VLOOKUP(P126,'Thời hạn'!$A$17:$B$23,2,0))&amp;" "&amp;"ngày","")))))</f>
        <v/>
      </c>
      <c r="Z126" s="23">
        <v>1</v>
      </c>
    </row>
    <row r="127" spans="1:26" x14ac:dyDescent="0.3">
      <c r="A127" s="24">
        <v>1</v>
      </c>
      <c r="B127" s="39"/>
      <c r="C127" s="33"/>
      <c r="D127" s="25"/>
      <c r="E127" s="25"/>
      <c r="F127" s="34"/>
      <c r="G127" s="34"/>
      <c r="H127" s="25"/>
      <c r="I127" s="70" t="str">
        <f>IF(C127="Trả lại đơn vụ","",IF(C127="Trả lại đơn việc","",IF(C127="Hòa giải thành","",IF(F127=0,"",EDATE(F127,VLOOKUP(C127,'Thời hạn'!$A$1:$B$10,2,0))+H127))))</f>
        <v/>
      </c>
      <c r="J127" s="59" t="str">
        <f t="shared" ca="1" si="1"/>
        <v/>
      </c>
      <c r="K127" s="25"/>
      <c r="L127" s="129"/>
      <c r="M127" s="130"/>
      <c r="N127" s="35"/>
      <c r="O127" s="34"/>
      <c r="P127" s="25"/>
      <c r="Q127" s="25"/>
      <c r="R127" s="34"/>
      <c r="S127" s="34"/>
      <c r="T127" s="137"/>
      <c r="U127" s="137"/>
      <c r="V127" s="36"/>
      <c r="W127" s="77"/>
      <c r="X127" s="71" t="str">
        <f>IF(C127="Trả lại đơn vụ","",IF(C127="Trả lại đơn việc","",IF((NETWORKDAYS(F127,G127,'Danh sách ngày nghỉ lễ'!$B$5:$B$25)-1-3)&gt;0,"Quá hạn"&amp;" "&amp;(NETWORKDAYS(F127,G127,'Danh sách ngày nghỉ lễ'!$B$5:$B$25)-1-3)&amp;" "&amp;"ngày","")))</f>
        <v/>
      </c>
      <c r="Y127" s="72" t="str">
        <f>IF(S127=0,"",IF(P127="Chuyển","",IF(P127="Nhập vào vụ khác","",IF(P127="BA",IF((S127-R127)&gt;10,"Quá hạn"&amp;" "&amp;(S127-R127-10)&amp;" "&amp;"ngày",""),IF((NETWORKDAYS(R127,S127,'Danh sách ngày nghỉ lễ'!$B$5:$B$25)-VLOOKUP(P127,'Thời hạn'!$A$17:$B$23,2,0))&gt;1,"Quá hạn"&amp;" "&amp;(NETWORKDAYS(R127,S127,'Danh sách ngày nghỉ lễ'!$B$5:$B$25)-1-VLOOKUP(P127,'Thời hạn'!$A$17:$B$23,2,0))&amp;" "&amp;"ngày","")))))</f>
        <v/>
      </c>
      <c r="Z127" s="23">
        <v>1</v>
      </c>
    </row>
    <row r="128" spans="1:26" x14ac:dyDescent="0.3">
      <c r="A128" s="24">
        <v>1</v>
      </c>
      <c r="B128" s="39"/>
      <c r="C128" s="33"/>
      <c r="D128" s="25"/>
      <c r="E128" s="25"/>
      <c r="F128" s="34"/>
      <c r="G128" s="34"/>
      <c r="H128" s="25"/>
      <c r="I128" s="70" t="str">
        <f>IF(C128="Trả lại đơn vụ","",IF(C128="Trả lại đơn việc","",IF(C128="Hòa giải thành","",IF(F128=0,"",EDATE(F128,VLOOKUP(C128,'Thời hạn'!$A$1:$B$10,2,0))+H128))))</f>
        <v/>
      </c>
      <c r="J128" s="59" t="str">
        <f t="shared" ca="1" si="1"/>
        <v/>
      </c>
      <c r="K128" s="25"/>
      <c r="L128" s="129"/>
      <c r="M128" s="130"/>
      <c r="N128" s="35"/>
      <c r="O128" s="34"/>
      <c r="P128" s="25"/>
      <c r="Q128" s="25"/>
      <c r="R128" s="34"/>
      <c r="S128" s="34"/>
      <c r="T128" s="137"/>
      <c r="U128" s="137"/>
      <c r="V128" s="36"/>
      <c r="W128" s="77"/>
      <c r="X128" s="71" t="str">
        <f>IF(C128="Trả lại đơn vụ","",IF(C128="Trả lại đơn việc","",IF((NETWORKDAYS(F128,G128,'Danh sách ngày nghỉ lễ'!$B$5:$B$25)-1-3)&gt;0,"Quá hạn"&amp;" "&amp;(NETWORKDAYS(F128,G128,'Danh sách ngày nghỉ lễ'!$B$5:$B$25)-1-3)&amp;" "&amp;"ngày","")))</f>
        <v/>
      </c>
      <c r="Y128" s="72" t="str">
        <f>IF(S128=0,"",IF(P128="Chuyển","",IF(P128="Nhập vào vụ khác","",IF(P128="BA",IF((S128-R128)&gt;10,"Quá hạn"&amp;" "&amp;(S128-R128-10)&amp;" "&amp;"ngày",""),IF((NETWORKDAYS(R128,S128,'Danh sách ngày nghỉ lễ'!$B$5:$B$25)-VLOOKUP(P128,'Thời hạn'!$A$17:$B$23,2,0))&gt;1,"Quá hạn"&amp;" "&amp;(NETWORKDAYS(R128,S128,'Danh sách ngày nghỉ lễ'!$B$5:$B$25)-1-VLOOKUP(P128,'Thời hạn'!$A$17:$B$23,2,0))&amp;" "&amp;"ngày","")))))</f>
        <v/>
      </c>
      <c r="Z128" s="23">
        <v>1</v>
      </c>
    </row>
    <row r="129" spans="1:26" x14ac:dyDescent="0.3">
      <c r="A129" s="24">
        <v>1</v>
      </c>
      <c r="B129" s="39"/>
      <c r="C129" s="33"/>
      <c r="D129" s="25"/>
      <c r="E129" s="25"/>
      <c r="F129" s="34"/>
      <c r="G129" s="34"/>
      <c r="H129" s="25"/>
      <c r="I129" s="70" t="str">
        <f>IF(C129="Trả lại đơn vụ","",IF(C129="Trả lại đơn việc","",IF(C129="Hòa giải thành","",IF(F129=0,"",EDATE(F129,VLOOKUP(C129,'Thời hạn'!$A$1:$B$10,2,0))+H129))))</f>
        <v/>
      </c>
      <c r="J129" s="59" t="str">
        <f t="shared" ca="1" si="1"/>
        <v/>
      </c>
      <c r="K129" s="25"/>
      <c r="L129" s="129"/>
      <c r="M129" s="130"/>
      <c r="N129" s="35"/>
      <c r="O129" s="34"/>
      <c r="P129" s="25"/>
      <c r="Q129" s="25"/>
      <c r="R129" s="34"/>
      <c r="S129" s="34"/>
      <c r="T129" s="137"/>
      <c r="U129" s="137"/>
      <c r="V129" s="36"/>
      <c r="W129" s="77"/>
      <c r="X129" s="71" t="str">
        <f>IF(C129="Trả lại đơn vụ","",IF(C129="Trả lại đơn việc","",IF((NETWORKDAYS(F129,G129,'Danh sách ngày nghỉ lễ'!$B$5:$B$25)-1-3)&gt;0,"Quá hạn"&amp;" "&amp;(NETWORKDAYS(F129,G129,'Danh sách ngày nghỉ lễ'!$B$5:$B$25)-1-3)&amp;" "&amp;"ngày","")))</f>
        <v/>
      </c>
      <c r="Y129" s="72" t="str">
        <f>IF(S129=0,"",IF(P129="Chuyển","",IF(P129="Nhập vào vụ khác","",IF(P129="BA",IF((S129-R129)&gt;10,"Quá hạn"&amp;" "&amp;(S129-R129-10)&amp;" "&amp;"ngày",""),IF((NETWORKDAYS(R129,S129,'Danh sách ngày nghỉ lễ'!$B$5:$B$25)-VLOOKUP(P129,'Thời hạn'!$A$17:$B$23,2,0))&gt;1,"Quá hạn"&amp;" "&amp;(NETWORKDAYS(R129,S129,'Danh sách ngày nghỉ lễ'!$B$5:$B$25)-1-VLOOKUP(P129,'Thời hạn'!$A$17:$B$23,2,0))&amp;" "&amp;"ngày","")))))</f>
        <v/>
      </c>
      <c r="Z129" s="23">
        <v>1</v>
      </c>
    </row>
    <row r="130" spans="1:26" x14ac:dyDescent="0.3">
      <c r="A130" s="24">
        <v>1</v>
      </c>
      <c r="B130" s="39"/>
      <c r="C130" s="33"/>
      <c r="D130" s="25"/>
      <c r="E130" s="25"/>
      <c r="F130" s="34"/>
      <c r="G130" s="34"/>
      <c r="H130" s="25"/>
      <c r="I130" s="70" t="str">
        <f>IF(C130="Trả lại đơn vụ","",IF(C130="Trả lại đơn việc","",IF(C130="Hòa giải thành","",IF(F130=0,"",EDATE(F130,VLOOKUP(C130,'Thời hạn'!$A$1:$B$10,2,0))+H130))))</f>
        <v/>
      </c>
      <c r="J130" s="59" t="str">
        <f t="shared" ca="1" si="1"/>
        <v/>
      </c>
      <c r="K130" s="25"/>
      <c r="L130" s="129"/>
      <c r="M130" s="130"/>
      <c r="N130" s="35"/>
      <c r="O130" s="34"/>
      <c r="P130" s="25"/>
      <c r="Q130" s="25"/>
      <c r="R130" s="34"/>
      <c r="S130" s="34"/>
      <c r="T130" s="137"/>
      <c r="U130" s="137"/>
      <c r="V130" s="36"/>
      <c r="W130" s="77"/>
      <c r="X130" s="71" t="str">
        <f>IF(C130="Trả lại đơn vụ","",IF(C130="Trả lại đơn việc","",IF((NETWORKDAYS(F130,G130,'Danh sách ngày nghỉ lễ'!$B$5:$B$25)-1-3)&gt;0,"Quá hạn"&amp;" "&amp;(NETWORKDAYS(F130,G130,'Danh sách ngày nghỉ lễ'!$B$5:$B$25)-1-3)&amp;" "&amp;"ngày","")))</f>
        <v/>
      </c>
      <c r="Y130" s="72" t="str">
        <f>IF(S130=0,"",IF(P130="Chuyển","",IF(P130="Nhập vào vụ khác","",IF(P130="BA",IF((S130-R130)&gt;10,"Quá hạn"&amp;" "&amp;(S130-R130-10)&amp;" "&amp;"ngày",""),IF((NETWORKDAYS(R130,S130,'Danh sách ngày nghỉ lễ'!$B$5:$B$25)-VLOOKUP(P130,'Thời hạn'!$A$17:$B$23,2,0))&gt;1,"Quá hạn"&amp;" "&amp;(NETWORKDAYS(R130,S130,'Danh sách ngày nghỉ lễ'!$B$5:$B$25)-1-VLOOKUP(P130,'Thời hạn'!$A$17:$B$23,2,0))&amp;" "&amp;"ngày","")))))</f>
        <v/>
      </c>
      <c r="Z130" s="23">
        <v>1</v>
      </c>
    </row>
    <row r="131" spans="1:26" x14ac:dyDescent="0.3">
      <c r="A131" s="24">
        <v>1</v>
      </c>
      <c r="B131" s="39"/>
      <c r="C131" s="33"/>
      <c r="D131" s="25"/>
      <c r="E131" s="25"/>
      <c r="F131" s="34"/>
      <c r="G131" s="34"/>
      <c r="H131" s="25"/>
      <c r="I131" s="70" t="str">
        <f>IF(C131="Trả lại đơn vụ","",IF(C131="Trả lại đơn việc","",IF(C131="Hòa giải thành","",IF(F131=0,"",EDATE(F131,VLOOKUP(C131,'Thời hạn'!$A$1:$B$10,2,0))+H131))))</f>
        <v/>
      </c>
      <c r="J131" s="59" t="str">
        <f t="shared" ca="1" si="1"/>
        <v/>
      </c>
      <c r="K131" s="25"/>
      <c r="L131" s="129"/>
      <c r="M131" s="130"/>
      <c r="N131" s="35"/>
      <c r="O131" s="34"/>
      <c r="P131" s="25"/>
      <c r="Q131" s="25"/>
      <c r="R131" s="34"/>
      <c r="S131" s="34"/>
      <c r="T131" s="137"/>
      <c r="U131" s="137"/>
      <c r="V131" s="36"/>
      <c r="W131" s="77"/>
      <c r="X131" s="71" t="str">
        <f>IF(C131="Trả lại đơn vụ","",IF(C131="Trả lại đơn việc","",IF((NETWORKDAYS(F131,G131,'Danh sách ngày nghỉ lễ'!$B$5:$B$25)-1-3)&gt;0,"Quá hạn"&amp;" "&amp;(NETWORKDAYS(F131,G131,'Danh sách ngày nghỉ lễ'!$B$5:$B$25)-1-3)&amp;" "&amp;"ngày","")))</f>
        <v/>
      </c>
      <c r="Y131" s="72" t="str">
        <f>IF(S131=0,"",IF(P131="Chuyển","",IF(P131="Nhập vào vụ khác","",IF(P131="BA",IF((S131-R131)&gt;10,"Quá hạn"&amp;" "&amp;(S131-R131-10)&amp;" "&amp;"ngày",""),IF((NETWORKDAYS(R131,S131,'Danh sách ngày nghỉ lễ'!$B$5:$B$25)-VLOOKUP(P131,'Thời hạn'!$A$17:$B$23,2,0))&gt;1,"Quá hạn"&amp;" "&amp;(NETWORKDAYS(R131,S131,'Danh sách ngày nghỉ lễ'!$B$5:$B$25)-1-VLOOKUP(P131,'Thời hạn'!$A$17:$B$23,2,0))&amp;" "&amp;"ngày","")))))</f>
        <v/>
      </c>
      <c r="Z131" s="23">
        <v>1</v>
      </c>
    </row>
    <row r="132" spans="1:26" x14ac:dyDescent="0.3">
      <c r="A132" s="24">
        <v>1</v>
      </c>
      <c r="B132" s="39"/>
      <c r="C132" s="33"/>
      <c r="D132" s="25"/>
      <c r="E132" s="25"/>
      <c r="F132" s="34"/>
      <c r="G132" s="34"/>
      <c r="H132" s="25"/>
      <c r="I132" s="70" t="str">
        <f>IF(C132="Trả lại đơn vụ","",IF(C132="Trả lại đơn việc","",IF(C132="Hòa giải thành","",IF(F132=0,"",EDATE(F132,VLOOKUP(C132,'Thời hạn'!$A$1:$B$10,2,0))+H132))))</f>
        <v/>
      </c>
      <c r="J132" s="59" t="str">
        <f t="shared" ca="1" si="1"/>
        <v/>
      </c>
      <c r="K132" s="25"/>
      <c r="L132" s="129"/>
      <c r="M132" s="130"/>
      <c r="N132" s="35"/>
      <c r="O132" s="34"/>
      <c r="P132" s="25"/>
      <c r="Q132" s="25"/>
      <c r="R132" s="34"/>
      <c r="S132" s="34"/>
      <c r="T132" s="137"/>
      <c r="U132" s="137"/>
      <c r="V132" s="36"/>
      <c r="W132" s="77"/>
      <c r="X132" s="71" t="str">
        <f>IF(C132="Trả lại đơn vụ","",IF(C132="Trả lại đơn việc","",IF((NETWORKDAYS(F132,G132,'Danh sách ngày nghỉ lễ'!$B$5:$B$25)-1-3)&gt;0,"Quá hạn"&amp;" "&amp;(NETWORKDAYS(F132,G132,'Danh sách ngày nghỉ lễ'!$B$5:$B$25)-1-3)&amp;" "&amp;"ngày","")))</f>
        <v/>
      </c>
      <c r="Y132" s="72" t="str">
        <f>IF(S132=0,"",IF(P132="Chuyển","",IF(P132="Nhập vào vụ khác","",IF(P132="BA",IF((S132-R132)&gt;10,"Quá hạn"&amp;" "&amp;(S132-R132-10)&amp;" "&amp;"ngày",""),IF((NETWORKDAYS(R132,S132,'Danh sách ngày nghỉ lễ'!$B$5:$B$25)-VLOOKUP(P132,'Thời hạn'!$A$17:$B$23,2,0))&gt;1,"Quá hạn"&amp;" "&amp;(NETWORKDAYS(R132,S132,'Danh sách ngày nghỉ lễ'!$B$5:$B$25)-1-VLOOKUP(P132,'Thời hạn'!$A$17:$B$23,2,0))&amp;" "&amp;"ngày","")))))</f>
        <v/>
      </c>
      <c r="Z132" s="23">
        <v>1</v>
      </c>
    </row>
    <row r="133" spans="1:26" x14ac:dyDescent="0.3">
      <c r="A133" s="24">
        <v>1</v>
      </c>
      <c r="B133" s="39"/>
      <c r="C133" s="33"/>
      <c r="D133" s="25"/>
      <c r="E133" s="25"/>
      <c r="F133" s="34"/>
      <c r="G133" s="34"/>
      <c r="H133" s="25"/>
      <c r="I133" s="70" t="str">
        <f>IF(C133="Trả lại đơn vụ","",IF(C133="Trả lại đơn việc","",IF(C133="Hòa giải thành","",IF(F133=0,"",EDATE(F133,VLOOKUP(C133,'Thời hạn'!$A$1:$B$10,2,0))+H133))))</f>
        <v/>
      </c>
      <c r="J133" s="59" t="str">
        <f t="shared" ca="1" si="1"/>
        <v/>
      </c>
      <c r="K133" s="25"/>
      <c r="L133" s="129"/>
      <c r="M133" s="130"/>
      <c r="N133" s="35"/>
      <c r="O133" s="34"/>
      <c r="P133" s="25"/>
      <c r="Q133" s="25"/>
      <c r="R133" s="34"/>
      <c r="S133" s="34"/>
      <c r="T133" s="137"/>
      <c r="U133" s="137"/>
      <c r="V133" s="36"/>
      <c r="W133" s="77"/>
      <c r="X133" s="71" t="str">
        <f>IF(C133="Trả lại đơn vụ","",IF(C133="Trả lại đơn việc","",IF((NETWORKDAYS(F133,G133,'Danh sách ngày nghỉ lễ'!$B$5:$B$25)-1-3)&gt;0,"Quá hạn"&amp;" "&amp;(NETWORKDAYS(F133,G133,'Danh sách ngày nghỉ lễ'!$B$5:$B$25)-1-3)&amp;" "&amp;"ngày","")))</f>
        <v/>
      </c>
      <c r="Y133" s="72" t="str">
        <f>IF(S133=0,"",IF(P133="Chuyển","",IF(P133="Nhập vào vụ khác","",IF(P133="BA",IF((S133-R133)&gt;10,"Quá hạn"&amp;" "&amp;(S133-R133-10)&amp;" "&amp;"ngày",""),IF((NETWORKDAYS(R133,S133,'Danh sách ngày nghỉ lễ'!$B$5:$B$25)-VLOOKUP(P133,'Thời hạn'!$A$17:$B$23,2,0))&gt;1,"Quá hạn"&amp;" "&amp;(NETWORKDAYS(R133,S133,'Danh sách ngày nghỉ lễ'!$B$5:$B$25)-1-VLOOKUP(P133,'Thời hạn'!$A$17:$B$23,2,0))&amp;" "&amp;"ngày","")))))</f>
        <v/>
      </c>
      <c r="Z133" s="23">
        <v>1</v>
      </c>
    </row>
    <row r="134" spans="1:26" x14ac:dyDescent="0.3">
      <c r="A134" s="24">
        <v>1</v>
      </c>
      <c r="B134" s="39"/>
      <c r="C134" s="33"/>
      <c r="D134" s="25"/>
      <c r="E134" s="25"/>
      <c r="F134" s="34"/>
      <c r="G134" s="34"/>
      <c r="H134" s="25"/>
      <c r="I134" s="70" t="str">
        <f>IF(C134="Trả lại đơn vụ","",IF(C134="Trả lại đơn việc","",IF(C134="Hòa giải thành","",IF(F134=0,"",EDATE(F134,VLOOKUP(C134,'Thời hạn'!$A$1:$B$10,2,0))+H134))))</f>
        <v/>
      </c>
      <c r="J134" s="59" t="str">
        <f t="shared" ca="1" si="1"/>
        <v/>
      </c>
      <c r="K134" s="25"/>
      <c r="L134" s="129"/>
      <c r="M134" s="130"/>
      <c r="N134" s="35"/>
      <c r="O134" s="34"/>
      <c r="P134" s="25"/>
      <c r="Q134" s="25"/>
      <c r="R134" s="34"/>
      <c r="S134" s="34"/>
      <c r="T134" s="137"/>
      <c r="U134" s="137"/>
      <c r="V134" s="36"/>
      <c r="W134" s="77"/>
      <c r="X134" s="71" t="str">
        <f>IF(C134="Trả lại đơn vụ","",IF(C134="Trả lại đơn việc","",IF((NETWORKDAYS(F134,G134,'Danh sách ngày nghỉ lễ'!$B$5:$B$25)-1-3)&gt;0,"Quá hạn"&amp;" "&amp;(NETWORKDAYS(F134,G134,'Danh sách ngày nghỉ lễ'!$B$5:$B$25)-1-3)&amp;" "&amp;"ngày","")))</f>
        <v/>
      </c>
      <c r="Y134" s="72" t="str">
        <f>IF(S134=0,"",IF(P134="Chuyển","",IF(P134="Nhập vào vụ khác","",IF(P134="BA",IF((S134-R134)&gt;10,"Quá hạn"&amp;" "&amp;(S134-R134-10)&amp;" "&amp;"ngày",""),IF((NETWORKDAYS(R134,S134,'Danh sách ngày nghỉ lễ'!$B$5:$B$25)-VLOOKUP(P134,'Thời hạn'!$A$17:$B$23,2,0))&gt;1,"Quá hạn"&amp;" "&amp;(NETWORKDAYS(R134,S134,'Danh sách ngày nghỉ lễ'!$B$5:$B$25)-1-VLOOKUP(P134,'Thời hạn'!$A$17:$B$23,2,0))&amp;" "&amp;"ngày","")))))</f>
        <v/>
      </c>
      <c r="Z134" s="23">
        <v>1</v>
      </c>
    </row>
    <row r="135" spans="1:26" x14ac:dyDescent="0.3">
      <c r="A135" s="24">
        <v>1</v>
      </c>
      <c r="B135" s="39"/>
      <c r="C135" s="33"/>
      <c r="D135" s="25"/>
      <c r="E135" s="25"/>
      <c r="F135" s="34"/>
      <c r="G135" s="34"/>
      <c r="H135" s="25"/>
      <c r="I135" s="70" t="str">
        <f>IF(C135="Trả lại đơn vụ","",IF(C135="Trả lại đơn việc","",IF(C135="Hòa giải thành","",IF(F135=0,"",EDATE(F135,VLOOKUP(C135,'Thời hạn'!$A$1:$B$10,2,0))+H135))))</f>
        <v/>
      </c>
      <c r="J135" s="59" t="str">
        <f t="shared" ca="1" si="1"/>
        <v/>
      </c>
      <c r="K135" s="25"/>
      <c r="L135" s="129"/>
      <c r="M135" s="130"/>
      <c r="N135" s="35"/>
      <c r="O135" s="34"/>
      <c r="P135" s="25"/>
      <c r="Q135" s="25"/>
      <c r="R135" s="34"/>
      <c r="S135" s="34"/>
      <c r="T135" s="137"/>
      <c r="U135" s="137"/>
      <c r="V135" s="36"/>
      <c r="W135" s="77"/>
      <c r="X135" s="71" t="str">
        <f>IF(C135="Trả lại đơn vụ","",IF(C135="Trả lại đơn việc","",IF((NETWORKDAYS(F135,G135,'Danh sách ngày nghỉ lễ'!$B$5:$B$25)-1-3)&gt;0,"Quá hạn"&amp;" "&amp;(NETWORKDAYS(F135,G135,'Danh sách ngày nghỉ lễ'!$B$5:$B$25)-1-3)&amp;" "&amp;"ngày","")))</f>
        <v/>
      </c>
      <c r="Y135" s="72" t="str">
        <f>IF(S135=0,"",IF(P135="Chuyển","",IF(P135="Nhập vào vụ khác","",IF(P135="BA",IF((S135-R135)&gt;10,"Quá hạn"&amp;" "&amp;(S135-R135-10)&amp;" "&amp;"ngày",""),IF((NETWORKDAYS(R135,S135,'Danh sách ngày nghỉ lễ'!$B$5:$B$25)-VLOOKUP(P135,'Thời hạn'!$A$17:$B$23,2,0))&gt;1,"Quá hạn"&amp;" "&amp;(NETWORKDAYS(R135,S135,'Danh sách ngày nghỉ lễ'!$B$5:$B$25)-1-VLOOKUP(P135,'Thời hạn'!$A$17:$B$23,2,0))&amp;" "&amp;"ngày","")))))</f>
        <v/>
      </c>
      <c r="Z135" s="23">
        <v>1</v>
      </c>
    </row>
    <row r="136" spans="1:26" x14ac:dyDescent="0.3">
      <c r="A136" s="24">
        <v>1</v>
      </c>
      <c r="B136" s="39"/>
      <c r="C136" s="33"/>
      <c r="D136" s="25"/>
      <c r="E136" s="25"/>
      <c r="F136" s="34"/>
      <c r="G136" s="34"/>
      <c r="H136" s="25"/>
      <c r="I136" s="70" t="str">
        <f>IF(C136="Trả lại đơn vụ","",IF(C136="Trả lại đơn việc","",IF(C136="Hòa giải thành","",IF(F136=0,"",EDATE(F136,VLOOKUP(C136,'Thời hạn'!$A$1:$B$10,2,0))+H136))))</f>
        <v/>
      </c>
      <c r="J136" s="59" t="str">
        <f t="shared" ca="1" si="1"/>
        <v/>
      </c>
      <c r="K136" s="25"/>
      <c r="L136" s="129"/>
      <c r="M136" s="130"/>
      <c r="N136" s="35"/>
      <c r="O136" s="34"/>
      <c r="P136" s="25"/>
      <c r="Q136" s="25"/>
      <c r="R136" s="34"/>
      <c r="S136" s="34"/>
      <c r="T136" s="137"/>
      <c r="U136" s="137"/>
      <c r="V136" s="36"/>
      <c r="W136" s="77"/>
      <c r="X136" s="71" t="str">
        <f>IF(C136="Trả lại đơn vụ","",IF(C136="Trả lại đơn việc","",IF((NETWORKDAYS(F136,G136,'Danh sách ngày nghỉ lễ'!$B$5:$B$25)-1-3)&gt;0,"Quá hạn"&amp;" "&amp;(NETWORKDAYS(F136,G136,'Danh sách ngày nghỉ lễ'!$B$5:$B$25)-1-3)&amp;" "&amp;"ngày","")))</f>
        <v/>
      </c>
      <c r="Y136" s="72" t="str">
        <f>IF(S136=0,"",IF(P136="Chuyển","",IF(P136="Nhập vào vụ khác","",IF(P136="BA",IF((S136-R136)&gt;10,"Quá hạn"&amp;" "&amp;(S136-R136-10)&amp;" "&amp;"ngày",""),IF((NETWORKDAYS(R136,S136,'Danh sách ngày nghỉ lễ'!$B$5:$B$25)-VLOOKUP(P136,'Thời hạn'!$A$17:$B$23,2,0))&gt;1,"Quá hạn"&amp;" "&amp;(NETWORKDAYS(R136,S136,'Danh sách ngày nghỉ lễ'!$B$5:$B$25)-1-VLOOKUP(P136,'Thời hạn'!$A$17:$B$23,2,0))&amp;" "&amp;"ngày","")))))</f>
        <v/>
      </c>
      <c r="Z136" s="23">
        <v>1</v>
      </c>
    </row>
    <row r="137" spans="1:26" x14ac:dyDescent="0.3">
      <c r="A137" s="24">
        <v>1</v>
      </c>
      <c r="B137" s="39"/>
      <c r="C137" s="33"/>
      <c r="D137" s="25"/>
      <c r="E137" s="25"/>
      <c r="F137" s="34"/>
      <c r="G137" s="34"/>
      <c r="H137" s="25"/>
      <c r="I137" s="70" t="str">
        <f>IF(C137="Trả lại đơn vụ","",IF(C137="Trả lại đơn việc","",IF(C137="Hòa giải thành","",IF(F137=0,"",EDATE(F137,VLOOKUP(C137,'Thời hạn'!$A$1:$B$10,2,0))+H137))))</f>
        <v/>
      </c>
      <c r="J137" s="59" t="str">
        <f t="shared" ca="1" si="1"/>
        <v/>
      </c>
      <c r="K137" s="25"/>
      <c r="L137" s="129"/>
      <c r="M137" s="130"/>
      <c r="N137" s="35"/>
      <c r="O137" s="34"/>
      <c r="P137" s="25"/>
      <c r="Q137" s="25"/>
      <c r="R137" s="34"/>
      <c r="S137" s="34"/>
      <c r="T137" s="137"/>
      <c r="U137" s="137"/>
      <c r="V137" s="36"/>
      <c r="W137" s="77"/>
      <c r="X137" s="71" t="str">
        <f>IF(C137="Trả lại đơn vụ","",IF(C137="Trả lại đơn việc","",IF((NETWORKDAYS(F137,G137,'Danh sách ngày nghỉ lễ'!$B$5:$B$25)-1-3)&gt;0,"Quá hạn"&amp;" "&amp;(NETWORKDAYS(F137,G137,'Danh sách ngày nghỉ lễ'!$B$5:$B$25)-1-3)&amp;" "&amp;"ngày","")))</f>
        <v/>
      </c>
      <c r="Y137" s="72" t="str">
        <f>IF(S137=0,"",IF(P137="Chuyển","",IF(P137="Nhập vào vụ khác","",IF(P137="BA",IF((S137-R137)&gt;10,"Quá hạn"&amp;" "&amp;(S137-R137-10)&amp;" "&amp;"ngày",""),IF((NETWORKDAYS(R137,S137,'Danh sách ngày nghỉ lễ'!$B$5:$B$25)-VLOOKUP(P137,'Thời hạn'!$A$17:$B$23,2,0))&gt;1,"Quá hạn"&amp;" "&amp;(NETWORKDAYS(R137,S137,'Danh sách ngày nghỉ lễ'!$B$5:$B$25)-1-VLOOKUP(P137,'Thời hạn'!$A$17:$B$23,2,0))&amp;" "&amp;"ngày","")))))</f>
        <v/>
      </c>
      <c r="Z137" s="23">
        <v>1</v>
      </c>
    </row>
    <row r="138" spans="1:26" x14ac:dyDescent="0.3">
      <c r="A138" s="24">
        <v>1</v>
      </c>
      <c r="B138" s="39"/>
      <c r="C138" s="33"/>
      <c r="D138" s="25"/>
      <c r="E138" s="25"/>
      <c r="F138" s="34"/>
      <c r="G138" s="34"/>
      <c r="H138" s="25"/>
      <c r="I138" s="70" t="str">
        <f>IF(C138="Trả lại đơn vụ","",IF(C138="Trả lại đơn việc","",IF(C138="Hòa giải thành","",IF(F138=0,"",EDATE(F138,VLOOKUP(C138,'Thời hạn'!$A$1:$B$10,2,0))+H138))))</f>
        <v/>
      </c>
      <c r="J138" s="59" t="str">
        <f t="shared" ca="1" si="1"/>
        <v/>
      </c>
      <c r="K138" s="25"/>
      <c r="L138" s="129"/>
      <c r="M138" s="130"/>
      <c r="N138" s="35"/>
      <c r="O138" s="34"/>
      <c r="P138" s="25"/>
      <c r="Q138" s="25"/>
      <c r="R138" s="34"/>
      <c r="S138" s="34"/>
      <c r="T138" s="137"/>
      <c r="U138" s="137"/>
      <c r="V138" s="36"/>
      <c r="W138" s="77"/>
      <c r="X138" s="71" t="str">
        <f>IF(C138="Trả lại đơn vụ","",IF(C138="Trả lại đơn việc","",IF((NETWORKDAYS(F138,G138,'Danh sách ngày nghỉ lễ'!$B$5:$B$25)-1-3)&gt;0,"Quá hạn"&amp;" "&amp;(NETWORKDAYS(F138,G138,'Danh sách ngày nghỉ lễ'!$B$5:$B$25)-1-3)&amp;" "&amp;"ngày","")))</f>
        <v/>
      </c>
      <c r="Y138" s="72" t="str">
        <f>IF(S138=0,"",IF(P138="Chuyển","",IF(P138="Nhập vào vụ khác","",IF(P138="BA",IF((S138-R138)&gt;10,"Quá hạn"&amp;" "&amp;(S138-R138-10)&amp;" "&amp;"ngày",""),IF((NETWORKDAYS(R138,S138,'Danh sách ngày nghỉ lễ'!$B$5:$B$25)-VLOOKUP(P138,'Thời hạn'!$A$17:$B$23,2,0))&gt;1,"Quá hạn"&amp;" "&amp;(NETWORKDAYS(R138,S138,'Danh sách ngày nghỉ lễ'!$B$5:$B$25)-1-VLOOKUP(P138,'Thời hạn'!$A$17:$B$23,2,0))&amp;" "&amp;"ngày","")))))</f>
        <v/>
      </c>
      <c r="Z138" s="23">
        <v>1</v>
      </c>
    </row>
    <row r="139" spans="1:26" x14ac:dyDescent="0.3">
      <c r="A139" s="24">
        <v>1</v>
      </c>
      <c r="B139" s="39"/>
      <c r="C139" s="33"/>
      <c r="D139" s="25"/>
      <c r="E139" s="25"/>
      <c r="F139" s="34"/>
      <c r="G139" s="34"/>
      <c r="H139" s="25"/>
      <c r="I139" s="70" t="str">
        <f>IF(C139="Trả lại đơn vụ","",IF(C139="Trả lại đơn việc","",IF(C139="Hòa giải thành","",IF(F139=0,"",EDATE(F139,VLOOKUP(C139,'Thời hạn'!$A$1:$B$10,2,0))+H139))))</f>
        <v/>
      </c>
      <c r="J139" s="59" t="str">
        <f t="shared" ref="J139:J202" ca="1" si="2">IF(C139="Trả lại đơn vụ","",IF(C139="Trả lại đơn việc","",IF(C139="Hòa giải thành","",IF(N139=0,IF(P139=0,IF(F139=0,"",I139-TODAY()+1),""),""))))</f>
        <v/>
      </c>
      <c r="K139" s="25"/>
      <c r="L139" s="129"/>
      <c r="M139" s="130"/>
      <c r="N139" s="35"/>
      <c r="O139" s="34"/>
      <c r="P139" s="25"/>
      <c r="Q139" s="25"/>
      <c r="R139" s="34"/>
      <c r="S139" s="34"/>
      <c r="T139" s="137"/>
      <c r="U139" s="137"/>
      <c r="V139" s="36"/>
      <c r="W139" s="77"/>
      <c r="X139" s="71" t="str">
        <f>IF(C139="Trả lại đơn vụ","",IF(C139="Trả lại đơn việc","",IF((NETWORKDAYS(F139,G139,'Danh sách ngày nghỉ lễ'!$B$5:$B$25)-1-3)&gt;0,"Quá hạn"&amp;" "&amp;(NETWORKDAYS(F139,G139,'Danh sách ngày nghỉ lễ'!$B$5:$B$25)-1-3)&amp;" "&amp;"ngày","")))</f>
        <v/>
      </c>
      <c r="Y139" s="72" t="str">
        <f>IF(S139=0,"",IF(P139="Chuyển","",IF(P139="Nhập vào vụ khác","",IF(P139="BA",IF((S139-R139)&gt;10,"Quá hạn"&amp;" "&amp;(S139-R139-10)&amp;" "&amp;"ngày",""),IF((NETWORKDAYS(R139,S139,'Danh sách ngày nghỉ lễ'!$B$5:$B$25)-VLOOKUP(P139,'Thời hạn'!$A$17:$B$23,2,0))&gt;1,"Quá hạn"&amp;" "&amp;(NETWORKDAYS(R139,S139,'Danh sách ngày nghỉ lễ'!$B$5:$B$25)-1-VLOOKUP(P139,'Thời hạn'!$A$17:$B$23,2,0))&amp;" "&amp;"ngày","")))))</f>
        <v/>
      </c>
      <c r="Z139" s="23">
        <v>1</v>
      </c>
    </row>
    <row r="140" spans="1:26" x14ac:dyDescent="0.3">
      <c r="A140" s="24">
        <v>1</v>
      </c>
      <c r="B140" s="39"/>
      <c r="C140" s="33"/>
      <c r="D140" s="25"/>
      <c r="E140" s="25"/>
      <c r="F140" s="34"/>
      <c r="G140" s="34"/>
      <c r="H140" s="25"/>
      <c r="I140" s="70" t="str">
        <f>IF(C140="Trả lại đơn vụ","",IF(C140="Trả lại đơn việc","",IF(C140="Hòa giải thành","",IF(F140=0,"",EDATE(F140,VLOOKUP(C140,'Thời hạn'!$A$1:$B$10,2,0))+H140))))</f>
        <v/>
      </c>
      <c r="J140" s="59" t="str">
        <f t="shared" ca="1" si="2"/>
        <v/>
      </c>
      <c r="K140" s="25"/>
      <c r="L140" s="129"/>
      <c r="M140" s="130"/>
      <c r="N140" s="35"/>
      <c r="O140" s="34"/>
      <c r="P140" s="25"/>
      <c r="Q140" s="25"/>
      <c r="R140" s="34"/>
      <c r="S140" s="34"/>
      <c r="T140" s="137"/>
      <c r="U140" s="137"/>
      <c r="V140" s="36"/>
      <c r="W140" s="77"/>
      <c r="X140" s="71" t="str">
        <f>IF(C140="Trả lại đơn vụ","",IF(C140="Trả lại đơn việc","",IF((NETWORKDAYS(F140,G140,'Danh sách ngày nghỉ lễ'!$B$5:$B$25)-1-3)&gt;0,"Quá hạn"&amp;" "&amp;(NETWORKDAYS(F140,G140,'Danh sách ngày nghỉ lễ'!$B$5:$B$25)-1-3)&amp;" "&amp;"ngày","")))</f>
        <v/>
      </c>
      <c r="Y140" s="72" t="str">
        <f>IF(S140=0,"",IF(P140="Chuyển","",IF(P140="Nhập vào vụ khác","",IF(P140="BA",IF((S140-R140)&gt;10,"Quá hạn"&amp;" "&amp;(S140-R140-10)&amp;" "&amp;"ngày",""),IF((NETWORKDAYS(R140,S140,'Danh sách ngày nghỉ lễ'!$B$5:$B$25)-VLOOKUP(P140,'Thời hạn'!$A$17:$B$23,2,0))&gt;1,"Quá hạn"&amp;" "&amp;(NETWORKDAYS(R140,S140,'Danh sách ngày nghỉ lễ'!$B$5:$B$25)-1-VLOOKUP(P140,'Thời hạn'!$A$17:$B$23,2,0))&amp;" "&amp;"ngày","")))))</f>
        <v/>
      </c>
      <c r="Z140" s="23">
        <v>1</v>
      </c>
    </row>
    <row r="141" spans="1:26" x14ac:dyDescent="0.3">
      <c r="A141" s="24">
        <v>1</v>
      </c>
      <c r="B141" s="39"/>
      <c r="C141" s="33"/>
      <c r="D141" s="25"/>
      <c r="E141" s="25"/>
      <c r="F141" s="34"/>
      <c r="G141" s="34"/>
      <c r="H141" s="25"/>
      <c r="I141" s="70" t="str">
        <f>IF(C141="Trả lại đơn vụ","",IF(C141="Trả lại đơn việc","",IF(C141="Hòa giải thành","",IF(F141=0,"",EDATE(F141,VLOOKUP(C141,'Thời hạn'!$A$1:$B$10,2,0))+H141))))</f>
        <v/>
      </c>
      <c r="J141" s="59" t="str">
        <f t="shared" ca="1" si="2"/>
        <v/>
      </c>
      <c r="K141" s="25"/>
      <c r="L141" s="129"/>
      <c r="M141" s="130"/>
      <c r="N141" s="35"/>
      <c r="O141" s="34"/>
      <c r="P141" s="25"/>
      <c r="Q141" s="25"/>
      <c r="R141" s="34"/>
      <c r="S141" s="34"/>
      <c r="T141" s="137"/>
      <c r="U141" s="137"/>
      <c r="V141" s="36"/>
      <c r="W141" s="77"/>
      <c r="X141" s="71" t="str">
        <f>IF(C141="Trả lại đơn vụ","",IF(C141="Trả lại đơn việc","",IF((NETWORKDAYS(F141,G141,'Danh sách ngày nghỉ lễ'!$B$5:$B$25)-1-3)&gt;0,"Quá hạn"&amp;" "&amp;(NETWORKDAYS(F141,G141,'Danh sách ngày nghỉ lễ'!$B$5:$B$25)-1-3)&amp;" "&amp;"ngày","")))</f>
        <v/>
      </c>
      <c r="Y141" s="72" t="str">
        <f>IF(S141=0,"",IF(P141="Chuyển","",IF(P141="Nhập vào vụ khác","",IF(P141="BA",IF((S141-R141)&gt;10,"Quá hạn"&amp;" "&amp;(S141-R141-10)&amp;" "&amp;"ngày",""),IF((NETWORKDAYS(R141,S141,'Danh sách ngày nghỉ lễ'!$B$5:$B$25)-VLOOKUP(P141,'Thời hạn'!$A$17:$B$23,2,0))&gt;1,"Quá hạn"&amp;" "&amp;(NETWORKDAYS(R141,S141,'Danh sách ngày nghỉ lễ'!$B$5:$B$25)-1-VLOOKUP(P141,'Thời hạn'!$A$17:$B$23,2,0))&amp;" "&amp;"ngày","")))))</f>
        <v/>
      </c>
      <c r="Z141" s="23">
        <v>1</v>
      </c>
    </row>
    <row r="142" spans="1:26" x14ac:dyDescent="0.3">
      <c r="A142" s="24">
        <v>1</v>
      </c>
      <c r="B142" s="39"/>
      <c r="C142" s="33"/>
      <c r="D142" s="25"/>
      <c r="E142" s="25"/>
      <c r="F142" s="34"/>
      <c r="G142" s="34"/>
      <c r="H142" s="25"/>
      <c r="I142" s="70" t="str">
        <f>IF(C142="Trả lại đơn vụ","",IF(C142="Trả lại đơn việc","",IF(C142="Hòa giải thành","",IF(F142=0,"",EDATE(F142,VLOOKUP(C142,'Thời hạn'!$A$1:$B$10,2,0))+H142))))</f>
        <v/>
      </c>
      <c r="J142" s="59" t="str">
        <f t="shared" ca="1" si="2"/>
        <v/>
      </c>
      <c r="K142" s="25"/>
      <c r="L142" s="129"/>
      <c r="M142" s="130"/>
      <c r="N142" s="35"/>
      <c r="O142" s="34"/>
      <c r="P142" s="25"/>
      <c r="Q142" s="25"/>
      <c r="R142" s="34"/>
      <c r="S142" s="34"/>
      <c r="T142" s="137"/>
      <c r="U142" s="137"/>
      <c r="V142" s="36"/>
      <c r="W142" s="77"/>
      <c r="X142" s="71" t="str">
        <f>IF(C142="Trả lại đơn vụ","",IF(C142="Trả lại đơn việc","",IF((NETWORKDAYS(F142,G142,'Danh sách ngày nghỉ lễ'!$B$5:$B$25)-1-3)&gt;0,"Quá hạn"&amp;" "&amp;(NETWORKDAYS(F142,G142,'Danh sách ngày nghỉ lễ'!$B$5:$B$25)-1-3)&amp;" "&amp;"ngày","")))</f>
        <v/>
      </c>
      <c r="Y142" s="72" t="str">
        <f>IF(S142=0,"",IF(P142="Chuyển","",IF(P142="Nhập vào vụ khác","",IF(P142="BA",IF((S142-R142)&gt;10,"Quá hạn"&amp;" "&amp;(S142-R142-10)&amp;" "&amp;"ngày",""),IF((NETWORKDAYS(R142,S142,'Danh sách ngày nghỉ lễ'!$B$5:$B$25)-VLOOKUP(P142,'Thời hạn'!$A$17:$B$23,2,0))&gt;1,"Quá hạn"&amp;" "&amp;(NETWORKDAYS(R142,S142,'Danh sách ngày nghỉ lễ'!$B$5:$B$25)-1-VLOOKUP(P142,'Thời hạn'!$A$17:$B$23,2,0))&amp;" "&amp;"ngày","")))))</f>
        <v/>
      </c>
      <c r="Z142" s="23">
        <v>1</v>
      </c>
    </row>
    <row r="143" spans="1:26" x14ac:dyDescent="0.3">
      <c r="A143" s="24">
        <v>1</v>
      </c>
      <c r="B143" s="39"/>
      <c r="C143" s="33"/>
      <c r="D143" s="25"/>
      <c r="E143" s="25"/>
      <c r="F143" s="34"/>
      <c r="G143" s="34"/>
      <c r="H143" s="25"/>
      <c r="I143" s="70" t="str">
        <f>IF(C143="Trả lại đơn vụ","",IF(C143="Trả lại đơn việc","",IF(C143="Hòa giải thành","",IF(F143=0,"",EDATE(F143,VLOOKUP(C143,'Thời hạn'!$A$1:$B$10,2,0))+H143))))</f>
        <v/>
      </c>
      <c r="J143" s="59" t="str">
        <f t="shared" ca="1" si="2"/>
        <v/>
      </c>
      <c r="K143" s="25"/>
      <c r="L143" s="129"/>
      <c r="M143" s="130"/>
      <c r="N143" s="35"/>
      <c r="O143" s="34"/>
      <c r="P143" s="25"/>
      <c r="Q143" s="25"/>
      <c r="R143" s="34"/>
      <c r="S143" s="34"/>
      <c r="T143" s="137"/>
      <c r="U143" s="137"/>
      <c r="V143" s="36"/>
      <c r="W143" s="77"/>
      <c r="X143" s="71" t="str">
        <f>IF(C143="Trả lại đơn vụ","",IF(C143="Trả lại đơn việc","",IF((NETWORKDAYS(F143,G143,'Danh sách ngày nghỉ lễ'!$B$5:$B$25)-1-3)&gt;0,"Quá hạn"&amp;" "&amp;(NETWORKDAYS(F143,G143,'Danh sách ngày nghỉ lễ'!$B$5:$B$25)-1-3)&amp;" "&amp;"ngày","")))</f>
        <v/>
      </c>
      <c r="Y143" s="72" t="str">
        <f>IF(S143=0,"",IF(P143="Chuyển","",IF(P143="Nhập vào vụ khác","",IF(P143="BA",IF((S143-R143)&gt;10,"Quá hạn"&amp;" "&amp;(S143-R143-10)&amp;" "&amp;"ngày",""),IF((NETWORKDAYS(R143,S143,'Danh sách ngày nghỉ lễ'!$B$5:$B$25)-VLOOKUP(P143,'Thời hạn'!$A$17:$B$23,2,0))&gt;1,"Quá hạn"&amp;" "&amp;(NETWORKDAYS(R143,S143,'Danh sách ngày nghỉ lễ'!$B$5:$B$25)-1-VLOOKUP(P143,'Thời hạn'!$A$17:$B$23,2,0))&amp;" "&amp;"ngày","")))))</f>
        <v/>
      </c>
      <c r="Z143" s="23">
        <v>1</v>
      </c>
    </row>
    <row r="144" spans="1:26" x14ac:dyDescent="0.3">
      <c r="A144" s="24">
        <v>1</v>
      </c>
      <c r="B144" s="39"/>
      <c r="C144" s="33"/>
      <c r="D144" s="25"/>
      <c r="E144" s="25"/>
      <c r="F144" s="34"/>
      <c r="G144" s="34"/>
      <c r="H144" s="25"/>
      <c r="I144" s="70" t="str">
        <f>IF(C144="Trả lại đơn vụ","",IF(C144="Trả lại đơn việc","",IF(C144="Hòa giải thành","",IF(F144=0,"",EDATE(F144,VLOOKUP(C144,'Thời hạn'!$A$1:$B$10,2,0))+H144))))</f>
        <v/>
      </c>
      <c r="J144" s="59" t="str">
        <f t="shared" ca="1" si="2"/>
        <v/>
      </c>
      <c r="K144" s="25"/>
      <c r="L144" s="129"/>
      <c r="M144" s="130"/>
      <c r="N144" s="35"/>
      <c r="O144" s="34"/>
      <c r="P144" s="25"/>
      <c r="Q144" s="25"/>
      <c r="R144" s="34"/>
      <c r="S144" s="34"/>
      <c r="T144" s="137"/>
      <c r="U144" s="137"/>
      <c r="V144" s="36"/>
      <c r="W144" s="77"/>
      <c r="X144" s="71" t="str">
        <f>IF(C144="Trả lại đơn vụ","",IF(C144="Trả lại đơn việc","",IF((NETWORKDAYS(F144,G144,'Danh sách ngày nghỉ lễ'!$B$5:$B$25)-1-3)&gt;0,"Quá hạn"&amp;" "&amp;(NETWORKDAYS(F144,G144,'Danh sách ngày nghỉ lễ'!$B$5:$B$25)-1-3)&amp;" "&amp;"ngày","")))</f>
        <v/>
      </c>
      <c r="Y144" s="72" t="str">
        <f>IF(S144=0,"",IF(P144="Chuyển","",IF(P144="Nhập vào vụ khác","",IF(P144="BA",IF((S144-R144)&gt;10,"Quá hạn"&amp;" "&amp;(S144-R144-10)&amp;" "&amp;"ngày",""),IF((NETWORKDAYS(R144,S144,'Danh sách ngày nghỉ lễ'!$B$5:$B$25)-VLOOKUP(P144,'Thời hạn'!$A$17:$B$23,2,0))&gt;1,"Quá hạn"&amp;" "&amp;(NETWORKDAYS(R144,S144,'Danh sách ngày nghỉ lễ'!$B$5:$B$25)-1-VLOOKUP(P144,'Thời hạn'!$A$17:$B$23,2,0))&amp;" "&amp;"ngày","")))))</f>
        <v/>
      </c>
      <c r="Z144" s="23">
        <v>1</v>
      </c>
    </row>
    <row r="145" spans="1:26" x14ac:dyDescent="0.3">
      <c r="A145" s="24">
        <v>1</v>
      </c>
      <c r="B145" s="39"/>
      <c r="C145" s="33"/>
      <c r="D145" s="25"/>
      <c r="E145" s="25"/>
      <c r="F145" s="34"/>
      <c r="G145" s="34"/>
      <c r="H145" s="25"/>
      <c r="I145" s="70" t="str">
        <f>IF(C145="Trả lại đơn vụ","",IF(C145="Trả lại đơn việc","",IF(C145="Hòa giải thành","",IF(F145=0,"",EDATE(F145,VLOOKUP(C145,'Thời hạn'!$A$1:$B$10,2,0))+H145))))</f>
        <v/>
      </c>
      <c r="J145" s="59" t="str">
        <f t="shared" ca="1" si="2"/>
        <v/>
      </c>
      <c r="K145" s="25"/>
      <c r="L145" s="129"/>
      <c r="M145" s="130"/>
      <c r="N145" s="35"/>
      <c r="O145" s="34"/>
      <c r="P145" s="25"/>
      <c r="Q145" s="25"/>
      <c r="R145" s="34"/>
      <c r="S145" s="34"/>
      <c r="T145" s="137"/>
      <c r="U145" s="137"/>
      <c r="V145" s="36"/>
      <c r="W145" s="77"/>
      <c r="X145" s="71" t="str">
        <f>IF(C145="Trả lại đơn vụ","",IF(C145="Trả lại đơn việc","",IF((NETWORKDAYS(F145,G145,'Danh sách ngày nghỉ lễ'!$B$5:$B$25)-1-3)&gt;0,"Quá hạn"&amp;" "&amp;(NETWORKDAYS(F145,G145,'Danh sách ngày nghỉ lễ'!$B$5:$B$25)-1-3)&amp;" "&amp;"ngày","")))</f>
        <v/>
      </c>
      <c r="Y145" s="72" t="str">
        <f>IF(S145=0,"",IF(P145="Chuyển","",IF(P145="Nhập vào vụ khác","",IF(P145="BA",IF((S145-R145)&gt;10,"Quá hạn"&amp;" "&amp;(S145-R145-10)&amp;" "&amp;"ngày",""),IF((NETWORKDAYS(R145,S145,'Danh sách ngày nghỉ lễ'!$B$5:$B$25)-VLOOKUP(P145,'Thời hạn'!$A$17:$B$23,2,0))&gt;1,"Quá hạn"&amp;" "&amp;(NETWORKDAYS(R145,S145,'Danh sách ngày nghỉ lễ'!$B$5:$B$25)-1-VLOOKUP(P145,'Thời hạn'!$A$17:$B$23,2,0))&amp;" "&amp;"ngày","")))))</f>
        <v/>
      </c>
      <c r="Z145" s="23">
        <v>1</v>
      </c>
    </row>
    <row r="146" spans="1:26" x14ac:dyDescent="0.3">
      <c r="A146" s="24">
        <v>1</v>
      </c>
      <c r="B146" s="39"/>
      <c r="C146" s="33"/>
      <c r="D146" s="25"/>
      <c r="E146" s="25"/>
      <c r="F146" s="34"/>
      <c r="G146" s="34"/>
      <c r="H146" s="25"/>
      <c r="I146" s="70" t="str">
        <f>IF(C146="Trả lại đơn vụ","",IF(C146="Trả lại đơn việc","",IF(C146="Hòa giải thành","",IF(F146=0,"",EDATE(F146,VLOOKUP(C146,'Thời hạn'!$A$1:$B$10,2,0))+H146))))</f>
        <v/>
      </c>
      <c r="J146" s="59" t="str">
        <f t="shared" ca="1" si="2"/>
        <v/>
      </c>
      <c r="K146" s="25"/>
      <c r="L146" s="129"/>
      <c r="M146" s="130"/>
      <c r="N146" s="35"/>
      <c r="O146" s="34"/>
      <c r="P146" s="25"/>
      <c r="Q146" s="25"/>
      <c r="R146" s="34"/>
      <c r="S146" s="34"/>
      <c r="T146" s="137"/>
      <c r="U146" s="137"/>
      <c r="V146" s="36"/>
      <c r="W146" s="77"/>
      <c r="X146" s="71" t="str">
        <f>IF(C146="Trả lại đơn vụ","",IF(C146="Trả lại đơn việc","",IF((NETWORKDAYS(F146,G146,'Danh sách ngày nghỉ lễ'!$B$5:$B$25)-1-3)&gt;0,"Quá hạn"&amp;" "&amp;(NETWORKDAYS(F146,G146,'Danh sách ngày nghỉ lễ'!$B$5:$B$25)-1-3)&amp;" "&amp;"ngày","")))</f>
        <v/>
      </c>
      <c r="Y146" s="72" t="str">
        <f>IF(S146=0,"",IF(P146="Chuyển","",IF(P146="Nhập vào vụ khác","",IF(P146="BA",IF((S146-R146)&gt;10,"Quá hạn"&amp;" "&amp;(S146-R146-10)&amp;" "&amp;"ngày",""),IF((NETWORKDAYS(R146,S146,'Danh sách ngày nghỉ lễ'!$B$5:$B$25)-VLOOKUP(P146,'Thời hạn'!$A$17:$B$23,2,0))&gt;1,"Quá hạn"&amp;" "&amp;(NETWORKDAYS(R146,S146,'Danh sách ngày nghỉ lễ'!$B$5:$B$25)-1-VLOOKUP(P146,'Thời hạn'!$A$17:$B$23,2,0))&amp;" "&amp;"ngày","")))))</f>
        <v/>
      </c>
      <c r="Z146" s="23">
        <v>1</v>
      </c>
    </row>
    <row r="147" spans="1:26" x14ac:dyDescent="0.3">
      <c r="A147" s="24">
        <v>1</v>
      </c>
      <c r="B147" s="39"/>
      <c r="C147" s="33"/>
      <c r="D147" s="25"/>
      <c r="E147" s="25"/>
      <c r="F147" s="34"/>
      <c r="G147" s="34"/>
      <c r="H147" s="25"/>
      <c r="I147" s="70" t="str">
        <f>IF(C147="Trả lại đơn vụ","",IF(C147="Trả lại đơn việc","",IF(C147="Hòa giải thành","",IF(F147=0,"",EDATE(F147,VLOOKUP(C147,'Thời hạn'!$A$1:$B$10,2,0))+H147))))</f>
        <v/>
      </c>
      <c r="J147" s="59" t="str">
        <f t="shared" ca="1" si="2"/>
        <v/>
      </c>
      <c r="K147" s="25"/>
      <c r="L147" s="129"/>
      <c r="M147" s="130"/>
      <c r="N147" s="35"/>
      <c r="O147" s="34"/>
      <c r="P147" s="25"/>
      <c r="Q147" s="25"/>
      <c r="R147" s="34"/>
      <c r="S147" s="34"/>
      <c r="T147" s="137"/>
      <c r="U147" s="137"/>
      <c r="V147" s="36"/>
      <c r="W147" s="77"/>
      <c r="X147" s="71" t="str">
        <f>IF(C147="Trả lại đơn vụ","",IF(C147="Trả lại đơn việc","",IF((NETWORKDAYS(F147,G147,'Danh sách ngày nghỉ lễ'!$B$5:$B$25)-1-3)&gt;0,"Quá hạn"&amp;" "&amp;(NETWORKDAYS(F147,G147,'Danh sách ngày nghỉ lễ'!$B$5:$B$25)-1-3)&amp;" "&amp;"ngày","")))</f>
        <v/>
      </c>
      <c r="Y147" s="72" t="str">
        <f>IF(S147=0,"",IF(P147="Chuyển","",IF(P147="Nhập vào vụ khác","",IF(P147="BA",IF((S147-R147)&gt;10,"Quá hạn"&amp;" "&amp;(S147-R147-10)&amp;" "&amp;"ngày",""),IF((NETWORKDAYS(R147,S147,'Danh sách ngày nghỉ lễ'!$B$5:$B$25)-VLOOKUP(P147,'Thời hạn'!$A$17:$B$23,2,0))&gt;1,"Quá hạn"&amp;" "&amp;(NETWORKDAYS(R147,S147,'Danh sách ngày nghỉ lễ'!$B$5:$B$25)-1-VLOOKUP(P147,'Thời hạn'!$A$17:$B$23,2,0))&amp;" "&amp;"ngày","")))))</f>
        <v/>
      </c>
      <c r="Z147" s="23">
        <v>1</v>
      </c>
    </row>
    <row r="148" spans="1:26" x14ac:dyDescent="0.3">
      <c r="A148" s="24">
        <v>1</v>
      </c>
      <c r="B148" s="39"/>
      <c r="C148" s="33"/>
      <c r="D148" s="25"/>
      <c r="E148" s="25"/>
      <c r="F148" s="34"/>
      <c r="G148" s="34"/>
      <c r="H148" s="25"/>
      <c r="I148" s="70" t="str">
        <f>IF(C148="Trả lại đơn vụ","",IF(C148="Trả lại đơn việc","",IF(C148="Hòa giải thành","",IF(F148=0,"",EDATE(F148,VLOOKUP(C148,'Thời hạn'!$A$1:$B$10,2,0))+H148))))</f>
        <v/>
      </c>
      <c r="J148" s="59" t="str">
        <f t="shared" ca="1" si="2"/>
        <v/>
      </c>
      <c r="K148" s="25"/>
      <c r="L148" s="129"/>
      <c r="M148" s="130"/>
      <c r="N148" s="35"/>
      <c r="O148" s="34"/>
      <c r="P148" s="25"/>
      <c r="Q148" s="25"/>
      <c r="R148" s="34"/>
      <c r="S148" s="34"/>
      <c r="T148" s="137"/>
      <c r="U148" s="137"/>
      <c r="V148" s="36"/>
      <c r="W148" s="77"/>
      <c r="X148" s="71" t="str">
        <f>IF(C148="Trả lại đơn vụ","",IF(C148="Trả lại đơn việc","",IF((NETWORKDAYS(F148,G148,'Danh sách ngày nghỉ lễ'!$B$5:$B$25)-1-3)&gt;0,"Quá hạn"&amp;" "&amp;(NETWORKDAYS(F148,G148,'Danh sách ngày nghỉ lễ'!$B$5:$B$25)-1-3)&amp;" "&amp;"ngày","")))</f>
        <v/>
      </c>
      <c r="Y148" s="72" t="str">
        <f>IF(S148=0,"",IF(P148="Chuyển","",IF(P148="Nhập vào vụ khác","",IF(P148="BA",IF((S148-R148)&gt;10,"Quá hạn"&amp;" "&amp;(S148-R148-10)&amp;" "&amp;"ngày",""),IF((NETWORKDAYS(R148,S148,'Danh sách ngày nghỉ lễ'!$B$5:$B$25)-VLOOKUP(P148,'Thời hạn'!$A$17:$B$23,2,0))&gt;1,"Quá hạn"&amp;" "&amp;(NETWORKDAYS(R148,S148,'Danh sách ngày nghỉ lễ'!$B$5:$B$25)-1-VLOOKUP(P148,'Thời hạn'!$A$17:$B$23,2,0))&amp;" "&amp;"ngày","")))))</f>
        <v/>
      </c>
      <c r="Z148" s="23">
        <v>1</v>
      </c>
    </row>
    <row r="149" spans="1:26" x14ac:dyDescent="0.3">
      <c r="A149" s="24">
        <v>1</v>
      </c>
      <c r="B149" s="39"/>
      <c r="C149" s="33"/>
      <c r="D149" s="25"/>
      <c r="E149" s="25"/>
      <c r="F149" s="34"/>
      <c r="G149" s="34"/>
      <c r="H149" s="25"/>
      <c r="I149" s="70" t="str">
        <f>IF(C149="Trả lại đơn vụ","",IF(C149="Trả lại đơn việc","",IF(C149="Hòa giải thành","",IF(F149=0,"",EDATE(F149,VLOOKUP(C149,'Thời hạn'!$A$1:$B$10,2,0))+H149))))</f>
        <v/>
      </c>
      <c r="J149" s="59" t="str">
        <f t="shared" ca="1" si="2"/>
        <v/>
      </c>
      <c r="K149" s="25"/>
      <c r="L149" s="129"/>
      <c r="M149" s="130"/>
      <c r="N149" s="35"/>
      <c r="O149" s="34"/>
      <c r="P149" s="25"/>
      <c r="Q149" s="25"/>
      <c r="R149" s="34"/>
      <c r="S149" s="34"/>
      <c r="T149" s="137"/>
      <c r="U149" s="137"/>
      <c r="V149" s="36"/>
      <c r="W149" s="77"/>
      <c r="X149" s="71" t="str">
        <f>IF(C149="Trả lại đơn vụ","",IF(C149="Trả lại đơn việc","",IF((NETWORKDAYS(F149,G149,'Danh sách ngày nghỉ lễ'!$B$5:$B$25)-1-3)&gt;0,"Quá hạn"&amp;" "&amp;(NETWORKDAYS(F149,G149,'Danh sách ngày nghỉ lễ'!$B$5:$B$25)-1-3)&amp;" "&amp;"ngày","")))</f>
        <v/>
      </c>
      <c r="Y149" s="72" t="str">
        <f>IF(S149=0,"",IF(P149="Chuyển","",IF(P149="Nhập vào vụ khác","",IF(P149="BA",IF((S149-R149)&gt;10,"Quá hạn"&amp;" "&amp;(S149-R149-10)&amp;" "&amp;"ngày",""),IF((NETWORKDAYS(R149,S149,'Danh sách ngày nghỉ lễ'!$B$5:$B$25)-VLOOKUP(P149,'Thời hạn'!$A$17:$B$23,2,0))&gt;1,"Quá hạn"&amp;" "&amp;(NETWORKDAYS(R149,S149,'Danh sách ngày nghỉ lễ'!$B$5:$B$25)-1-VLOOKUP(P149,'Thời hạn'!$A$17:$B$23,2,0))&amp;" "&amp;"ngày","")))))</f>
        <v/>
      </c>
      <c r="Z149" s="23">
        <v>1</v>
      </c>
    </row>
    <row r="150" spans="1:26" x14ac:dyDescent="0.3">
      <c r="A150" s="24">
        <v>1</v>
      </c>
      <c r="B150" s="39"/>
      <c r="C150" s="33"/>
      <c r="D150" s="25"/>
      <c r="E150" s="25"/>
      <c r="F150" s="34"/>
      <c r="G150" s="34"/>
      <c r="H150" s="25"/>
      <c r="I150" s="70" t="str">
        <f>IF(C150="Trả lại đơn vụ","",IF(C150="Trả lại đơn việc","",IF(C150="Hòa giải thành","",IF(F150=0,"",EDATE(F150,VLOOKUP(C150,'Thời hạn'!$A$1:$B$10,2,0))+H150))))</f>
        <v/>
      </c>
      <c r="J150" s="59" t="str">
        <f t="shared" ca="1" si="2"/>
        <v/>
      </c>
      <c r="K150" s="25"/>
      <c r="L150" s="129"/>
      <c r="M150" s="130"/>
      <c r="N150" s="35"/>
      <c r="O150" s="34"/>
      <c r="P150" s="25"/>
      <c r="Q150" s="25"/>
      <c r="R150" s="34"/>
      <c r="S150" s="34"/>
      <c r="T150" s="137"/>
      <c r="U150" s="137"/>
      <c r="V150" s="36"/>
      <c r="W150" s="77"/>
      <c r="X150" s="71" t="str">
        <f>IF(C150="Trả lại đơn vụ","",IF(C150="Trả lại đơn việc","",IF((NETWORKDAYS(F150,G150,'Danh sách ngày nghỉ lễ'!$B$5:$B$25)-1-3)&gt;0,"Quá hạn"&amp;" "&amp;(NETWORKDAYS(F150,G150,'Danh sách ngày nghỉ lễ'!$B$5:$B$25)-1-3)&amp;" "&amp;"ngày","")))</f>
        <v/>
      </c>
      <c r="Y150" s="72" t="str">
        <f>IF(S150=0,"",IF(P150="Chuyển","",IF(P150="Nhập vào vụ khác","",IF(P150="BA",IF((S150-R150)&gt;10,"Quá hạn"&amp;" "&amp;(S150-R150-10)&amp;" "&amp;"ngày",""),IF((NETWORKDAYS(R150,S150,'Danh sách ngày nghỉ lễ'!$B$5:$B$25)-VLOOKUP(P150,'Thời hạn'!$A$17:$B$23,2,0))&gt;1,"Quá hạn"&amp;" "&amp;(NETWORKDAYS(R150,S150,'Danh sách ngày nghỉ lễ'!$B$5:$B$25)-1-VLOOKUP(P150,'Thời hạn'!$A$17:$B$23,2,0))&amp;" "&amp;"ngày","")))))</f>
        <v/>
      </c>
      <c r="Z150" s="23">
        <v>1</v>
      </c>
    </row>
    <row r="151" spans="1:26" x14ac:dyDescent="0.3">
      <c r="A151" s="24">
        <v>1</v>
      </c>
      <c r="B151" s="39"/>
      <c r="C151" s="33"/>
      <c r="D151" s="25"/>
      <c r="E151" s="25"/>
      <c r="F151" s="34"/>
      <c r="G151" s="34"/>
      <c r="H151" s="25"/>
      <c r="I151" s="70" t="str">
        <f>IF(C151="Trả lại đơn vụ","",IF(C151="Trả lại đơn việc","",IF(C151="Hòa giải thành","",IF(F151=0,"",EDATE(F151,VLOOKUP(C151,'Thời hạn'!$A$1:$B$10,2,0))+H151))))</f>
        <v/>
      </c>
      <c r="J151" s="59" t="str">
        <f t="shared" ca="1" si="2"/>
        <v/>
      </c>
      <c r="K151" s="25"/>
      <c r="L151" s="129"/>
      <c r="M151" s="130"/>
      <c r="N151" s="35"/>
      <c r="O151" s="34"/>
      <c r="P151" s="25"/>
      <c r="Q151" s="25"/>
      <c r="R151" s="34"/>
      <c r="S151" s="34"/>
      <c r="T151" s="137"/>
      <c r="U151" s="137"/>
      <c r="V151" s="36"/>
      <c r="W151" s="77"/>
      <c r="X151" s="71" t="str">
        <f>IF(C151="Trả lại đơn vụ","",IF(C151="Trả lại đơn việc","",IF((NETWORKDAYS(F151,G151,'Danh sách ngày nghỉ lễ'!$B$5:$B$25)-1-3)&gt;0,"Quá hạn"&amp;" "&amp;(NETWORKDAYS(F151,G151,'Danh sách ngày nghỉ lễ'!$B$5:$B$25)-1-3)&amp;" "&amp;"ngày","")))</f>
        <v/>
      </c>
      <c r="Y151" s="72" t="str">
        <f>IF(S151=0,"",IF(P151="Chuyển","",IF(P151="Nhập vào vụ khác","",IF(P151="BA",IF((S151-R151)&gt;10,"Quá hạn"&amp;" "&amp;(S151-R151-10)&amp;" "&amp;"ngày",""),IF((NETWORKDAYS(R151,S151,'Danh sách ngày nghỉ lễ'!$B$5:$B$25)-VLOOKUP(P151,'Thời hạn'!$A$17:$B$23,2,0))&gt;1,"Quá hạn"&amp;" "&amp;(NETWORKDAYS(R151,S151,'Danh sách ngày nghỉ lễ'!$B$5:$B$25)-1-VLOOKUP(P151,'Thời hạn'!$A$17:$B$23,2,0))&amp;" "&amp;"ngày","")))))</f>
        <v/>
      </c>
      <c r="Z151" s="23">
        <v>1</v>
      </c>
    </row>
    <row r="152" spans="1:26" x14ac:dyDescent="0.3">
      <c r="A152" s="24">
        <v>1</v>
      </c>
      <c r="B152" s="39"/>
      <c r="C152" s="33"/>
      <c r="D152" s="25"/>
      <c r="E152" s="25"/>
      <c r="F152" s="34"/>
      <c r="G152" s="34"/>
      <c r="H152" s="25"/>
      <c r="I152" s="70" t="str">
        <f>IF(C152="Trả lại đơn vụ","",IF(C152="Trả lại đơn việc","",IF(C152="Hòa giải thành","",IF(F152=0,"",EDATE(F152,VLOOKUP(C152,'Thời hạn'!$A$1:$B$10,2,0))+H152))))</f>
        <v/>
      </c>
      <c r="J152" s="59" t="str">
        <f t="shared" ca="1" si="2"/>
        <v/>
      </c>
      <c r="K152" s="25"/>
      <c r="L152" s="129"/>
      <c r="M152" s="130"/>
      <c r="N152" s="35"/>
      <c r="O152" s="34"/>
      <c r="P152" s="25"/>
      <c r="Q152" s="25"/>
      <c r="R152" s="34"/>
      <c r="S152" s="34"/>
      <c r="T152" s="137"/>
      <c r="U152" s="137"/>
      <c r="V152" s="36"/>
      <c r="W152" s="77"/>
      <c r="X152" s="71" t="str">
        <f>IF(C152="Trả lại đơn vụ","",IF(C152="Trả lại đơn việc","",IF((NETWORKDAYS(F152,G152,'Danh sách ngày nghỉ lễ'!$B$5:$B$25)-1-3)&gt;0,"Quá hạn"&amp;" "&amp;(NETWORKDAYS(F152,G152,'Danh sách ngày nghỉ lễ'!$B$5:$B$25)-1-3)&amp;" "&amp;"ngày","")))</f>
        <v/>
      </c>
      <c r="Y152" s="72" t="str">
        <f>IF(S152=0,"",IF(P152="Chuyển","",IF(P152="Nhập vào vụ khác","",IF(P152="BA",IF((S152-R152)&gt;10,"Quá hạn"&amp;" "&amp;(S152-R152-10)&amp;" "&amp;"ngày",""),IF((NETWORKDAYS(R152,S152,'Danh sách ngày nghỉ lễ'!$B$5:$B$25)-VLOOKUP(P152,'Thời hạn'!$A$17:$B$23,2,0))&gt;1,"Quá hạn"&amp;" "&amp;(NETWORKDAYS(R152,S152,'Danh sách ngày nghỉ lễ'!$B$5:$B$25)-1-VLOOKUP(P152,'Thời hạn'!$A$17:$B$23,2,0))&amp;" "&amp;"ngày","")))))</f>
        <v/>
      </c>
      <c r="Z152" s="23">
        <v>1</v>
      </c>
    </row>
    <row r="153" spans="1:26" x14ac:dyDescent="0.3">
      <c r="A153" s="24">
        <v>1</v>
      </c>
      <c r="B153" s="39"/>
      <c r="C153" s="33"/>
      <c r="D153" s="25"/>
      <c r="E153" s="25"/>
      <c r="F153" s="34"/>
      <c r="G153" s="34"/>
      <c r="H153" s="25"/>
      <c r="I153" s="70" t="str">
        <f>IF(C153="Trả lại đơn vụ","",IF(C153="Trả lại đơn việc","",IF(C153="Hòa giải thành","",IF(F153=0,"",EDATE(F153,VLOOKUP(C153,'Thời hạn'!$A$1:$B$10,2,0))+H153))))</f>
        <v/>
      </c>
      <c r="J153" s="59" t="str">
        <f t="shared" ca="1" si="2"/>
        <v/>
      </c>
      <c r="K153" s="25"/>
      <c r="L153" s="129"/>
      <c r="M153" s="130"/>
      <c r="N153" s="35"/>
      <c r="O153" s="34"/>
      <c r="P153" s="25"/>
      <c r="Q153" s="25"/>
      <c r="R153" s="34"/>
      <c r="S153" s="34"/>
      <c r="T153" s="137"/>
      <c r="U153" s="137"/>
      <c r="V153" s="36"/>
      <c r="W153" s="77"/>
      <c r="X153" s="71" t="str">
        <f>IF(C153="Trả lại đơn vụ","",IF(C153="Trả lại đơn việc","",IF((NETWORKDAYS(F153,G153,'Danh sách ngày nghỉ lễ'!$B$5:$B$25)-1-3)&gt;0,"Quá hạn"&amp;" "&amp;(NETWORKDAYS(F153,G153,'Danh sách ngày nghỉ lễ'!$B$5:$B$25)-1-3)&amp;" "&amp;"ngày","")))</f>
        <v/>
      </c>
      <c r="Y153" s="72" t="str">
        <f>IF(S153=0,"",IF(P153="Chuyển","",IF(P153="Nhập vào vụ khác","",IF(P153="BA",IF((S153-R153)&gt;10,"Quá hạn"&amp;" "&amp;(S153-R153-10)&amp;" "&amp;"ngày",""),IF((NETWORKDAYS(R153,S153,'Danh sách ngày nghỉ lễ'!$B$5:$B$25)-VLOOKUP(P153,'Thời hạn'!$A$17:$B$23,2,0))&gt;1,"Quá hạn"&amp;" "&amp;(NETWORKDAYS(R153,S153,'Danh sách ngày nghỉ lễ'!$B$5:$B$25)-1-VLOOKUP(P153,'Thời hạn'!$A$17:$B$23,2,0))&amp;" "&amp;"ngày","")))))</f>
        <v/>
      </c>
      <c r="Z153" s="23">
        <v>1</v>
      </c>
    </row>
    <row r="154" spans="1:26" x14ac:dyDescent="0.3">
      <c r="A154" s="24">
        <v>1</v>
      </c>
      <c r="B154" s="39"/>
      <c r="C154" s="33"/>
      <c r="D154" s="25"/>
      <c r="E154" s="25"/>
      <c r="F154" s="34"/>
      <c r="G154" s="34"/>
      <c r="H154" s="25"/>
      <c r="I154" s="70" t="str">
        <f>IF(C154="Trả lại đơn vụ","",IF(C154="Trả lại đơn việc","",IF(C154="Hòa giải thành","",IF(F154=0,"",EDATE(F154,VLOOKUP(C154,'Thời hạn'!$A$1:$B$10,2,0))+H154))))</f>
        <v/>
      </c>
      <c r="J154" s="59" t="str">
        <f t="shared" ca="1" si="2"/>
        <v/>
      </c>
      <c r="K154" s="25"/>
      <c r="L154" s="129"/>
      <c r="M154" s="130"/>
      <c r="N154" s="35"/>
      <c r="O154" s="34"/>
      <c r="P154" s="25"/>
      <c r="Q154" s="25"/>
      <c r="R154" s="34"/>
      <c r="S154" s="34"/>
      <c r="T154" s="137"/>
      <c r="U154" s="137"/>
      <c r="V154" s="36"/>
      <c r="W154" s="77"/>
      <c r="X154" s="71" t="str">
        <f>IF(C154="Trả lại đơn vụ","",IF(C154="Trả lại đơn việc","",IF((NETWORKDAYS(F154,G154,'Danh sách ngày nghỉ lễ'!$B$5:$B$25)-1-3)&gt;0,"Quá hạn"&amp;" "&amp;(NETWORKDAYS(F154,G154,'Danh sách ngày nghỉ lễ'!$B$5:$B$25)-1-3)&amp;" "&amp;"ngày","")))</f>
        <v/>
      </c>
      <c r="Y154" s="72" t="str">
        <f>IF(S154=0,"",IF(P154="Chuyển","",IF(P154="Nhập vào vụ khác","",IF(P154="BA",IF((S154-R154)&gt;10,"Quá hạn"&amp;" "&amp;(S154-R154-10)&amp;" "&amp;"ngày",""),IF((NETWORKDAYS(R154,S154,'Danh sách ngày nghỉ lễ'!$B$5:$B$25)-VLOOKUP(P154,'Thời hạn'!$A$17:$B$23,2,0))&gt;1,"Quá hạn"&amp;" "&amp;(NETWORKDAYS(R154,S154,'Danh sách ngày nghỉ lễ'!$B$5:$B$25)-1-VLOOKUP(P154,'Thời hạn'!$A$17:$B$23,2,0))&amp;" "&amp;"ngày","")))))</f>
        <v/>
      </c>
      <c r="Z154" s="23">
        <v>1</v>
      </c>
    </row>
    <row r="155" spans="1:26" x14ac:dyDescent="0.3">
      <c r="A155" s="24">
        <v>1</v>
      </c>
      <c r="B155" s="39"/>
      <c r="C155" s="33"/>
      <c r="D155" s="25"/>
      <c r="E155" s="25"/>
      <c r="F155" s="34"/>
      <c r="G155" s="34"/>
      <c r="H155" s="25"/>
      <c r="I155" s="70" t="str">
        <f>IF(C155="Trả lại đơn vụ","",IF(C155="Trả lại đơn việc","",IF(C155="Hòa giải thành","",IF(F155=0,"",EDATE(F155,VLOOKUP(C155,'Thời hạn'!$A$1:$B$10,2,0))+H155))))</f>
        <v/>
      </c>
      <c r="J155" s="59" t="str">
        <f t="shared" ca="1" si="2"/>
        <v/>
      </c>
      <c r="K155" s="25"/>
      <c r="L155" s="129"/>
      <c r="M155" s="130"/>
      <c r="N155" s="35"/>
      <c r="O155" s="34"/>
      <c r="P155" s="25"/>
      <c r="Q155" s="25"/>
      <c r="R155" s="34"/>
      <c r="S155" s="34"/>
      <c r="T155" s="137"/>
      <c r="U155" s="137"/>
      <c r="V155" s="36"/>
      <c r="W155" s="77"/>
      <c r="X155" s="71" t="str">
        <f>IF(C155="Trả lại đơn vụ","",IF(C155="Trả lại đơn việc","",IF((NETWORKDAYS(F155,G155,'Danh sách ngày nghỉ lễ'!$B$5:$B$25)-1-3)&gt;0,"Quá hạn"&amp;" "&amp;(NETWORKDAYS(F155,G155,'Danh sách ngày nghỉ lễ'!$B$5:$B$25)-1-3)&amp;" "&amp;"ngày","")))</f>
        <v/>
      </c>
      <c r="Y155" s="72" t="str">
        <f>IF(S155=0,"",IF(P155="Chuyển","",IF(P155="Nhập vào vụ khác","",IF(P155="BA",IF((S155-R155)&gt;10,"Quá hạn"&amp;" "&amp;(S155-R155-10)&amp;" "&amp;"ngày",""),IF((NETWORKDAYS(R155,S155,'Danh sách ngày nghỉ lễ'!$B$5:$B$25)-VLOOKUP(P155,'Thời hạn'!$A$17:$B$23,2,0))&gt;1,"Quá hạn"&amp;" "&amp;(NETWORKDAYS(R155,S155,'Danh sách ngày nghỉ lễ'!$B$5:$B$25)-1-VLOOKUP(P155,'Thời hạn'!$A$17:$B$23,2,0))&amp;" "&amp;"ngày","")))))</f>
        <v/>
      </c>
      <c r="Z155" s="23">
        <v>1</v>
      </c>
    </row>
    <row r="156" spans="1:26" x14ac:dyDescent="0.3">
      <c r="A156" s="24">
        <v>1</v>
      </c>
      <c r="B156" s="39"/>
      <c r="C156" s="33"/>
      <c r="D156" s="25"/>
      <c r="E156" s="25"/>
      <c r="F156" s="34"/>
      <c r="G156" s="34"/>
      <c r="H156" s="25"/>
      <c r="I156" s="70" t="str">
        <f>IF(C156="Trả lại đơn vụ","",IF(C156="Trả lại đơn việc","",IF(C156="Hòa giải thành","",IF(F156=0,"",EDATE(F156,VLOOKUP(C156,'Thời hạn'!$A$1:$B$10,2,0))+H156))))</f>
        <v/>
      </c>
      <c r="J156" s="59" t="str">
        <f t="shared" ca="1" si="2"/>
        <v/>
      </c>
      <c r="K156" s="25"/>
      <c r="L156" s="129"/>
      <c r="M156" s="130"/>
      <c r="N156" s="35"/>
      <c r="O156" s="34"/>
      <c r="P156" s="25"/>
      <c r="Q156" s="25"/>
      <c r="R156" s="34"/>
      <c r="S156" s="34"/>
      <c r="T156" s="137"/>
      <c r="U156" s="137"/>
      <c r="V156" s="36"/>
      <c r="W156" s="77"/>
      <c r="X156" s="71" t="str">
        <f>IF(C156="Trả lại đơn vụ","",IF(C156="Trả lại đơn việc","",IF((NETWORKDAYS(F156,G156,'Danh sách ngày nghỉ lễ'!$B$5:$B$25)-1-3)&gt;0,"Quá hạn"&amp;" "&amp;(NETWORKDAYS(F156,G156,'Danh sách ngày nghỉ lễ'!$B$5:$B$25)-1-3)&amp;" "&amp;"ngày","")))</f>
        <v/>
      </c>
      <c r="Y156" s="72" t="str">
        <f>IF(S156=0,"",IF(P156="Chuyển","",IF(P156="Nhập vào vụ khác","",IF(P156="BA",IF((S156-R156)&gt;10,"Quá hạn"&amp;" "&amp;(S156-R156-10)&amp;" "&amp;"ngày",""),IF((NETWORKDAYS(R156,S156,'Danh sách ngày nghỉ lễ'!$B$5:$B$25)-VLOOKUP(P156,'Thời hạn'!$A$17:$B$23,2,0))&gt;1,"Quá hạn"&amp;" "&amp;(NETWORKDAYS(R156,S156,'Danh sách ngày nghỉ lễ'!$B$5:$B$25)-1-VLOOKUP(P156,'Thời hạn'!$A$17:$B$23,2,0))&amp;" "&amp;"ngày","")))))</f>
        <v/>
      </c>
      <c r="Z156" s="23">
        <v>1</v>
      </c>
    </row>
    <row r="157" spans="1:26" x14ac:dyDescent="0.3">
      <c r="A157" s="24">
        <v>1</v>
      </c>
      <c r="B157" s="39"/>
      <c r="C157" s="33"/>
      <c r="D157" s="25"/>
      <c r="E157" s="25"/>
      <c r="F157" s="34"/>
      <c r="G157" s="34"/>
      <c r="H157" s="25"/>
      <c r="I157" s="70" t="str">
        <f>IF(C157="Trả lại đơn vụ","",IF(C157="Trả lại đơn việc","",IF(C157="Hòa giải thành","",IF(F157=0,"",EDATE(F157,VLOOKUP(C157,'Thời hạn'!$A$1:$B$10,2,0))+H157))))</f>
        <v/>
      </c>
      <c r="J157" s="59" t="str">
        <f t="shared" ca="1" si="2"/>
        <v/>
      </c>
      <c r="K157" s="25"/>
      <c r="L157" s="129"/>
      <c r="M157" s="130"/>
      <c r="N157" s="35"/>
      <c r="O157" s="34"/>
      <c r="P157" s="25"/>
      <c r="Q157" s="25"/>
      <c r="R157" s="34"/>
      <c r="S157" s="34"/>
      <c r="T157" s="137"/>
      <c r="U157" s="137"/>
      <c r="V157" s="36"/>
      <c r="W157" s="77"/>
      <c r="X157" s="71" t="str">
        <f>IF(C157="Trả lại đơn vụ","",IF(C157="Trả lại đơn việc","",IF((NETWORKDAYS(F157,G157,'Danh sách ngày nghỉ lễ'!$B$5:$B$25)-1-3)&gt;0,"Quá hạn"&amp;" "&amp;(NETWORKDAYS(F157,G157,'Danh sách ngày nghỉ lễ'!$B$5:$B$25)-1-3)&amp;" "&amp;"ngày","")))</f>
        <v/>
      </c>
      <c r="Y157" s="72" t="str">
        <f>IF(S157=0,"",IF(P157="Chuyển","",IF(P157="Nhập vào vụ khác","",IF(P157="BA",IF((S157-R157)&gt;10,"Quá hạn"&amp;" "&amp;(S157-R157-10)&amp;" "&amp;"ngày",""),IF((NETWORKDAYS(R157,S157,'Danh sách ngày nghỉ lễ'!$B$5:$B$25)-VLOOKUP(P157,'Thời hạn'!$A$17:$B$23,2,0))&gt;1,"Quá hạn"&amp;" "&amp;(NETWORKDAYS(R157,S157,'Danh sách ngày nghỉ lễ'!$B$5:$B$25)-1-VLOOKUP(P157,'Thời hạn'!$A$17:$B$23,2,0))&amp;" "&amp;"ngày","")))))</f>
        <v/>
      </c>
      <c r="Z157" s="23">
        <v>1</v>
      </c>
    </row>
    <row r="158" spans="1:26" x14ac:dyDescent="0.3">
      <c r="A158" s="24">
        <v>1</v>
      </c>
      <c r="B158" s="39"/>
      <c r="C158" s="33"/>
      <c r="D158" s="25"/>
      <c r="E158" s="25"/>
      <c r="F158" s="34"/>
      <c r="G158" s="34"/>
      <c r="H158" s="25"/>
      <c r="I158" s="70" t="str">
        <f>IF(C158="Trả lại đơn vụ","",IF(C158="Trả lại đơn việc","",IF(C158="Hòa giải thành","",IF(F158=0,"",EDATE(F158,VLOOKUP(C158,'Thời hạn'!$A$1:$B$10,2,0))+H158))))</f>
        <v/>
      </c>
      <c r="J158" s="59" t="str">
        <f t="shared" ca="1" si="2"/>
        <v/>
      </c>
      <c r="K158" s="25"/>
      <c r="L158" s="129"/>
      <c r="M158" s="130"/>
      <c r="N158" s="35"/>
      <c r="O158" s="34"/>
      <c r="P158" s="25"/>
      <c r="Q158" s="25"/>
      <c r="R158" s="34"/>
      <c r="S158" s="34"/>
      <c r="T158" s="137"/>
      <c r="U158" s="137"/>
      <c r="V158" s="36"/>
      <c r="W158" s="77"/>
      <c r="X158" s="71" t="str">
        <f>IF(C158="Trả lại đơn vụ","",IF(C158="Trả lại đơn việc","",IF((NETWORKDAYS(F158,G158,'Danh sách ngày nghỉ lễ'!$B$5:$B$25)-1-3)&gt;0,"Quá hạn"&amp;" "&amp;(NETWORKDAYS(F158,G158,'Danh sách ngày nghỉ lễ'!$B$5:$B$25)-1-3)&amp;" "&amp;"ngày","")))</f>
        <v/>
      </c>
      <c r="Y158" s="72" t="str">
        <f>IF(S158=0,"",IF(P158="Chuyển","",IF(P158="Nhập vào vụ khác","",IF(P158="BA",IF((S158-R158)&gt;10,"Quá hạn"&amp;" "&amp;(S158-R158-10)&amp;" "&amp;"ngày",""),IF((NETWORKDAYS(R158,S158,'Danh sách ngày nghỉ lễ'!$B$5:$B$25)-VLOOKUP(P158,'Thời hạn'!$A$17:$B$23,2,0))&gt;1,"Quá hạn"&amp;" "&amp;(NETWORKDAYS(R158,S158,'Danh sách ngày nghỉ lễ'!$B$5:$B$25)-1-VLOOKUP(P158,'Thời hạn'!$A$17:$B$23,2,0))&amp;" "&amp;"ngày","")))))</f>
        <v/>
      </c>
      <c r="Z158" s="23">
        <v>1</v>
      </c>
    </row>
    <row r="159" spans="1:26" x14ac:dyDescent="0.3">
      <c r="A159" s="24">
        <v>1</v>
      </c>
      <c r="B159" s="39"/>
      <c r="C159" s="33"/>
      <c r="D159" s="25"/>
      <c r="E159" s="25"/>
      <c r="F159" s="34"/>
      <c r="G159" s="34"/>
      <c r="H159" s="25"/>
      <c r="I159" s="70" t="str">
        <f>IF(C159="Trả lại đơn vụ","",IF(C159="Trả lại đơn việc","",IF(C159="Hòa giải thành","",IF(F159=0,"",EDATE(F159,VLOOKUP(C159,'Thời hạn'!$A$1:$B$10,2,0))+H159))))</f>
        <v/>
      </c>
      <c r="J159" s="59" t="str">
        <f t="shared" ca="1" si="2"/>
        <v/>
      </c>
      <c r="K159" s="25"/>
      <c r="L159" s="129"/>
      <c r="M159" s="130"/>
      <c r="N159" s="35"/>
      <c r="O159" s="34"/>
      <c r="P159" s="25"/>
      <c r="Q159" s="25"/>
      <c r="R159" s="34"/>
      <c r="S159" s="34"/>
      <c r="T159" s="137"/>
      <c r="U159" s="137"/>
      <c r="V159" s="36"/>
      <c r="W159" s="77"/>
      <c r="X159" s="71" t="str">
        <f>IF(C159="Trả lại đơn vụ","",IF(C159="Trả lại đơn việc","",IF((NETWORKDAYS(F159,G159,'Danh sách ngày nghỉ lễ'!$B$5:$B$25)-1-3)&gt;0,"Quá hạn"&amp;" "&amp;(NETWORKDAYS(F159,G159,'Danh sách ngày nghỉ lễ'!$B$5:$B$25)-1-3)&amp;" "&amp;"ngày","")))</f>
        <v/>
      </c>
      <c r="Y159" s="72" t="str">
        <f>IF(S159=0,"",IF(P159="Chuyển","",IF(P159="Nhập vào vụ khác","",IF(P159="BA",IF((S159-R159)&gt;10,"Quá hạn"&amp;" "&amp;(S159-R159-10)&amp;" "&amp;"ngày",""),IF((NETWORKDAYS(R159,S159,'Danh sách ngày nghỉ lễ'!$B$5:$B$25)-VLOOKUP(P159,'Thời hạn'!$A$17:$B$23,2,0))&gt;1,"Quá hạn"&amp;" "&amp;(NETWORKDAYS(R159,S159,'Danh sách ngày nghỉ lễ'!$B$5:$B$25)-1-VLOOKUP(P159,'Thời hạn'!$A$17:$B$23,2,0))&amp;" "&amp;"ngày","")))))</f>
        <v/>
      </c>
      <c r="Z159" s="23">
        <v>1</v>
      </c>
    </row>
    <row r="160" spans="1:26" x14ac:dyDescent="0.3">
      <c r="A160" s="24">
        <v>1</v>
      </c>
      <c r="B160" s="39"/>
      <c r="C160" s="33"/>
      <c r="D160" s="25"/>
      <c r="E160" s="25"/>
      <c r="F160" s="34"/>
      <c r="G160" s="34"/>
      <c r="H160" s="25"/>
      <c r="I160" s="70" t="str">
        <f>IF(C160="Trả lại đơn vụ","",IF(C160="Trả lại đơn việc","",IF(C160="Hòa giải thành","",IF(F160=0,"",EDATE(F160,VLOOKUP(C160,'Thời hạn'!$A$1:$B$10,2,0))+H160))))</f>
        <v/>
      </c>
      <c r="J160" s="59" t="str">
        <f t="shared" ca="1" si="2"/>
        <v/>
      </c>
      <c r="K160" s="25"/>
      <c r="L160" s="129"/>
      <c r="M160" s="130"/>
      <c r="N160" s="35"/>
      <c r="O160" s="34"/>
      <c r="P160" s="25"/>
      <c r="Q160" s="25"/>
      <c r="R160" s="34"/>
      <c r="S160" s="34"/>
      <c r="T160" s="137"/>
      <c r="U160" s="137"/>
      <c r="V160" s="36"/>
      <c r="W160" s="77"/>
      <c r="X160" s="71" t="str">
        <f>IF(C160="Trả lại đơn vụ","",IF(C160="Trả lại đơn việc","",IF((NETWORKDAYS(F160,G160,'Danh sách ngày nghỉ lễ'!$B$5:$B$25)-1-3)&gt;0,"Quá hạn"&amp;" "&amp;(NETWORKDAYS(F160,G160,'Danh sách ngày nghỉ lễ'!$B$5:$B$25)-1-3)&amp;" "&amp;"ngày","")))</f>
        <v/>
      </c>
      <c r="Y160" s="72" t="str">
        <f>IF(S160=0,"",IF(P160="Chuyển","",IF(P160="Nhập vào vụ khác","",IF(P160="BA",IF((S160-R160)&gt;10,"Quá hạn"&amp;" "&amp;(S160-R160-10)&amp;" "&amp;"ngày",""),IF((NETWORKDAYS(R160,S160,'Danh sách ngày nghỉ lễ'!$B$5:$B$25)-VLOOKUP(P160,'Thời hạn'!$A$17:$B$23,2,0))&gt;1,"Quá hạn"&amp;" "&amp;(NETWORKDAYS(R160,S160,'Danh sách ngày nghỉ lễ'!$B$5:$B$25)-1-VLOOKUP(P160,'Thời hạn'!$A$17:$B$23,2,0))&amp;" "&amp;"ngày","")))))</f>
        <v/>
      </c>
      <c r="Z160" s="23">
        <v>1</v>
      </c>
    </row>
    <row r="161" spans="1:26" x14ac:dyDescent="0.3">
      <c r="A161" s="24">
        <v>1</v>
      </c>
      <c r="B161" s="39"/>
      <c r="C161" s="33"/>
      <c r="D161" s="25"/>
      <c r="E161" s="25"/>
      <c r="F161" s="34"/>
      <c r="G161" s="34"/>
      <c r="H161" s="25"/>
      <c r="I161" s="70" t="str">
        <f>IF(C161="Trả lại đơn vụ","",IF(C161="Trả lại đơn việc","",IF(C161="Hòa giải thành","",IF(F161=0,"",EDATE(F161,VLOOKUP(C161,'Thời hạn'!$A$1:$B$10,2,0))+H161))))</f>
        <v/>
      </c>
      <c r="J161" s="59" t="str">
        <f t="shared" ca="1" si="2"/>
        <v/>
      </c>
      <c r="K161" s="25"/>
      <c r="L161" s="129"/>
      <c r="M161" s="130"/>
      <c r="N161" s="35"/>
      <c r="O161" s="34"/>
      <c r="P161" s="25"/>
      <c r="Q161" s="25"/>
      <c r="R161" s="34"/>
      <c r="S161" s="34"/>
      <c r="T161" s="137"/>
      <c r="U161" s="137"/>
      <c r="V161" s="36"/>
      <c r="W161" s="77"/>
      <c r="X161" s="71" t="str">
        <f>IF(C161="Trả lại đơn vụ","",IF(C161="Trả lại đơn việc","",IF((NETWORKDAYS(F161,G161,'Danh sách ngày nghỉ lễ'!$B$5:$B$25)-1-3)&gt;0,"Quá hạn"&amp;" "&amp;(NETWORKDAYS(F161,G161,'Danh sách ngày nghỉ lễ'!$B$5:$B$25)-1-3)&amp;" "&amp;"ngày","")))</f>
        <v/>
      </c>
      <c r="Y161" s="72" t="str">
        <f>IF(S161=0,"",IF(P161="Chuyển","",IF(P161="Nhập vào vụ khác","",IF(P161="BA",IF((S161-R161)&gt;10,"Quá hạn"&amp;" "&amp;(S161-R161-10)&amp;" "&amp;"ngày",""),IF((NETWORKDAYS(R161,S161,'Danh sách ngày nghỉ lễ'!$B$5:$B$25)-VLOOKUP(P161,'Thời hạn'!$A$17:$B$23,2,0))&gt;1,"Quá hạn"&amp;" "&amp;(NETWORKDAYS(R161,S161,'Danh sách ngày nghỉ lễ'!$B$5:$B$25)-1-VLOOKUP(P161,'Thời hạn'!$A$17:$B$23,2,0))&amp;" "&amp;"ngày","")))))</f>
        <v/>
      </c>
      <c r="Z161" s="23">
        <v>1</v>
      </c>
    </row>
    <row r="162" spans="1:26" x14ac:dyDescent="0.3">
      <c r="A162" s="24">
        <v>1</v>
      </c>
      <c r="B162" s="39"/>
      <c r="C162" s="33"/>
      <c r="D162" s="25"/>
      <c r="E162" s="25"/>
      <c r="F162" s="34"/>
      <c r="G162" s="34"/>
      <c r="H162" s="25"/>
      <c r="I162" s="70" t="str">
        <f>IF(C162="Trả lại đơn vụ","",IF(C162="Trả lại đơn việc","",IF(C162="Hòa giải thành","",IF(F162=0,"",EDATE(F162,VLOOKUP(C162,'Thời hạn'!$A$1:$B$10,2,0))+H162))))</f>
        <v/>
      </c>
      <c r="J162" s="59" t="str">
        <f t="shared" ca="1" si="2"/>
        <v/>
      </c>
      <c r="K162" s="25"/>
      <c r="L162" s="129"/>
      <c r="M162" s="130"/>
      <c r="N162" s="35"/>
      <c r="O162" s="34"/>
      <c r="P162" s="25"/>
      <c r="Q162" s="25"/>
      <c r="R162" s="34"/>
      <c r="S162" s="34"/>
      <c r="T162" s="137"/>
      <c r="U162" s="137"/>
      <c r="V162" s="36"/>
      <c r="W162" s="77"/>
      <c r="X162" s="71" t="str">
        <f>IF(C162="Trả lại đơn vụ","",IF(C162="Trả lại đơn việc","",IF((NETWORKDAYS(F162,G162,'Danh sách ngày nghỉ lễ'!$B$5:$B$25)-1-3)&gt;0,"Quá hạn"&amp;" "&amp;(NETWORKDAYS(F162,G162,'Danh sách ngày nghỉ lễ'!$B$5:$B$25)-1-3)&amp;" "&amp;"ngày","")))</f>
        <v/>
      </c>
      <c r="Y162" s="72" t="str">
        <f>IF(S162=0,"",IF(P162="Chuyển","",IF(P162="Nhập vào vụ khác","",IF(P162="BA",IF((S162-R162)&gt;10,"Quá hạn"&amp;" "&amp;(S162-R162-10)&amp;" "&amp;"ngày",""),IF((NETWORKDAYS(R162,S162,'Danh sách ngày nghỉ lễ'!$B$5:$B$25)-VLOOKUP(P162,'Thời hạn'!$A$17:$B$23,2,0))&gt;1,"Quá hạn"&amp;" "&amp;(NETWORKDAYS(R162,S162,'Danh sách ngày nghỉ lễ'!$B$5:$B$25)-1-VLOOKUP(P162,'Thời hạn'!$A$17:$B$23,2,0))&amp;" "&amp;"ngày","")))))</f>
        <v/>
      </c>
      <c r="Z162" s="23">
        <v>1</v>
      </c>
    </row>
    <row r="163" spans="1:26" x14ac:dyDescent="0.3">
      <c r="A163" s="24">
        <v>1</v>
      </c>
      <c r="B163" s="39"/>
      <c r="C163" s="33"/>
      <c r="D163" s="25"/>
      <c r="E163" s="25"/>
      <c r="F163" s="34"/>
      <c r="G163" s="34"/>
      <c r="H163" s="25"/>
      <c r="I163" s="70" t="str">
        <f>IF(C163="Trả lại đơn vụ","",IF(C163="Trả lại đơn việc","",IF(C163="Hòa giải thành","",IF(F163=0,"",EDATE(F163,VLOOKUP(C163,'Thời hạn'!$A$1:$B$10,2,0))+H163))))</f>
        <v/>
      </c>
      <c r="J163" s="59" t="str">
        <f t="shared" ca="1" si="2"/>
        <v/>
      </c>
      <c r="K163" s="25"/>
      <c r="L163" s="129"/>
      <c r="M163" s="130"/>
      <c r="N163" s="35"/>
      <c r="O163" s="34"/>
      <c r="P163" s="25"/>
      <c r="Q163" s="25"/>
      <c r="R163" s="34"/>
      <c r="S163" s="34"/>
      <c r="T163" s="137"/>
      <c r="U163" s="137"/>
      <c r="V163" s="36"/>
      <c r="W163" s="77"/>
      <c r="X163" s="71" t="str">
        <f>IF(C163="Trả lại đơn vụ","",IF(C163="Trả lại đơn việc","",IF((NETWORKDAYS(F163,G163,'Danh sách ngày nghỉ lễ'!$B$5:$B$25)-1-3)&gt;0,"Quá hạn"&amp;" "&amp;(NETWORKDAYS(F163,G163,'Danh sách ngày nghỉ lễ'!$B$5:$B$25)-1-3)&amp;" "&amp;"ngày","")))</f>
        <v/>
      </c>
      <c r="Y163" s="72" t="str">
        <f>IF(S163=0,"",IF(P163="Chuyển","",IF(P163="Nhập vào vụ khác","",IF(P163="BA",IF((S163-R163)&gt;10,"Quá hạn"&amp;" "&amp;(S163-R163-10)&amp;" "&amp;"ngày",""),IF((NETWORKDAYS(R163,S163,'Danh sách ngày nghỉ lễ'!$B$5:$B$25)-VLOOKUP(P163,'Thời hạn'!$A$17:$B$23,2,0))&gt;1,"Quá hạn"&amp;" "&amp;(NETWORKDAYS(R163,S163,'Danh sách ngày nghỉ lễ'!$B$5:$B$25)-1-VLOOKUP(P163,'Thời hạn'!$A$17:$B$23,2,0))&amp;" "&amp;"ngày","")))))</f>
        <v/>
      </c>
      <c r="Z163" s="23">
        <v>1</v>
      </c>
    </row>
    <row r="164" spans="1:26" x14ac:dyDescent="0.3">
      <c r="A164" s="24">
        <v>1</v>
      </c>
      <c r="B164" s="39"/>
      <c r="C164" s="33"/>
      <c r="D164" s="25"/>
      <c r="E164" s="25"/>
      <c r="F164" s="34"/>
      <c r="G164" s="34"/>
      <c r="H164" s="25"/>
      <c r="I164" s="70" t="str">
        <f>IF(C164="Trả lại đơn vụ","",IF(C164="Trả lại đơn việc","",IF(C164="Hòa giải thành","",IF(F164=0,"",EDATE(F164,VLOOKUP(C164,'Thời hạn'!$A$1:$B$10,2,0))+H164))))</f>
        <v/>
      </c>
      <c r="J164" s="59" t="str">
        <f t="shared" ca="1" si="2"/>
        <v/>
      </c>
      <c r="K164" s="25"/>
      <c r="L164" s="129"/>
      <c r="M164" s="130"/>
      <c r="N164" s="35"/>
      <c r="O164" s="34"/>
      <c r="P164" s="25"/>
      <c r="Q164" s="25"/>
      <c r="R164" s="34"/>
      <c r="S164" s="34"/>
      <c r="T164" s="137"/>
      <c r="U164" s="137"/>
      <c r="V164" s="36"/>
      <c r="W164" s="77"/>
      <c r="X164" s="71" t="str">
        <f>IF(C164="Trả lại đơn vụ","",IF(C164="Trả lại đơn việc","",IF((NETWORKDAYS(F164,G164,'Danh sách ngày nghỉ lễ'!$B$5:$B$25)-1-3)&gt;0,"Quá hạn"&amp;" "&amp;(NETWORKDAYS(F164,G164,'Danh sách ngày nghỉ lễ'!$B$5:$B$25)-1-3)&amp;" "&amp;"ngày","")))</f>
        <v/>
      </c>
      <c r="Y164" s="72" t="str">
        <f>IF(S164=0,"",IF(P164="Chuyển","",IF(P164="Nhập vào vụ khác","",IF(P164="BA",IF((S164-R164)&gt;10,"Quá hạn"&amp;" "&amp;(S164-R164-10)&amp;" "&amp;"ngày",""),IF((NETWORKDAYS(R164,S164,'Danh sách ngày nghỉ lễ'!$B$5:$B$25)-VLOOKUP(P164,'Thời hạn'!$A$17:$B$23,2,0))&gt;1,"Quá hạn"&amp;" "&amp;(NETWORKDAYS(R164,S164,'Danh sách ngày nghỉ lễ'!$B$5:$B$25)-1-VLOOKUP(P164,'Thời hạn'!$A$17:$B$23,2,0))&amp;" "&amp;"ngày","")))))</f>
        <v/>
      </c>
      <c r="Z164" s="23">
        <v>1</v>
      </c>
    </row>
    <row r="165" spans="1:26" x14ac:dyDescent="0.3">
      <c r="A165" s="24">
        <v>1</v>
      </c>
      <c r="B165" s="39"/>
      <c r="C165" s="33"/>
      <c r="D165" s="25"/>
      <c r="E165" s="25"/>
      <c r="F165" s="34"/>
      <c r="G165" s="34"/>
      <c r="H165" s="25"/>
      <c r="I165" s="70" t="str">
        <f>IF(C165="Trả lại đơn vụ","",IF(C165="Trả lại đơn việc","",IF(C165="Hòa giải thành","",IF(F165=0,"",EDATE(F165,VLOOKUP(C165,'Thời hạn'!$A$1:$B$10,2,0))+H165))))</f>
        <v/>
      </c>
      <c r="J165" s="59" t="str">
        <f t="shared" ca="1" si="2"/>
        <v/>
      </c>
      <c r="K165" s="25"/>
      <c r="L165" s="129"/>
      <c r="M165" s="130"/>
      <c r="N165" s="35"/>
      <c r="O165" s="34"/>
      <c r="P165" s="25"/>
      <c r="Q165" s="25"/>
      <c r="R165" s="34"/>
      <c r="S165" s="34"/>
      <c r="T165" s="137"/>
      <c r="U165" s="137"/>
      <c r="V165" s="36"/>
      <c r="W165" s="77"/>
      <c r="X165" s="71" t="str">
        <f>IF(C165="Trả lại đơn vụ","",IF(C165="Trả lại đơn việc","",IF((NETWORKDAYS(F165,G165,'Danh sách ngày nghỉ lễ'!$B$5:$B$25)-1-3)&gt;0,"Quá hạn"&amp;" "&amp;(NETWORKDAYS(F165,G165,'Danh sách ngày nghỉ lễ'!$B$5:$B$25)-1-3)&amp;" "&amp;"ngày","")))</f>
        <v/>
      </c>
      <c r="Y165" s="72" t="str">
        <f>IF(S165=0,"",IF(P165="Chuyển","",IF(P165="Nhập vào vụ khác","",IF(P165="BA",IF((S165-R165)&gt;10,"Quá hạn"&amp;" "&amp;(S165-R165-10)&amp;" "&amp;"ngày",""),IF((NETWORKDAYS(R165,S165,'Danh sách ngày nghỉ lễ'!$B$5:$B$25)-VLOOKUP(P165,'Thời hạn'!$A$17:$B$23,2,0))&gt;1,"Quá hạn"&amp;" "&amp;(NETWORKDAYS(R165,S165,'Danh sách ngày nghỉ lễ'!$B$5:$B$25)-1-VLOOKUP(P165,'Thời hạn'!$A$17:$B$23,2,0))&amp;" "&amp;"ngày","")))))</f>
        <v/>
      </c>
      <c r="Z165" s="23">
        <v>1</v>
      </c>
    </row>
    <row r="166" spans="1:26" x14ac:dyDescent="0.3">
      <c r="A166" s="24">
        <v>1</v>
      </c>
      <c r="B166" s="39"/>
      <c r="C166" s="33"/>
      <c r="D166" s="25"/>
      <c r="E166" s="25"/>
      <c r="F166" s="34"/>
      <c r="G166" s="34"/>
      <c r="H166" s="25"/>
      <c r="I166" s="70" t="str">
        <f>IF(C166="Trả lại đơn vụ","",IF(C166="Trả lại đơn việc","",IF(C166="Hòa giải thành","",IF(F166=0,"",EDATE(F166,VLOOKUP(C166,'Thời hạn'!$A$1:$B$10,2,0))+H166))))</f>
        <v/>
      </c>
      <c r="J166" s="59" t="str">
        <f t="shared" ca="1" si="2"/>
        <v/>
      </c>
      <c r="K166" s="25"/>
      <c r="L166" s="129"/>
      <c r="M166" s="130"/>
      <c r="N166" s="35"/>
      <c r="O166" s="34"/>
      <c r="P166" s="25"/>
      <c r="Q166" s="25"/>
      <c r="R166" s="34"/>
      <c r="S166" s="34"/>
      <c r="T166" s="137"/>
      <c r="U166" s="137"/>
      <c r="V166" s="36"/>
      <c r="W166" s="77"/>
      <c r="X166" s="71" t="str">
        <f>IF(C166="Trả lại đơn vụ","",IF(C166="Trả lại đơn việc","",IF((NETWORKDAYS(F166,G166,'Danh sách ngày nghỉ lễ'!$B$5:$B$25)-1-3)&gt;0,"Quá hạn"&amp;" "&amp;(NETWORKDAYS(F166,G166,'Danh sách ngày nghỉ lễ'!$B$5:$B$25)-1-3)&amp;" "&amp;"ngày","")))</f>
        <v/>
      </c>
      <c r="Y166" s="72" t="str">
        <f>IF(S166=0,"",IF(P166="Chuyển","",IF(P166="Nhập vào vụ khác","",IF(P166="BA",IF((S166-R166)&gt;10,"Quá hạn"&amp;" "&amp;(S166-R166-10)&amp;" "&amp;"ngày",""),IF((NETWORKDAYS(R166,S166,'Danh sách ngày nghỉ lễ'!$B$5:$B$25)-VLOOKUP(P166,'Thời hạn'!$A$17:$B$23,2,0))&gt;1,"Quá hạn"&amp;" "&amp;(NETWORKDAYS(R166,S166,'Danh sách ngày nghỉ lễ'!$B$5:$B$25)-1-VLOOKUP(P166,'Thời hạn'!$A$17:$B$23,2,0))&amp;" "&amp;"ngày","")))))</f>
        <v/>
      </c>
      <c r="Z166" s="23">
        <v>1</v>
      </c>
    </row>
    <row r="167" spans="1:26" x14ac:dyDescent="0.3">
      <c r="A167" s="24">
        <v>1</v>
      </c>
      <c r="B167" s="39"/>
      <c r="C167" s="33"/>
      <c r="D167" s="25"/>
      <c r="E167" s="25"/>
      <c r="F167" s="34"/>
      <c r="G167" s="34"/>
      <c r="H167" s="25"/>
      <c r="I167" s="70" t="str">
        <f>IF(C167="Trả lại đơn vụ","",IF(C167="Trả lại đơn việc","",IF(C167="Hòa giải thành","",IF(F167=0,"",EDATE(F167,VLOOKUP(C167,'Thời hạn'!$A$1:$B$10,2,0))+H167))))</f>
        <v/>
      </c>
      <c r="J167" s="59" t="str">
        <f t="shared" ca="1" si="2"/>
        <v/>
      </c>
      <c r="K167" s="25"/>
      <c r="L167" s="129"/>
      <c r="M167" s="130"/>
      <c r="N167" s="35"/>
      <c r="O167" s="34"/>
      <c r="P167" s="25"/>
      <c r="Q167" s="25"/>
      <c r="R167" s="34"/>
      <c r="S167" s="34"/>
      <c r="T167" s="137"/>
      <c r="U167" s="137"/>
      <c r="V167" s="36"/>
      <c r="W167" s="77"/>
      <c r="X167" s="71" t="str">
        <f>IF(C167="Trả lại đơn vụ","",IF(C167="Trả lại đơn việc","",IF((NETWORKDAYS(F167,G167,'Danh sách ngày nghỉ lễ'!$B$5:$B$25)-1-3)&gt;0,"Quá hạn"&amp;" "&amp;(NETWORKDAYS(F167,G167,'Danh sách ngày nghỉ lễ'!$B$5:$B$25)-1-3)&amp;" "&amp;"ngày","")))</f>
        <v/>
      </c>
      <c r="Y167" s="72" t="str">
        <f>IF(S167=0,"",IF(P167="Chuyển","",IF(P167="Nhập vào vụ khác","",IF(P167="BA",IF((S167-R167)&gt;10,"Quá hạn"&amp;" "&amp;(S167-R167-10)&amp;" "&amp;"ngày",""),IF((NETWORKDAYS(R167,S167,'Danh sách ngày nghỉ lễ'!$B$5:$B$25)-VLOOKUP(P167,'Thời hạn'!$A$17:$B$23,2,0))&gt;1,"Quá hạn"&amp;" "&amp;(NETWORKDAYS(R167,S167,'Danh sách ngày nghỉ lễ'!$B$5:$B$25)-1-VLOOKUP(P167,'Thời hạn'!$A$17:$B$23,2,0))&amp;" "&amp;"ngày","")))))</f>
        <v/>
      </c>
      <c r="Z167" s="23">
        <v>1</v>
      </c>
    </row>
    <row r="168" spans="1:26" x14ac:dyDescent="0.3">
      <c r="A168" s="24">
        <v>1</v>
      </c>
      <c r="B168" s="39"/>
      <c r="C168" s="33"/>
      <c r="D168" s="25"/>
      <c r="E168" s="25"/>
      <c r="F168" s="34"/>
      <c r="G168" s="34"/>
      <c r="H168" s="25"/>
      <c r="I168" s="70" t="str">
        <f>IF(C168="Trả lại đơn vụ","",IF(C168="Trả lại đơn việc","",IF(C168="Hòa giải thành","",IF(F168=0,"",EDATE(F168,VLOOKUP(C168,'Thời hạn'!$A$1:$B$10,2,0))+H168))))</f>
        <v/>
      </c>
      <c r="J168" s="59" t="str">
        <f t="shared" ca="1" si="2"/>
        <v/>
      </c>
      <c r="K168" s="25"/>
      <c r="L168" s="129"/>
      <c r="M168" s="130"/>
      <c r="N168" s="35"/>
      <c r="O168" s="34"/>
      <c r="P168" s="25"/>
      <c r="Q168" s="25"/>
      <c r="R168" s="34"/>
      <c r="S168" s="34"/>
      <c r="T168" s="137"/>
      <c r="U168" s="137"/>
      <c r="V168" s="36"/>
      <c r="W168" s="77"/>
      <c r="X168" s="71" t="str">
        <f>IF(C168="Trả lại đơn vụ","",IF(C168="Trả lại đơn việc","",IF((NETWORKDAYS(F168,G168,'Danh sách ngày nghỉ lễ'!$B$5:$B$25)-1-3)&gt;0,"Quá hạn"&amp;" "&amp;(NETWORKDAYS(F168,G168,'Danh sách ngày nghỉ lễ'!$B$5:$B$25)-1-3)&amp;" "&amp;"ngày","")))</f>
        <v/>
      </c>
      <c r="Y168" s="72" t="str">
        <f>IF(S168=0,"",IF(P168="Chuyển","",IF(P168="Nhập vào vụ khác","",IF(P168="BA",IF((S168-R168)&gt;10,"Quá hạn"&amp;" "&amp;(S168-R168-10)&amp;" "&amp;"ngày",""),IF((NETWORKDAYS(R168,S168,'Danh sách ngày nghỉ lễ'!$B$5:$B$25)-VLOOKUP(P168,'Thời hạn'!$A$17:$B$23,2,0))&gt;1,"Quá hạn"&amp;" "&amp;(NETWORKDAYS(R168,S168,'Danh sách ngày nghỉ lễ'!$B$5:$B$25)-1-VLOOKUP(P168,'Thời hạn'!$A$17:$B$23,2,0))&amp;" "&amp;"ngày","")))))</f>
        <v/>
      </c>
      <c r="Z168" s="23">
        <v>1</v>
      </c>
    </row>
    <row r="169" spans="1:26" x14ac:dyDescent="0.3">
      <c r="A169" s="24">
        <v>1</v>
      </c>
      <c r="B169" s="39"/>
      <c r="C169" s="33"/>
      <c r="D169" s="25"/>
      <c r="E169" s="25"/>
      <c r="F169" s="34"/>
      <c r="G169" s="34"/>
      <c r="H169" s="25"/>
      <c r="I169" s="70" t="str">
        <f>IF(C169="Trả lại đơn vụ","",IF(C169="Trả lại đơn việc","",IF(C169="Hòa giải thành","",IF(F169=0,"",EDATE(F169,VLOOKUP(C169,'Thời hạn'!$A$1:$B$10,2,0))+H169))))</f>
        <v/>
      </c>
      <c r="J169" s="59" t="str">
        <f t="shared" ca="1" si="2"/>
        <v/>
      </c>
      <c r="K169" s="25"/>
      <c r="L169" s="129"/>
      <c r="M169" s="130"/>
      <c r="N169" s="35"/>
      <c r="O169" s="34"/>
      <c r="P169" s="25"/>
      <c r="Q169" s="25"/>
      <c r="R169" s="34"/>
      <c r="S169" s="34"/>
      <c r="T169" s="137"/>
      <c r="U169" s="137"/>
      <c r="V169" s="36"/>
      <c r="W169" s="77"/>
      <c r="X169" s="71" t="str">
        <f>IF(C169="Trả lại đơn vụ","",IF(C169="Trả lại đơn việc","",IF((NETWORKDAYS(F169,G169,'Danh sách ngày nghỉ lễ'!$B$5:$B$25)-1-3)&gt;0,"Quá hạn"&amp;" "&amp;(NETWORKDAYS(F169,G169,'Danh sách ngày nghỉ lễ'!$B$5:$B$25)-1-3)&amp;" "&amp;"ngày","")))</f>
        <v/>
      </c>
      <c r="Y169" s="72" t="str">
        <f>IF(S169=0,"",IF(P169="Chuyển","",IF(P169="Nhập vào vụ khác","",IF(P169="BA",IF((S169-R169)&gt;10,"Quá hạn"&amp;" "&amp;(S169-R169-10)&amp;" "&amp;"ngày",""),IF((NETWORKDAYS(R169,S169,'Danh sách ngày nghỉ lễ'!$B$5:$B$25)-VLOOKUP(P169,'Thời hạn'!$A$17:$B$23,2,0))&gt;1,"Quá hạn"&amp;" "&amp;(NETWORKDAYS(R169,S169,'Danh sách ngày nghỉ lễ'!$B$5:$B$25)-1-VLOOKUP(P169,'Thời hạn'!$A$17:$B$23,2,0))&amp;" "&amp;"ngày","")))))</f>
        <v/>
      </c>
      <c r="Z169" s="23">
        <v>1</v>
      </c>
    </row>
    <row r="170" spans="1:26" x14ac:dyDescent="0.3">
      <c r="A170" s="24">
        <v>1</v>
      </c>
      <c r="B170" s="39"/>
      <c r="C170" s="33"/>
      <c r="D170" s="25"/>
      <c r="E170" s="25"/>
      <c r="F170" s="34"/>
      <c r="G170" s="34"/>
      <c r="H170" s="25"/>
      <c r="I170" s="70" t="str">
        <f>IF(C170="Trả lại đơn vụ","",IF(C170="Trả lại đơn việc","",IF(C170="Hòa giải thành","",IF(F170=0,"",EDATE(F170,VLOOKUP(C170,'Thời hạn'!$A$1:$B$10,2,0))+H170))))</f>
        <v/>
      </c>
      <c r="J170" s="59" t="str">
        <f t="shared" ca="1" si="2"/>
        <v/>
      </c>
      <c r="K170" s="25"/>
      <c r="L170" s="129"/>
      <c r="M170" s="130"/>
      <c r="N170" s="35"/>
      <c r="O170" s="34"/>
      <c r="P170" s="25"/>
      <c r="Q170" s="25"/>
      <c r="R170" s="34"/>
      <c r="S170" s="34"/>
      <c r="T170" s="137"/>
      <c r="U170" s="137"/>
      <c r="V170" s="36"/>
      <c r="W170" s="77"/>
      <c r="X170" s="71" t="str">
        <f>IF(C170="Trả lại đơn vụ","",IF(C170="Trả lại đơn việc","",IF((NETWORKDAYS(F170,G170,'Danh sách ngày nghỉ lễ'!$B$5:$B$25)-1-3)&gt;0,"Quá hạn"&amp;" "&amp;(NETWORKDAYS(F170,G170,'Danh sách ngày nghỉ lễ'!$B$5:$B$25)-1-3)&amp;" "&amp;"ngày","")))</f>
        <v/>
      </c>
      <c r="Y170" s="72" t="str">
        <f>IF(S170=0,"",IF(P170="Chuyển","",IF(P170="Nhập vào vụ khác","",IF(P170="BA",IF((S170-R170)&gt;10,"Quá hạn"&amp;" "&amp;(S170-R170-10)&amp;" "&amp;"ngày",""),IF((NETWORKDAYS(R170,S170,'Danh sách ngày nghỉ lễ'!$B$5:$B$25)-VLOOKUP(P170,'Thời hạn'!$A$17:$B$23,2,0))&gt;1,"Quá hạn"&amp;" "&amp;(NETWORKDAYS(R170,S170,'Danh sách ngày nghỉ lễ'!$B$5:$B$25)-1-VLOOKUP(P170,'Thời hạn'!$A$17:$B$23,2,0))&amp;" "&amp;"ngày","")))))</f>
        <v/>
      </c>
      <c r="Z170" s="23">
        <v>1</v>
      </c>
    </row>
    <row r="171" spans="1:26" x14ac:dyDescent="0.3">
      <c r="A171" s="24">
        <v>1</v>
      </c>
      <c r="B171" s="39"/>
      <c r="C171" s="33"/>
      <c r="D171" s="25"/>
      <c r="E171" s="25"/>
      <c r="F171" s="34"/>
      <c r="G171" s="34"/>
      <c r="H171" s="25"/>
      <c r="I171" s="70" t="str">
        <f>IF(C171="Trả lại đơn vụ","",IF(C171="Trả lại đơn việc","",IF(C171="Hòa giải thành","",IF(F171=0,"",EDATE(F171,VLOOKUP(C171,'Thời hạn'!$A$1:$B$10,2,0))+H171))))</f>
        <v/>
      </c>
      <c r="J171" s="59" t="str">
        <f t="shared" ca="1" si="2"/>
        <v/>
      </c>
      <c r="K171" s="25"/>
      <c r="L171" s="129"/>
      <c r="M171" s="130"/>
      <c r="N171" s="35"/>
      <c r="O171" s="34"/>
      <c r="P171" s="25"/>
      <c r="Q171" s="25"/>
      <c r="R171" s="34"/>
      <c r="S171" s="34"/>
      <c r="T171" s="137"/>
      <c r="U171" s="137"/>
      <c r="V171" s="36"/>
      <c r="W171" s="77"/>
      <c r="X171" s="71" t="str">
        <f>IF(C171="Trả lại đơn vụ","",IF(C171="Trả lại đơn việc","",IF((NETWORKDAYS(F171,G171,'Danh sách ngày nghỉ lễ'!$B$5:$B$25)-1-3)&gt;0,"Quá hạn"&amp;" "&amp;(NETWORKDAYS(F171,G171,'Danh sách ngày nghỉ lễ'!$B$5:$B$25)-1-3)&amp;" "&amp;"ngày","")))</f>
        <v/>
      </c>
      <c r="Y171" s="72" t="str">
        <f>IF(S171=0,"",IF(P171="Chuyển","",IF(P171="Nhập vào vụ khác","",IF(P171="BA",IF((S171-R171)&gt;10,"Quá hạn"&amp;" "&amp;(S171-R171-10)&amp;" "&amp;"ngày",""),IF((NETWORKDAYS(R171,S171,'Danh sách ngày nghỉ lễ'!$B$5:$B$25)-VLOOKUP(P171,'Thời hạn'!$A$17:$B$23,2,0))&gt;1,"Quá hạn"&amp;" "&amp;(NETWORKDAYS(R171,S171,'Danh sách ngày nghỉ lễ'!$B$5:$B$25)-1-VLOOKUP(P171,'Thời hạn'!$A$17:$B$23,2,0))&amp;" "&amp;"ngày","")))))</f>
        <v/>
      </c>
      <c r="Z171" s="23">
        <v>1</v>
      </c>
    </row>
    <row r="172" spans="1:26" x14ac:dyDescent="0.3">
      <c r="A172" s="24">
        <v>1</v>
      </c>
      <c r="B172" s="39"/>
      <c r="C172" s="33"/>
      <c r="D172" s="25"/>
      <c r="E172" s="25"/>
      <c r="F172" s="34"/>
      <c r="G172" s="34"/>
      <c r="H172" s="25"/>
      <c r="I172" s="70" t="str">
        <f>IF(C172="Trả lại đơn vụ","",IF(C172="Trả lại đơn việc","",IF(C172="Hòa giải thành","",IF(F172=0,"",EDATE(F172,VLOOKUP(C172,'Thời hạn'!$A$1:$B$10,2,0))+H172))))</f>
        <v/>
      </c>
      <c r="J172" s="59" t="str">
        <f t="shared" ca="1" si="2"/>
        <v/>
      </c>
      <c r="K172" s="25"/>
      <c r="L172" s="129"/>
      <c r="M172" s="130"/>
      <c r="N172" s="35"/>
      <c r="O172" s="34"/>
      <c r="P172" s="25"/>
      <c r="Q172" s="25"/>
      <c r="R172" s="34"/>
      <c r="S172" s="34"/>
      <c r="T172" s="137"/>
      <c r="U172" s="137"/>
      <c r="V172" s="36"/>
      <c r="W172" s="77"/>
      <c r="X172" s="71" t="str">
        <f>IF(C172="Trả lại đơn vụ","",IF(C172="Trả lại đơn việc","",IF((NETWORKDAYS(F172,G172,'Danh sách ngày nghỉ lễ'!$B$5:$B$25)-1-3)&gt;0,"Quá hạn"&amp;" "&amp;(NETWORKDAYS(F172,G172,'Danh sách ngày nghỉ lễ'!$B$5:$B$25)-1-3)&amp;" "&amp;"ngày","")))</f>
        <v/>
      </c>
      <c r="Y172" s="72" t="str">
        <f>IF(S172=0,"",IF(P172="Chuyển","",IF(P172="Nhập vào vụ khác","",IF(P172="BA",IF((S172-R172)&gt;10,"Quá hạn"&amp;" "&amp;(S172-R172-10)&amp;" "&amp;"ngày",""),IF((NETWORKDAYS(R172,S172,'Danh sách ngày nghỉ lễ'!$B$5:$B$25)-VLOOKUP(P172,'Thời hạn'!$A$17:$B$23,2,0))&gt;1,"Quá hạn"&amp;" "&amp;(NETWORKDAYS(R172,S172,'Danh sách ngày nghỉ lễ'!$B$5:$B$25)-1-VLOOKUP(P172,'Thời hạn'!$A$17:$B$23,2,0))&amp;" "&amp;"ngày","")))))</f>
        <v/>
      </c>
      <c r="Z172" s="23">
        <v>1</v>
      </c>
    </row>
    <row r="173" spans="1:26" x14ac:dyDescent="0.3">
      <c r="A173" s="24">
        <v>1</v>
      </c>
      <c r="B173" s="39"/>
      <c r="C173" s="33"/>
      <c r="D173" s="25"/>
      <c r="E173" s="25"/>
      <c r="F173" s="34"/>
      <c r="G173" s="34"/>
      <c r="H173" s="25"/>
      <c r="I173" s="70" t="str">
        <f>IF(C173="Trả lại đơn vụ","",IF(C173="Trả lại đơn việc","",IF(C173="Hòa giải thành","",IF(F173=0,"",EDATE(F173,VLOOKUP(C173,'Thời hạn'!$A$1:$B$10,2,0))+H173))))</f>
        <v/>
      </c>
      <c r="J173" s="59" t="str">
        <f t="shared" ca="1" si="2"/>
        <v/>
      </c>
      <c r="K173" s="25"/>
      <c r="L173" s="129"/>
      <c r="M173" s="130"/>
      <c r="N173" s="35"/>
      <c r="O173" s="34"/>
      <c r="P173" s="25"/>
      <c r="Q173" s="25"/>
      <c r="R173" s="34"/>
      <c r="S173" s="34"/>
      <c r="T173" s="137"/>
      <c r="U173" s="137"/>
      <c r="V173" s="36"/>
      <c r="W173" s="77"/>
      <c r="X173" s="71" t="str">
        <f>IF(C173="Trả lại đơn vụ","",IF(C173="Trả lại đơn việc","",IF((NETWORKDAYS(F173,G173,'Danh sách ngày nghỉ lễ'!$B$5:$B$25)-1-3)&gt;0,"Quá hạn"&amp;" "&amp;(NETWORKDAYS(F173,G173,'Danh sách ngày nghỉ lễ'!$B$5:$B$25)-1-3)&amp;" "&amp;"ngày","")))</f>
        <v/>
      </c>
      <c r="Y173" s="72" t="str">
        <f>IF(S173=0,"",IF(P173="Chuyển","",IF(P173="Nhập vào vụ khác","",IF(P173="BA",IF((S173-R173)&gt;10,"Quá hạn"&amp;" "&amp;(S173-R173-10)&amp;" "&amp;"ngày",""),IF((NETWORKDAYS(R173,S173,'Danh sách ngày nghỉ lễ'!$B$5:$B$25)-VLOOKUP(P173,'Thời hạn'!$A$17:$B$23,2,0))&gt;1,"Quá hạn"&amp;" "&amp;(NETWORKDAYS(R173,S173,'Danh sách ngày nghỉ lễ'!$B$5:$B$25)-1-VLOOKUP(P173,'Thời hạn'!$A$17:$B$23,2,0))&amp;" "&amp;"ngày","")))))</f>
        <v/>
      </c>
      <c r="Z173" s="23">
        <v>1</v>
      </c>
    </row>
    <row r="174" spans="1:26" x14ac:dyDescent="0.3">
      <c r="A174" s="24">
        <v>1</v>
      </c>
      <c r="B174" s="39"/>
      <c r="C174" s="33"/>
      <c r="D174" s="25"/>
      <c r="E174" s="25"/>
      <c r="F174" s="34"/>
      <c r="G174" s="34"/>
      <c r="H174" s="25"/>
      <c r="I174" s="70" t="str">
        <f>IF(C174="Trả lại đơn vụ","",IF(C174="Trả lại đơn việc","",IF(C174="Hòa giải thành","",IF(F174=0,"",EDATE(F174,VLOOKUP(C174,'Thời hạn'!$A$1:$B$10,2,0))+H174))))</f>
        <v/>
      </c>
      <c r="J174" s="59" t="str">
        <f t="shared" ca="1" si="2"/>
        <v/>
      </c>
      <c r="K174" s="25"/>
      <c r="L174" s="129"/>
      <c r="M174" s="130"/>
      <c r="N174" s="35"/>
      <c r="O174" s="34"/>
      <c r="P174" s="25"/>
      <c r="Q174" s="25"/>
      <c r="R174" s="34"/>
      <c r="S174" s="34"/>
      <c r="T174" s="137"/>
      <c r="U174" s="137"/>
      <c r="V174" s="36"/>
      <c r="W174" s="77"/>
      <c r="X174" s="71" t="str">
        <f>IF(C174="Trả lại đơn vụ","",IF(C174="Trả lại đơn việc","",IF((NETWORKDAYS(F174,G174,'Danh sách ngày nghỉ lễ'!$B$5:$B$25)-1-3)&gt;0,"Quá hạn"&amp;" "&amp;(NETWORKDAYS(F174,G174,'Danh sách ngày nghỉ lễ'!$B$5:$B$25)-1-3)&amp;" "&amp;"ngày","")))</f>
        <v/>
      </c>
      <c r="Y174" s="72" t="str">
        <f>IF(S174=0,"",IF(P174="Chuyển","",IF(P174="Nhập vào vụ khác","",IF(P174="BA",IF((S174-R174)&gt;10,"Quá hạn"&amp;" "&amp;(S174-R174-10)&amp;" "&amp;"ngày",""),IF((NETWORKDAYS(R174,S174,'Danh sách ngày nghỉ lễ'!$B$5:$B$25)-VLOOKUP(P174,'Thời hạn'!$A$17:$B$23,2,0))&gt;1,"Quá hạn"&amp;" "&amp;(NETWORKDAYS(R174,S174,'Danh sách ngày nghỉ lễ'!$B$5:$B$25)-1-VLOOKUP(P174,'Thời hạn'!$A$17:$B$23,2,0))&amp;" "&amp;"ngày","")))))</f>
        <v/>
      </c>
      <c r="Z174" s="23">
        <v>1</v>
      </c>
    </row>
    <row r="175" spans="1:26" x14ac:dyDescent="0.3">
      <c r="A175" s="24">
        <v>1</v>
      </c>
      <c r="B175" s="39"/>
      <c r="C175" s="33"/>
      <c r="D175" s="25"/>
      <c r="E175" s="25"/>
      <c r="F175" s="34"/>
      <c r="G175" s="34"/>
      <c r="H175" s="25"/>
      <c r="I175" s="70" t="str">
        <f>IF(C175="Trả lại đơn vụ","",IF(C175="Trả lại đơn việc","",IF(C175="Hòa giải thành","",IF(F175=0,"",EDATE(F175,VLOOKUP(C175,'Thời hạn'!$A$1:$B$10,2,0))+H175))))</f>
        <v/>
      </c>
      <c r="J175" s="59" t="str">
        <f t="shared" ca="1" si="2"/>
        <v/>
      </c>
      <c r="K175" s="25"/>
      <c r="L175" s="129"/>
      <c r="M175" s="130"/>
      <c r="N175" s="35"/>
      <c r="O175" s="34"/>
      <c r="P175" s="25"/>
      <c r="Q175" s="25"/>
      <c r="R175" s="34"/>
      <c r="S175" s="34"/>
      <c r="T175" s="137"/>
      <c r="U175" s="137"/>
      <c r="V175" s="36"/>
      <c r="W175" s="77"/>
      <c r="X175" s="71" t="str">
        <f>IF(C175="Trả lại đơn vụ","",IF(C175="Trả lại đơn việc","",IF((NETWORKDAYS(F175,G175,'Danh sách ngày nghỉ lễ'!$B$5:$B$25)-1-3)&gt;0,"Quá hạn"&amp;" "&amp;(NETWORKDAYS(F175,G175,'Danh sách ngày nghỉ lễ'!$B$5:$B$25)-1-3)&amp;" "&amp;"ngày","")))</f>
        <v/>
      </c>
      <c r="Y175" s="72" t="str">
        <f>IF(S175=0,"",IF(P175="Chuyển","",IF(P175="Nhập vào vụ khác","",IF(P175="BA",IF((S175-R175)&gt;10,"Quá hạn"&amp;" "&amp;(S175-R175-10)&amp;" "&amp;"ngày",""),IF((NETWORKDAYS(R175,S175,'Danh sách ngày nghỉ lễ'!$B$5:$B$25)-VLOOKUP(P175,'Thời hạn'!$A$17:$B$23,2,0))&gt;1,"Quá hạn"&amp;" "&amp;(NETWORKDAYS(R175,S175,'Danh sách ngày nghỉ lễ'!$B$5:$B$25)-1-VLOOKUP(P175,'Thời hạn'!$A$17:$B$23,2,0))&amp;" "&amp;"ngày","")))))</f>
        <v/>
      </c>
      <c r="Z175" s="23">
        <v>1</v>
      </c>
    </row>
    <row r="176" spans="1:26" x14ac:dyDescent="0.3">
      <c r="A176" s="24">
        <v>1</v>
      </c>
      <c r="B176" s="39"/>
      <c r="C176" s="33"/>
      <c r="D176" s="25"/>
      <c r="E176" s="25"/>
      <c r="F176" s="34"/>
      <c r="G176" s="34"/>
      <c r="H176" s="25"/>
      <c r="I176" s="70" t="str">
        <f>IF(C176="Trả lại đơn vụ","",IF(C176="Trả lại đơn việc","",IF(C176="Hòa giải thành","",IF(F176=0,"",EDATE(F176,VLOOKUP(C176,'Thời hạn'!$A$1:$B$10,2,0))+H176))))</f>
        <v/>
      </c>
      <c r="J176" s="59" t="str">
        <f t="shared" ca="1" si="2"/>
        <v/>
      </c>
      <c r="K176" s="25"/>
      <c r="L176" s="129"/>
      <c r="M176" s="130"/>
      <c r="N176" s="35"/>
      <c r="O176" s="34"/>
      <c r="P176" s="25"/>
      <c r="Q176" s="25"/>
      <c r="R176" s="34"/>
      <c r="S176" s="34"/>
      <c r="T176" s="137"/>
      <c r="U176" s="137"/>
      <c r="V176" s="36"/>
      <c r="W176" s="77"/>
      <c r="X176" s="71" t="str">
        <f>IF(C176="Trả lại đơn vụ","",IF(C176="Trả lại đơn việc","",IF((NETWORKDAYS(F176,G176,'Danh sách ngày nghỉ lễ'!$B$5:$B$25)-1-3)&gt;0,"Quá hạn"&amp;" "&amp;(NETWORKDAYS(F176,G176,'Danh sách ngày nghỉ lễ'!$B$5:$B$25)-1-3)&amp;" "&amp;"ngày","")))</f>
        <v/>
      </c>
      <c r="Y176" s="72" t="str">
        <f>IF(S176=0,"",IF(P176="Chuyển","",IF(P176="Nhập vào vụ khác","",IF(P176="BA",IF((S176-R176)&gt;10,"Quá hạn"&amp;" "&amp;(S176-R176-10)&amp;" "&amp;"ngày",""),IF((NETWORKDAYS(R176,S176,'Danh sách ngày nghỉ lễ'!$B$5:$B$25)-VLOOKUP(P176,'Thời hạn'!$A$17:$B$23,2,0))&gt;1,"Quá hạn"&amp;" "&amp;(NETWORKDAYS(R176,S176,'Danh sách ngày nghỉ lễ'!$B$5:$B$25)-1-VLOOKUP(P176,'Thời hạn'!$A$17:$B$23,2,0))&amp;" "&amp;"ngày","")))))</f>
        <v/>
      </c>
      <c r="Z176" s="23">
        <v>1</v>
      </c>
    </row>
    <row r="177" spans="1:26" x14ac:dyDescent="0.3">
      <c r="A177" s="24">
        <v>1</v>
      </c>
      <c r="B177" s="39"/>
      <c r="C177" s="33"/>
      <c r="D177" s="25"/>
      <c r="E177" s="25"/>
      <c r="F177" s="34"/>
      <c r="G177" s="34"/>
      <c r="H177" s="25"/>
      <c r="I177" s="70" t="str">
        <f>IF(C177="Trả lại đơn vụ","",IF(C177="Trả lại đơn việc","",IF(C177="Hòa giải thành","",IF(F177=0,"",EDATE(F177,VLOOKUP(C177,'Thời hạn'!$A$1:$B$10,2,0))+H177))))</f>
        <v/>
      </c>
      <c r="J177" s="59" t="str">
        <f t="shared" ca="1" si="2"/>
        <v/>
      </c>
      <c r="K177" s="25"/>
      <c r="L177" s="129"/>
      <c r="M177" s="130"/>
      <c r="N177" s="35"/>
      <c r="O177" s="34"/>
      <c r="P177" s="25"/>
      <c r="Q177" s="25"/>
      <c r="R177" s="34"/>
      <c r="S177" s="34"/>
      <c r="T177" s="137"/>
      <c r="U177" s="137"/>
      <c r="V177" s="36"/>
      <c r="W177" s="77"/>
      <c r="X177" s="71" t="str">
        <f>IF(C177="Trả lại đơn vụ","",IF(C177="Trả lại đơn việc","",IF((NETWORKDAYS(F177,G177,'Danh sách ngày nghỉ lễ'!$B$5:$B$25)-1-3)&gt;0,"Quá hạn"&amp;" "&amp;(NETWORKDAYS(F177,G177,'Danh sách ngày nghỉ lễ'!$B$5:$B$25)-1-3)&amp;" "&amp;"ngày","")))</f>
        <v/>
      </c>
      <c r="Y177" s="72" t="str">
        <f>IF(S177=0,"",IF(P177="Chuyển","",IF(P177="Nhập vào vụ khác","",IF(P177="BA",IF((S177-R177)&gt;10,"Quá hạn"&amp;" "&amp;(S177-R177-10)&amp;" "&amp;"ngày",""),IF((NETWORKDAYS(R177,S177,'Danh sách ngày nghỉ lễ'!$B$5:$B$25)-VLOOKUP(P177,'Thời hạn'!$A$17:$B$23,2,0))&gt;1,"Quá hạn"&amp;" "&amp;(NETWORKDAYS(R177,S177,'Danh sách ngày nghỉ lễ'!$B$5:$B$25)-1-VLOOKUP(P177,'Thời hạn'!$A$17:$B$23,2,0))&amp;" "&amp;"ngày","")))))</f>
        <v/>
      </c>
      <c r="Z177" s="23">
        <v>1</v>
      </c>
    </row>
    <row r="178" spans="1:26" x14ac:dyDescent="0.3">
      <c r="A178" s="24">
        <v>1</v>
      </c>
      <c r="B178" s="39"/>
      <c r="C178" s="33"/>
      <c r="D178" s="25"/>
      <c r="E178" s="25"/>
      <c r="F178" s="34"/>
      <c r="G178" s="34"/>
      <c r="H178" s="25"/>
      <c r="I178" s="70" t="str">
        <f>IF(C178="Trả lại đơn vụ","",IF(C178="Trả lại đơn việc","",IF(C178="Hòa giải thành","",IF(F178=0,"",EDATE(F178,VLOOKUP(C178,'Thời hạn'!$A$1:$B$10,2,0))+H178))))</f>
        <v/>
      </c>
      <c r="J178" s="59" t="str">
        <f t="shared" ca="1" si="2"/>
        <v/>
      </c>
      <c r="K178" s="25"/>
      <c r="L178" s="129"/>
      <c r="M178" s="130"/>
      <c r="N178" s="35"/>
      <c r="O178" s="34"/>
      <c r="P178" s="25"/>
      <c r="Q178" s="25"/>
      <c r="R178" s="34"/>
      <c r="S178" s="34"/>
      <c r="T178" s="137"/>
      <c r="U178" s="137"/>
      <c r="V178" s="36"/>
      <c r="W178" s="77"/>
      <c r="X178" s="71" t="str">
        <f>IF(C178="Trả lại đơn vụ","",IF(C178="Trả lại đơn việc","",IF((NETWORKDAYS(F178,G178,'Danh sách ngày nghỉ lễ'!$B$5:$B$25)-1-3)&gt;0,"Quá hạn"&amp;" "&amp;(NETWORKDAYS(F178,G178,'Danh sách ngày nghỉ lễ'!$B$5:$B$25)-1-3)&amp;" "&amp;"ngày","")))</f>
        <v/>
      </c>
      <c r="Y178" s="72" t="str">
        <f>IF(S178=0,"",IF(P178="Chuyển","",IF(P178="Nhập vào vụ khác","",IF(P178="BA",IF((S178-R178)&gt;10,"Quá hạn"&amp;" "&amp;(S178-R178-10)&amp;" "&amp;"ngày",""),IF((NETWORKDAYS(R178,S178,'Danh sách ngày nghỉ lễ'!$B$5:$B$25)-VLOOKUP(P178,'Thời hạn'!$A$17:$B$23,2,0))&gt;1,"Quá hạn"&amp;" "&amp;(NETWORKDAYS(R178,S178,'Danh sách ngày nghỉ lễ'!$B$5:$B$25)-1-VLOOKUP(P178,'Thời hạn'!$A$17:$B$23,2,0))&amp;" "&amp;"ngày","")))))</f>
        <v/>
      </c>
      <c r="Z178" s="23">
        <v>1</v>
      </c>
    </row>
    <row r="179" spans="1:26" x14ac:dyDescent="0.3">
      <c r="A179" s="24">
        <v>1</v>
      </c>
      <c r="B179" s="39"/>
      <c r="C179" s="33"/>
      <c r="D179" s="25"/>
      <c r="E179" s="25"/>
      <c r="F179" s="34"/>
      <c r="G179" s="34"/>
      <c r="H179" s="25"/>
      <c r="I179" s="70" t="str">
        <f>IF(C179="Trả lại đơn vụ","",IF(C179="Trả lại đơn việc","",IF(C179="Hòa giải thành","",IF(F179=0,"",EDATE(F179,VLOOKUP(C179,'Thời hạn'!$A$1:$B$10,2,0))+H179))))</f>
        <v/>
      </c>
      <c r="J179" s="59" t="str">
        <f t="shared" ca="1" si="2"/>
        <v/>
      </c>
      <c r="K179" s="25"/>
      <c r="L179" s="129"/>
      <c r="M179" s="130"/>
      <c r="N179" s="35"/>
      <c r="O179" s="34"/>
      <c r="P179" s="25"/>
      <c r="Q179" s="25"/>
      <c r="R179" s="34"/>
      <c r="S179" s="34"/>
      <c r="T179" s="137"/>
      <c r="U179" s="137"/>
      <c r="V179" s="36"/>
      <c r="W179" s="77"/>
      <c r="X179" s="71" t="str">
        <f>IF(C179="Trả lại đơn vụ","",IF(C179="Trả lại đơn việc","",IF((NETWORKDAYS(F179,G179,'Danh sách ngày nghỉ lễ'!$B$5:$B$25)-1-3)&gt;0,"Quá hạn"&amp;" "&amp;(NETWORKDAYS(F179,G179,'Danh sách ngày nghỉ lễ'!$B$5:$B$25)-1-3)&amp;" "&amp;"ngày","")))</f>
        <v/>
      </c>
      <c r="Y179" s="72" t="str">
        <f>IF(S179=0,"",IF(P179="Chuyển","",IF(P179="Nhập vào vụ khác","",IF(P179="BA",IF((S179-R179)&gt;10,"Quá hạn"&amp;" "&amp;(S179-R179-10)&amp;" "&amp;"ngày",""),IF((NETWORKDAYS(R179,S179,'Danh sách ngày nghỉ lễ'!$B$5:$B$25)-VLOOKUP(P179,'Thời hạn'!$A$17:$B$23,2,0))&gt;1,"Quá hạn"&amp;" "&amp;(NETWORKDAYS(R179,S179,'Danh sách ngày nghỉ lễ'!$B$5:$B$25)-1-VLOOKUP(P179,'Thời hạn'!$A$17:$B$23,2,0))&amp;" "&amp;"ngày","")))))</f>
        <v/>
      </c>
      <c r="Z179" s="23">
        <v>1</v>
      </c>
    </row>
    <row r="180" spans="1:26" x14ac:dyDescent="0.3">
      <c r="A180" s="24">
        <v>1</v>
      </c>
      <c r="B180" s="39"/>
      <c r="C180" s="33"/>
      <c r="D180" s="25"/>
      <c r="E180" s="25"/>
      <c r="F180" s="34"/>
      <c r="G180" s="34"/>
      <c r="H180" s="25"/>
      <c r="I180" s="70" t="str">
        <f>IF(C180="Trả lại đơn vụ","",IF(C180="Trả lại đơn việc","",IF(C180="Hòa giải thành","",IF(F180=0,"",EDATE(F180,VLOOKUP(C180,'Thời hạn'!$A$1:$B$10,2,0))+H180))))</f>
        <v/>
      </c>
      <c r="J180" s="59" t="str">
        <f t="shared" ca="1" si="2"/>
        <v/>
      </c>
      <c r="K180" s="25"/>
      <c r="L180" s="129"/>
      <c r="M180" s="130"/>
      <c r="N180" s="35"/>
      <c r="O180" s="34"/>
      <c r="P180" s="25"/>
      <c r="Q180" s="25"/>
      <c r="R180" s="34"/>
      <c r="S180" s="34"/>
      <c r="T180" s="137"/>
      <c r="U180" s="137"/>
      <c r="V180" s="36"/>
      <c r="W180" s="77"/>
      <c r="X180" s="71" t="str">
        <f>IF(C180="Trả lại đơn vụ","",IF(C180="Trả lại đơn việc","",IF((NETWORKDAYS(F180,G180,'Danh sách ngày nghỉ lễ'!$B$5:$B$25)-1-3)&gt;0,"Quá hạn"&amp;" "&amp;(NETWORKDAYS(F180,G180,'Danh sách ngày nghỉ lễ'!$B$5:$B$25)-1-3)&amp;" "&amp;"ngày","")))</f>
        <v/>
      </c>
      <c r="Y180" s="72" t="str">
        <f>IF(S180=0,"",IF(P180="Chuyển","",IF(P180="Nhập vào vụ khác","",IF(P180="BA",IF((S180-R180)&gt;10,"Quá hạn"&amp;" "&amp;(S180-R180-10)&amp;" "&amp;"ngày",""),IF((NETWORKDAYS(R180,S180,'Danh sách ngày nghỉ lễ'!$B$5:$B$25)-VLOOKUP(P180,'Thời hạn'!$A$17:$B$23,2,0))&gt;1,"Quá hạn"&amp;" "&amp;(NETWORKDAYS(R180,S180,'Danh sách ngày nghỉ lễ'!$B$5:$B$25)-1-VLOOKUP(P180,'Thời hạn'!$A$17:$B$23,2,0))&amp;" "&amp;"ngày","")))))</f>
        <v/>
      </c>
      <c r="Z180" s="23">
        <v>1</v>
      </c>
    </row>
    <row r="181" spans="1:26" x14ac:dyDescent="0.3">
      <c r="A181" s="24">
        <v>1</v>
      </c>
      <c r="B181" s="39"/>
      <c r="C181" s="33"/>
      <c r="D181" s="25"/>
      <c r="E181" s="25"/>
      <c r="F181" s="34"/>
      <c r="G181" s="34"/>
      <c r="H181" s="25"/>
      <c r="I181" s="70" t="str">
        <f>IF(C181="Trả lại đơn vụ","",IF(C181="Trả lại đơn việc","",IF(C181="Hòa giải thành","",IF(F181=0,"",EDATE(F181,VLOOKUP(C181,'Thời hạn'!$A$1:$B$10,2,0))+H181))))</f>
        <v/>
      </c>
      <c r="J181" s="59" t="str">
        <f t="shared" ca="1" si="2"/>
        <v/>
      </c>
      <c r="K181" s="25"/>
      <c r="L181" s="129"/>
      <c r="M181" s="130"/>
      <c r="N181" s="35"/>
      <c r="O181" s="34"/>
      <c r="P181" s="25"/>
      <c r="Q181" s="25"/>
      <c r="R181" s="34"/>
      <c r="S181" s="34"/>
      <c r="T181" s="137"/>
      <c r="U181" s="137"/>
      <c r="V181" s="36"/>
      <c r="W181" s="77"/>
      <c r="X181" s="71" t="str">
        <f>IF(C181="Trả lại đơn vụ","",IF(C181="Trả lại đơn việc","",IF((NETWORKDAYS(F181,G181,'Danh sách ngày nghỉ lễ'!$B$5:$B$25)-1-3)&gt;0,"Quá hạn"&amp;" "&amp;(NETWORKDAYS(F181,G181,'Danh sách ngày nghỉ lễ'!$B$5:$B$25)-1-3)&amp;" "&amp;"ngày","")))</f>
        <v/>
      </c>
      <c r="Y181" s="72" t="str">
        <f>IF(S181=0,"",IF(P181="Chuyển","",IF(P181="Nhập vào vụ khác","",IF(P181="BA",IF((S181-R181)&gt;10,"Quá hạn"&amp;" "&amp;(S181-R181-10)&amp;" "&amp;"ngày",""),IF((NETWORKDAYS(R181,S181,'Danh sách ngày nghỉ lễ'!$B$5:$B$25)-VLOOKUP(P181,'Thời hạn'!$A$17:$B$23,2,0))&gt;1,"Quá hạn"&amp;" "&amp;(NETWORKDAYS(R181,S181,'Danh sách ngày nghỉ lễ'!$B$5:$B$25)-1-VLOOKUP(P181,'Thời hạn'!$A$17:$B$23,2,0))&amp;" "&amp;"ngày","")))))</f>
        <v/>
      </c>
      <c r="Z181" s="23">
        <v>1</v>
      </c>
    </row>
    <row r="182" spans="1:26" x14ac:dyDescent="0.3">
      <c r="A182" s="24">
        <v>1</v>
      </c>
      <c r="B182" s="39"/>
      <c r="C182" s="33"/>
      <c r="D182" s="25"/>
      <c r="E182" s="25"/>
      <c r="F182" s="34"/>
      <c r="G182" s="34"/>
      <c r="H182" s="25"/>
      <c r="I182" s="70" t="str">
        <f>IF(C182="Trả lại đơn vụ","",IF(C182="Trả lại đơn việc","",IF(C182="Hòa giải thành","",IF(F182=0,"",EDATE(F182,VLOOKUP(C182,'Thời hạn'!$A$1:$B$10,2,0))+H182))))</f>
        <v/>
      </c>
      <c r="J182" s="59" t="str">
        <f t="shared" ca="1" si="2"/>
        <v/>
      </c>
      <c r="K182" s="25"/>
      <c r="L182" s="129"/>
      <c r="M182" s="130"/>
      <c r="N182" s="35"/>
      <c r="O182" s="34"/>
      <c r="P182" s="25"/>
      <c r="Q182" s="25"/>
      <c r="R182" s="34"/>
      <c r="S182" s="34"/>
      <c r="T182" s="137"/>
      <c r="U182" s="137"/>
      <c r="V182" s="36"/>
      <c r="W182" s="77"/>
      <c r="X182" s="71" t="str">
        <f>IF(C182="Trả lại đơn vụ","",IF(C182="Trả lại đơn việc","",IF((NETWORKDAYS(F182,G182,'Danh sách ngày nghỉ lễ'!$B$5:$B$25)-1-3)&gt;0,"Quá hạn"&amp;" "&amp;(NETWORKDAYS(F182,G182,'Danh sách ngày nghỉ lễ'!$B$5:$B$25)-1-3)&amp;" "&amp;"ngày","")))</f>
        <v/>
      </c>
      <c r="Y182" s="72" t="str">
        <f>IF(S182=0,"",IF(P182="Chuyển","",IF(P182="Nhập vào vụ khác","",IF(P182="BA",IF((S182-R182)&gt;10,"Quá hạn"&amp;" "&amp;(S182-R182-10)&amp;" "&amp;"ngày",""),IF((NETWORKDAYS(R182,S182,'Danh sách ngày nghỉ lễ'!$B$5:$B$25)-VLOOKUP(P182,'Thời hạn'!$A$17:$B$23,2,0))&gt;1,"Quá hạn"&amp;" "&amp;(NETWORKDAYS(R182,S182,'Danh sách ngày nghỉ lễ'!$B$5:$B$25)-1-VLOOKUP(P182,'Thời hạn'!$A$17:$B$23,2,0))&amp;" "&amp;"ngày","")))))</f>
        <v/>
      </c>
      <c r="Z182" s="23">
        <v>1</v>
      </c>
    </row>
    <row r="183" spans="1:26" x14ac:dyDescent="0.3">
      <c r="A183" s="24">
        <v>1</v>
      </c>
      <c r="B183" s="39"/>
      <c r="C183" s="33"/>
      <c r="D183" s="25"/>
      <c r="E183" s="25"/>
      <c r="F183" s="34"/>
      <c r="G183" s="34"/>
      <c r="H183" s="25"/>
      <c r="I183" s="70" t="str">
        <f>IF(C183="Trả lại đơn vụ","",IF(C183="Trả lại đơn việc","",IF(C183="Hòa giải thành","",IF(F183=0,"",EDATE(F183,VLOOKUP(C183,'Thời hạn'!$A$1:$B$10,2,0))+H183))))</f>
        <v/>
      </c>
      <c r="J183" s="59" t="str">
        <f t="shared" ca="1" si="2"/>
        <v/>
      </c>
      <c r="K183" s="25"/>
      <c r="L183" s="129"/>
      <c r="M183" s="130"/>
      <c r="N183" s="35"/>
      <c r="O183" s="34"/>
      <c r="P183" s="25"/>
      <c r="Q183" s="25"/>
      <c r="R183" s="34"/>
      <c r="S183" s="34"/>
      <c r="T183" s="137"/>
      <c r="U183" s="137"/>
      <c r="V183" s="36"/>
      <c r="W183" s="77"/>
      <c r="X183" s="71" t="str">
        <f>IF(C183="Trả lại đơn vụ","",IF(C183="Trả lại đơn việc","",IF((NETWORKDAYS(F183,G183,'Danh sách ngày nghỉ lễ'!$B$5:$B$25)-1-3)&gt;0,"Quá hạn"&amp;" "&amp;(NETWORKDAYS(F183,G183,'Danh sách ngày nghỉ lễ'!$B$5:$B$25)-1-3)&amp;" "&amp;"ngày","")))</f>
        <v/>
      </c>
      <c r="Y183" s="72" t="str">
        <f>IF(S183=0,"",IF(P183="Chuyển","",IF(P183="Nhập vào vụ khác","",IF(P183="BA",IF((S183-R183)&gt;10,"Quá hạn"&amp;" "&amp;(S183-R183-10)&amp;" "&amp;"ngày",""),IF((NETWORKDAYS(R183,S183,'Danh sách ngày nghỉ lễ'!$B$5:$B$25)-VLOOKUP(P183,'Thời hạn'!$A$17:$B$23,2,0))&gt;1,"Quá hạn"&amp;" "&amp;(NETWORKDAYS(R183,S183,'Danh sách ngày nghỉ lễ'!$B$5:$B$25)-1-VLOOKUP(P183,'Thời hạn'!$A$17:$B$23,2,0))&amp;" "&amp;"ngày","")))))</f>
        <v/>
      </c>
      <c r="Z183" s="23">
        <v>1</v>
      </c>
    </row>
    <row r="184" spans="1:26" x14ac:dyDescent="0.3">
      <c r="A184" s="24">
        <v>1</v>
      </c>
      <c r="B184" s="39"/>
      <c r="C184" s="33"/>
      <c r="D184" s="25"/>
      <c r="E184" s="25"/>
      <c r="F184" s="34"/>
      <c r="G184" s="34"/>
      <c r="H184" s="25"/>
      <c r="I184" s="70" t="str">
        <f>IF(C184="Trả lại đơn vụ","",IF(C184="Trả lại đơn việc","",IF(C184="Hòa giải thành","",IF(F184=0,"",EDATE(F184,VLOOKUP(C184,'Thời hạn'!$A$1:$B$10,2,0))+H184))))</f>
        <v/>
      </c>
      <c r="J184" s="59" t="str">
        <f t="shared" ca="1" si="2"/>
        <v/>
      </c>
      <c r="K184" s="25"/>
      <c r="L184" s="129"/>
      <c r="M184" s="130"/>
      <c r="N184" s="35"/>
      <c r="O184" s="34"/>
      <c r="P184" s="25"/>
      <c r="Q184" s="25"/>
      <c r="R184" s="34"/>
      <c r="S184" s="34"/>
      <c r="T184" s="137"/>
      <c r="U184" s="137"/>
      <c r="V184" s="36"/>
      <c r="W184" s="77"/>
      <c r="X184" s="71" t="str">
        <f>IF(C184="Trả lại đơn vụ","",IF(C184="Trả lại đơn việc","",IF((NETWORKDAYS(F184,G184,'Danh sách ngày nghỉ lễ'!$B$5:$B$25)-1-3)&gt;0,"Quá hạn"&amp;" "&amp;(NETWORKDAYS(F184,G184,'Danh sách ngày nghỉ lễ'!$B$5:$B$25)-1-3)&amp;" "&amp;"ngày","")))</f>
        <v/>
      </c>
      <c r="Y184" s="72" t="str">
        <f>IF(S184=0,"",IF(P184="Chuyển","",IF(P184="Nhập vào vụ khác","",IF(P184="BA",IF((S184-R184)&gt;10,"Quá hạn"&amp;" "&amp;(S184-R184-10)&amp;" "&amp;"ngày",""),IF((NETWORKDAYS(R184,S184,'Danh sách ngày nghỉ lễ'!$B$5:$B$25)-VLOOKUP(P184,'Thời hạn'!$A$17:$B$23,2,0))&gt;1,"Quá hạn"&amp;" "&amp;(NETWORKDAYS(R184,S184,'Danh sách ngày nghỉ lễ'!$B$5:$B$25)-1-VLOOKUP(P184,'Thời hạn'!$A$17:$B$23,2,0))&amp;" "&amp;"ngày","")))))</f>
        <v/>
      </c>
      <c r="Z184" s="23">
        <v>1</v>
      </c>
    </row>
    <row r="185" spans="1:26" x14ac:dyDescent="0.3">
      <c r="A185" s="24">
        <v>1</v>
      </c>
      <c r="B185" s="39"/>
      <c r="C185" s="33"/>
      <c r="D185" s="25"/>
      <c r="E185" s="25"/>
      <c r="F185" s="34"/>
      <c r="G185" s="34"/>
      <c r="H185" s="25"/>
      <c r="I185" s="70" t="str">
        <f>IF(C185="Trả lại đơn vụ","",IF(C185="Trả lại đơn việc","",IF(C185="Hòa giải thành","",IF(F185=0,"",EDATE(F185,VLOOKUP(C185,'Thời hạn'!$A$1:$B$10,2,0))+H185))))</f>
        <v/>
      </c>
      <c r="J185" s="59" t="str">
        <f t="shared" ca="1" si="2"/>
        <v/>
      </c>
      <c r="K185" s="25"/>
      <c r="L185" s="129"/>
      <c r="M185" s="130"/>
      <c r="N185" s="35"/>
      <c r="O185" s="34"/>
      <c r="P185" s="25"/>
      <c r="Q185" s="25"/>
      <c r="R185" s="34"/>
      <c r="S185" s="34"/>
      <c r="T185" s="137"/>
      <c r="U185" s="137"/>
      <c r="V185" s="36"/>
      <c r="W185" s="77"/>
      <c r="X185" s="71" t="str">
        <f>IF(C185="Trả lại đơn vụ","",IF(C185="Trả lại đơn việc","",IF((NETWORKDAYS(F185,G185,'Danh sách ngày nghỉ lễ'!$B$5:$B$25)-1-3)&gt;0,"Quá hạn"&amp;" "&amp;(NETWORKDAYS(F185,G185,'Danh sách ngày nghỉ lễ'!$B$5:$B$25)-1-3)&amp;" "&amp;"ngày","")))</f>
        <v/>
      </c>
      <c r="Y185" s="72" t="str">
        <f>IF(S185=0,"",IF(P185="Chuyển","",IF(P185="Nhập vào vụ khác","",IF(P185="BA",IF((S185-R185)&gt;10,"Quá hạn"&amp;" "&amp;(S185-R185-10)&amp;" "&amp;"ngày",""),IF((NETWORKDAYS(R185,S185,'Danh sách ngày nghỉ lễ'!$B$5:$B$25)-VLOOKUP(P185,'Thời hạn'!$A$17:$B$23,2,0))&gt;1,"Quá hạn"&amp;" "&amp;(NETWORKDAYS(R185,S185,'Danh sách ngày nghỉ lễ'!$B$5:$B$25)-1-VLOOKUP(P185,'Thời hạn'!$A$17:$B$23,2,0))&amp;" "&amp;"ngày","")))))</f>
        <v/>
      </c>
      <c r="Z185" s="23">
        <v>1</v>
      </c>
    </row>
    <row r="186" spans="1:26" x14ac:dyDescent="0.3">
      <c r="A186" s="24">
        <v>1</v>
      </c>
      <c r="B186" s="39"/>
      <c r="C186" s="33"/>
      <c r="D186" s="25"/>
      <c r="E186" s="25"/>
      <c r="F186" s="34"/>
      <c r="G186" s="34"/>
      <c r="H186" s="25"/>
      <c r="I186" s="70" t="str">
        <f>IF(C186="Trả lại đơn vụ","",IF(C186="Trả lại đơn việc","",IF(C186="Hòa giải thành","",IF(F186=0,"",EDATE(F186,VLOOKUP(C186,'Thời hạn'!$A$1:$B$10,2,0))+H186))))</f>
        <v/>
      </c>
      <c r="J186" s="59" t="str">
        <f t="shared" ca="1" si="2"/>
        <v/>
      </c>
      <c r="K186" s="25"/>
      <c r="L186" s="129"/>
      <c r="M186" s="130"/>
      <c r="N186" s="35"/>
      <c r="O186" s="34"/>
      <c r="P186" s="25"/>
      <c r="Q186" s="25"/>
      <c r="R186" s="34"/>
      <c r="S186" s="34"/>
      <c r="T186" s="137"/>
      <c r="U186" s="137"/>
      <c r="V186" s="36"/>
      <c r="W186" s="77"/>
      <c r="X186" s="71" t="str">
        <f>IF(C186="Trả lại đơn vụ","",IF(C186="Trả lại đơn việc","",IF((NETWORKDAYS(F186,G186,'Danh sách ngày nghỉ lễ'!$B$5:$B$25)-1-3)&gt;0,"Quá hạn"&amp;" "&amp;(NETWORKDAYS(F186,G186,'Danh sách ngày nghỉ lễ'!$B$5:$B$25)-1-3)&amp;" "&amp;"ngày","")))</f>
        <v/>
      </c>
      <c r="Y186" s="72" t="str">
        <f>IF(S186=0,"",IF(P186="Chuyển","",IF(P186="Nhập vào vụ khác","",IF(P186="BA",IF((S186-R186)&gt;10,"Quá hạn"&amp;" "&amp;(S186-R186-10)&amp;" "&amp;"ngày",""),IF((NETWORKDAYS(R186,S186,'Danh sách ngày nghỉ lễ'!$B$5:$B$25)-VLOOKUP(P186,'Thời hạn'!$A$17:$B$23,2,0))&gt;1,"Quá hạn"&amp;" "&amp;(NETWORKDAYS(R186,S186,'Danh sách ngày nghỉ lễ'!$B$5:$B$25)-1-VLOOKUP(P186,'Thời hạn'!$A$17:$B$23,2,0))&amp;" "&amp;"ngày","")))))</f>
        <v/>
      </c>
      <c r="Z186" s="23">
        <v>1</v>
      </c>
    </row>
    <row r="187" spans="1:26" x14ac:dyDescent="0.3">
      <c r="A187" s="24">
        <v>1</v>
      </c>
      <c r="B187" s="39"/>
      <c r="C187" s="33"/>
      <c r="D187" s="25"/>
      <c r="E187" s="25"/>
      <c r="F187" s="34"/>
      <c r="G187" s="34"/>
      <c r="H187" s="25"/>
      <c r="I187" s="70" t="str">
        <f>IF(C187="Trả lại đơn vụ","",IF(C187="Trả lại đơn việc","",IF(C187="Hòa giải thành","",IF(F187=0,"",EDATE(F187,VLOOKUP(C187,'Thời hạn'!$A$1:$B$10,2,0))+H187))))</f>
        <v/>
      </c>
      <c r="J187" s="59" t="str">
        <f t="shared" ca="1" si="2"/>
        <v/>
      </c>
      <c r="K187" s="25"/>
      <c r="L187" s="129"/>
      <c r="M187" s="130"/>
      <c r="N187" s="35"/>
      <c r="O187" s="34"/>
      <c r="P187" s="25"/>
      <c r="Q187" s="25"/>
      <c r="R187" s="34"/>
      <c r="S187" s="34"/>
      <c r="T187" s="137"/>
      <c r="U187" s="137"/>
      <c r="V187" s="36"/>
      <c r="W187" s="77"/>
      <c r="X187" s="71" t="str">
        <f>IF(C187="Trả lại đơn vụ","",IF(C187="Trả lại đơn việc","",IF((NETWORKDAYS(F187,G187,'Danh sách ngày nghỉ lễ'!$B$5:$B$25)-1-3)&gt;0,"Quá hạn"&amp;" "&amp;(NETWORKDAYS(F187,G187,'Danh sách ngày nghỉ lễ'!$B$5:$B$25)-1-3)&amp;" "&amp;"ngày","")))</f>
        <v/>
      </c>
      <c r="Y187" s="72" t="str">
        <f>IF(S187=0,"",IF(P187="Chuyển","",IF(P187="Nhập vào vụ khác","",IF(P187="BA",IF((S187-R187)&gt;10,"Quá hạn"&amp;" "&amp;(S187-R187-10)&amp;" "&amp;"ngày",""),IF((NETWORKDAYS(R187,S187,'Danh sách ngày nghỉ lễ'!$B$5:$B$25)-VLOOKUP(P187,'Thời hạn'!$A$17:$B$23,2,0))&gt;1,"Quá hạn"&amp;" "&amp;(NETWORKDAYS(R187,S187,'Danh sách ngày nghỉ lễ'!$B$5:$B$25)-1-VLOOKUP(P187,'Thời hạn'!$A$17:$B$23,2,0))&amp;" "&amp;"ngày","")))))</f>
        <v/>
      </c>
      <c r="Z187" s="23">
        <v>1</v>
      </c>
    </row>
    <row r="188" spans="1:26" x14ac:dyDescent="0.3">
      <c r="A188" s="24">
        <v>1</v>
      </c>
      <c r="B188" s="39"/>
      <c r="C188" s="33"/>
      <c r="D188" s="25"/>
      <c r="E188" s="25"/>
      <c r="F188" s="34"/>
      <c r="G188" s="34"/>
      <c r="H188" s="25"/>
      <c r="I188" s="70" t="str">
        <f>IF(C188="Trả lại đơn vụ","",IF(C188="Trả lại đơn việc","",IF(C188="Hòa giải thành","",IF(F188=0,"",EDATE(F188,VLOOKUP(C188,'Thời hạn'!$A$1:$B$10,2,0))+H188))))</f>
        <v/>
      </c>
      <c r="J188" s="59" t="str">
        <f t="shared" ca="1" si="2"/>
        <v/>
      </c>
      <c r="K188" s="25"/>
      <c r="L188" s="129"/>
      <c r="M188" s="130"/>
      <c r="N188" s="35"/>
      <c r="O188" s="34"/>
      <c r="P188" s="25"/>
      <c r="Q188" s="25"/>
      <c r="R188" s="34"/>
      <c r="S188" s="34"/>
      <c r="T188" s="137"/>
      <c r="U188" s="137"/>
      <c r="V188" s="36"/>
      <c r="W188" s="77"/>
      <c r="X188" s="71" t="str">
        <f>IF(C188="Trả lại đơn vụ","",IF(C188="Trả lại đơn việc","",IF((NETWORKDAYS(F188,G188,'Danh sách ngày nghỉ lễ'!$B$5:$B$25)-1-3)&gt;0,"Quá hạn"&amp;" "&amp;(NETWORKDAYS(F188,G188,'Danh sách ngày nghỉ lễ'!$B$5:$B$25)-1-3)&amp;" "&amp;"ngày","")))</f>
        <v/>
      </c>
      <c r="Y188" s="72" t="str">
        <f>IF(S188=0,"",IF(P188="Chuyển","",IF(P188="Nhập vào vụ khác","",IF(P188="BA",IF((S188-R188)&gt;10,"Quá hạn"&amp;" "&amp;(S188-R188-10)&amp;" "&amp;"ngày",""),IF((NETWORKDAYS(R188,S188,'Danh sách ngày nghỉ lễ'!$B$5:$B$25)-VLOOKUP(P188,'Thời hạn'!$A$17:$B$23,2,0))&gt;1,"Quá hạn"&amp;" "&amp;(NETWORKDAYS(R188,S188,'Danh sách ngày nghỉ lễ'!$B$5:$B$25)-1-VLOOKUP(P188,'Thời hạn'!$A$17:$B$23,2,0))&amp;" "&amp;"ngày","")))))</f>
        <v/>
      </c>
      <c r="Z188" s="23">
        <v>1</v>
      </c>
    </row>
    <row r="189" spans="1:26" x14ac:dyDescent="0.3">
      <c r="A189" s="24">
        <v>1</v>
      </c>
      <c r="B189" s="39"/>
      <c r="C189" s="33"/>
      <c r="D189" s="25"/>
      <c r="E189" s="25"/>
      <c r="F189" s="34"/>
      <c r="G189" s="34"/>
      <c r="H189" s="25"/>
      <c r="I189" s="70" t="str">
        <f>IF(C189="Trả lại đơn vụ","",IF(C189="Trả lại đơn việc","",IF(C189="Hòa giải thành","",IF(F189=0,"",EDATE(F189,VLOOKUP(C189,'Thời hạn'!$A$1:$B$10,2,0))+H189))))</f>
        <v/>
      </c>
      <c r="J189" s="59" t="str">
        <f t="shared" ca="1" si="2"/>
        <v/>
      </c>
      <c r="K189" s="25"/>
      <c r="L189" s="129"/>
      <c r="M189" s="130"/>
      <c r="N189" s="35"/>
      <c r="O189" s="34"/>
      <c r="P189" s="25"/>
      <c r="Q189" s="25"/>
      <c r="R189" s="34"/>
      <c r="S189" s="34"/>
      <c r="T189" s="137"/>
      <c r="U189" s="137"/>
      <c r="V189" s="36"/>
      <c r="W189" s="77"/>
      <c r="X189" s="71" t="str">
        <f>IF(C189="Trả lại đơn vụ","",IF(C189="Trả lại đơn việc","",IF((NETWORKDAYS(F189,G189,'Danh sách ngày nghỉ lễ'!$B$5:$B$25)-1-3)&gt;0,"Quá hạn"&amp;" "&amp;(NETWORKDAYS(F189,G189,'Danh sách ngày nghỉ lễ'!$B$5:$B$25)-1-3)&amp;" "&amp;"ngày","")))</f>
        <v/>
      </c>
      <c r="Y189" s="72" t="str">
        <f>IF(S189=0,"",IF(P189="Chuyển","",IF(P189="Nhập vào vụ khác","",IF(P189="BA",IF((S189-R189)&gt;10,"Quá hạn"&amp;" "&amp;(S189-R189-10)&amp;" "&amp;"ngày",""),IF((NETWORKDAYS(R189,S189,'Danh sách ngày nghỉ lễ'!$B$5:$B$25)-VLOOKUP(P189,'Thời hạn'!$A$17:$B$23,2,0))&gt;1,"Quá hạn"&amp;" "&amp;(NETWORKDAYS(R189,S189,'Danh sách ngày nghỉ lễ'!$B$5:$B$25)-1-VLOOKUP(P189,'Thời hạn'!$A$17:$B$23,2,0))&amp;" "&amp;"ngày","")))))</f>
        <v/>
      </c>
      <c r="Z189" s="23">
        <v>1</v>
      </c>
    </row>
    <row r="190" spans="1:26" x14ac:dyDescent="0.3">
      <c r="A190" s="24">
        <v>1</v>
      </c>
      <c r="B190" s="39"/>
      <c r="C190" s="33"/>
      <c r="D190" s="25"/>
      <c r="E190" s="25"/>
      <c r="F190" s="34"/>
      <c r="G190" s="34"/>
      <c r="H190" s="25"/>
      <c r="I190" s="70" t="str">
        <f>IF(C190="Trả lại đơn vụ","",IF(C190="Trả lại đơn việc","",IF(C190="Hòa giải thành","",IF(F190=0,"",EDATE(F190,VLOOKUP(C190,'Thời hạn'!$A$1:$B$10,2,0))+H190))))</f>
        <v/>
      </c>
      <c r="J190" s="59" t="str">
        <f t="shared" ca="1" si="2"/>
        <v/>
      </c>
      <c r="K190" s="25"/>
      <c r="L190" s="129"/>
      <c r="M190" s="130"/>
      <c r="N190" s="35"/>
      <c r="O190" s="34"/>
      <c r="P190" s="25"/>
      <c r="Q190" s="25"/>
      <c r="R190" s="34"/>
      <c r="S190" s="34"/>
      <c r="T190" s="137"/>
      <c r="U190" s="137"/>
      <c r="V190" s="36"/>
      <c r="W190" s="77"/>
      <c r="X190" s="71" t="str">
        <f>IF(C190="Trả lại đơn vụ","",IF(C190="Trả lại đơn việc","",IF((NETWORKDAYS(F190,G190,'Danh sách ngày nghỉ lễ'!$B$5:$B$25)-1-3)&gt;0,"Quá hạn"&amp;" "&amp;(NETWORKDAYS(F190,G190,'Danh sách ngày nghỉ lễ'!$B$5:$B$25)-1-3)&amp;" "&amp;"ngày","")))</f>
        <v/>
      </c>
      <c r="Y190" s="72" t="str">
        <f>IF(S190=0,"",IF(P190="Chuyển","",IF(P190="Nhập vào vụ khác","",IF(P190="BA",IF((S190-R190)&gt;10,"Quá hạn"&amp;" "&amp;(S190-R190-10)&amp;" "&amp;"ngày",""),IF((NETWORKDAYS(R190,S190,'Danh sách ngày nghỉ lễ'!$B$5:$B$25)-VLOOKUP(P190,'Thời hạn'!$A$17:$B$23,2,0))&gt;1,"Quá hạn"&amp;" "&amp;(NETWORKDAYS(R190,S190,'Danh sách ngày nghỉ lễ'!$B$5:$B$25)-1-VLOOKUP(P190,'Thời hạn'!$A$17:$B$23,2,0))&amp;" "&amp;"ngày","")))))</f>
        <v/>
      </c>
      <c r="Z190" s="23">
        <v>1</v>
      </c>
    </row>
    <row r="191" spans="1:26" x14ac:dyDescent="0.3">
      <c r="A191" s="24">
        <v>1</v>
      </c>
      <c r="B191" s="39"/>
      <c r="C191" s="33"/>
      <c r="D191" s="25"/>
      <c r="E191" s="25"/>
      <c r="F191" s="34"/>
      <c r="G191" s="34"/>
      <c r="H191" s="25"/>
      <c r="I191" s="70" t="str">
        <f>IF(C191="Trả lại đơn vụ","",IF(C191="Trả lại đơn việc","",IF(C191="Hòa giải thành","",IF(F191=0,"",EDATE(F191,VLOOKUP(C191,'Thời hạn'!$A$1:$B$10,2,0))+H191))))</f>
        <v/>
      </c>
      <c r="J191" s="59" t="str">
        <f t="shared" ca="1" si="2"/>
        <v/>
      </c>
      <c r="K191" s="25"/>
      <c r="L191" s="129"/>
      <c r="M191" s="130"/>
      <c r="N191" s="35"/>
      <c r="O191" s="34"/>
      <c r="P191" s="25"/>
      <c r="Q191" s="25"/>
      <c r="R191" s="34"/>
      <c r="S191" s="34"/>
      <c r="T191" s="137"/>
      <c r="U191" s="137"/>
      <c r="V191" s="36"/>
      <c r="W191" s="77"/>
      <c r="X191" s="71" t="str">
        <f>IF(C191="Trả lại đơn vụ","",IF(C191="Trả lại đơn việc","",IF((NETWORKDAYS(F191,G191,'Danh sách ngày nghỉ lễ'!$B$5:$B$25)-1-3)&gt;0,"Quá hạn"&amp;" "&amp;(NETWORKDAYS(F191,G191,'Danh sách ngày nghỉ lễ'!$B$5:$B$25)-1-3)&amp;" "&amp;"ngày","")))</f>
        <v/>
      </c>
      <c r="Y191" s="72" t="str">
        <f>IF(S191=0,"",IF(P191="Chuyển","",IF(P191="Nhập vào vụ khác","",IF(P191="BA",IF((S191-R191)&gt;10,"Quá hạn"&amp;" "&amp;(S191-R191-10)&amp;" "&amp;"ngày",""),IF((NETWORKDAYS(R191,S191,'Danh sách ngày nghỉ lễ'!$B$5:$B$25)-VLOOKUP(P191,'Thời hạn'!$A$17:$B$23,2,0))&gt;1,"Quá hạn"&amp;" "&amp;(NETWORKDAYS(R191,S191,'Danh sách ngày nghỉ lễ'!$B$5:$B$25)-1-VLOOKUP(P191,'Thời hạn'!$A$17:$B$23,2,0))&amp;" "&amp;"ngày","")))))</f>
        <v/>
      </c>
      <c r="Z191" s="23">
        <v>1</v>
      </c>
    </row>
    <row r="192" spans="1:26" x14ac:dyDescent="0.3">
      <c r="A192" s="24">
        <v>1</v>
      </c>
      <c r="B192" s="39"/>
      <c r="C192" s="33"/>
      <c r="D192" s="25"/>
      <c r="E192" s="25"/>
      <c r="F192" s="34"/>
      <c r="G192" s="34"/>
      <c r="H192" s="25"/>
      <c r="I192" s="70" t="str">
        <f>IF(C192="Trả lại đơn vụ","",IF(C192="Trả lại đơn việc","",IF(C192="Hòa giải thành","",IF(F192=0,"",EDATE(F192,VLOOKUP(C192,'Thời hạn'!$A$1:$B$10,2,0))+H192))))</f>
        <v/>
      </c>
      <c r="J192" s="59" t="str">
        <f t="shared" ca="1" si="2"/>
        <v/>
      </c>
      <c r="K192" s="25"/>
      <c r="L192" s="129"/>
      <c r="M192" s="130"/>
      <c r="N192" s="35"/>
      <c r="O192" s="34"/>
      <c r="P192" s="25"/>
      <c r="Q192" s="25"/>
      <c r="R192" s="34"/>
      <c r="S192" s="34"/>
      <c r="T192" s="137"/>
      <c r="U192" s="137"/>
      <c r="V192" s="36"/>
      <c r="W192" s="77"/>
      <c r="X192" s="71" t="str">
        <f>IF(C192="Trả lại đơn vụ","",IF(C192="Trả lại đơn việc","",IF((NETWORKDAYS(F192,G192,'Danh sách ngày nghỉ lễ'!$B$5:$B$25)-1-3)&gt;0,"Quá hạn"&amp;" "&amp;(NETWORKDAYS(F192,G192,'Danh sách ngày nghỉ lễ'!$B$5:$B$25)-1-3)&amp;" "&amp;"ngày","")))</f>
        <v/>
      </c>
      <c r="Y192" s="72" t="str">
        <f>IF(S192=0,"",IF(P192="Chuyển","",IF(P192="Nhập vào vụ khác","",IF(P192="BA",IF((S192-R192)&gt;10,"Quá hạn"&amp;" "&amp;(S192-R192-10)&amp;" "&amp;"ngày",""),IF((NETWORKDAYS(R192,S192,'Danh sách ngày nghỉ lễ'!$B$5:$B$25)-VLOOKUP(P192,'Thời hạn'!$A$17:$B$23,2,0))&gt;1,"Quá hạn"&amp;" "&amp;(NETWORKDAYS(R192,S192,'Danh sách ngày nghỉ lễ'!$B$5:$B$25)-1-VLOOKUP(P192,'Thời hạn'!$A$17:$B$23,2,0))&amp;" "&amp;"ngày","")))))</f>
        <v/>
      </c>
      <c r="Z192" s="23">
        <v>1</v>
      </c>
    </row>
    <row r="193" spans="1:26" x14ac:dyDescent="0.3">
      <c r="A193" s="24">
        <v>1</v>
      </c>
      <c r="B193" s="39"/>
      <c r="C193" s="33"/>
      <c r="D193" s="25"/>
      <c r="E193" s="25"/>
      <c r="F193" s="34"/>
      <c r="G193" s="34"/>
      <c r="H193" s="25"/>
      <c r="I193" s="70" t="str">
        <f>IF(C193="Trả lại đơn vụ","",IF(C193="Trả lại đơn việc","",IF(C193="Hòa giải thành","",IF(F193=0,"",EDATE(F193,VLOOKUP(C193,'Thời hạn'!$A$1:$B$10,2,0))+H193))))</f>
        <v/>
      </c>
      <c r="J193" s="59" t="str">
        <f t="shared" ca="1" si="2"/>
        <v/>
      </c>
      <c r="K193" s="25"/>
      <c r="L193" s="129"/>
      <c r="M193" s="130"/>
      <c r="N193" s="35"/>
      <c r="O193" s="34"/>
      <c r="P193" s="25"/>
      <c r="Q193" s="25"/>
      <c r="R193" s="34"/>
      <c r="S193" s="34"/>
      <c r="T193" s="137"/>
      <c r="U193" s="137"/>
      <c r="V193" s="36"/>
      <c r="W193" s="77"/>
      <c r="X193" s="71" t="str">
        <f>IF(C193="Trả lại đơn vụ","",IF(C193="Trả lại đơn việc","",IF((NETWORKDAYS(F193,G193,'Danh sách ngày nghỉ lễ'!$B$5:$B$25)-1-3)&gt;0,"Quá hạn"&amp;" "&amp;(NETWORKDAYS(F193,G193,'Danh sách ngày nghỉ lễ'!$B$5:$B$25)-1-3)&amp;" "&amp;"ngày","")))</f>
        <v/>
      </c>
      <c r="Y193" s="72" t="str">
        <f>IF(S193=0,"",IF(P193="Chuyển","",IF(P193="Nhập vào vụ khác","",IF(P193="BA",IF((S193-R193)&gt;10,"Quá hạn"&amp;" "&amp;(S193-R193-10)&amp;" "&amp;"ngày",""),IF((NETWORKDAYS(R193,S193,'Danh sách ngày nghỉ lễ'!$B$5:$B$25)-VLOOKUP(P193,'Thời hạn'!$A$17:$B$23,2,0))&gt;1,"Quá hạn"&amp;" "&amp;(NETWORKDAYS(R193,S193,'Danh sách ngày nghỉ lễ'!$B$5:$B$25)-1-VLOOKUP(P193,'Thời hạn'!$A$17:$B$23,2,0))&amp;" "&amp;"ngày","")))))</f>
        <v/>
      </c>
      <c r="Z193" s="23">
        <v>1</v>
      </c>
    </row>
    <row r="194" spans="1:26" x14ac:dyDescent="0.3">
      <c r="A194" s="24">
        <v>1</v>
      </c>
      <c r="B194" s="39"/>
      <c r="C194" s="33"/>
      <c r="D194" s="25"/>
      <c r="E194" s="25"/>
      <c r="F194" s="34"/>
      <c r="G194" s="34"/>
      <c r="H194" s="25"/>
      <c r="I194" s="70" t="str">
        <f>IF(C194="Trả lại đơn vụ","",IF(C194="Trả lại đơn việc","",IF(C194="Hòa giải thành","",IF(F194=0,"",EDATE(F194,VLOOKUP(C194,'Thời hạn'!$A$1:$B$10,2,0))+H194))))</f>
        <v/>
      </c>
      <c r="J194" s="59" t="str">
        <f t="shared" ca="1" si="2"/>
        <v/>
      </c>
      <c r="K194" s="25"/>
      <c r="L194" s="129"/>
      <c r="M194" s="130"/>
      <c r="N194" s="35"/>
      <c r="O194" s="34"/>
      <c r="P194" s="25"/>
      <c r="Q194" s="25"/>
      <c r="R194" s="34"/>
      <c r="S194" s="34"/>
      <c r="T194" s="137"/>
      <c r="U194" s="137"/>
      <c r="V194" s="36"/>
      <c r="W194" s="77"/>
      <c r="X194" s="71" t="str">
        <f>IF(C194="Trả lại đơn vụ","",IF(C194="Trả lại đơn việc","",IF((NETWORKDAYS(F194,G194,'Danh sách ngày nghỉ lễ'!$B$5:$B$25)-1-3)&gt;0,"Quá hạn"&amp;" "&amp;(NETWORKDAYS(F194,G194,'Danh sách ngày nghỉ lễ'!$B$5:$B$25)-1-3)&amp;" "&amp;"ngày","")))</f>
        <v/>
      </c>
      <c r="Y194" s="72" t="str">
        <f>IF(S194=0,"",IF(P194="Chuyển","",IF(P194="Nhập vào vụ khác","",IF(P194="BA",IF((S194-R194)&gt;10,"Quá hạn"&amp;" "&amp;(S194-R194-10)&amp;" "&amp;"ngày",""),IF((NETWORKDAYS(R194,S194,'Danh sách ngày nghỉ lễ'!$B$5:$B$25)-VLOOKUP(P194,'Thời hạn'!$A$17:$B$23,2,0))&gt;1,"Quá hạn"&amp;" "&amp;(NETWORKDAYS(R194,S194,'Danh sách ngày nghỉ lễ'!$B$5:$B$25)-1-VLOOKUP(P194,'Thời hạn'!$A$17:$B$23,2,0))&amp;" "&amp;"ngày","")))))</f>
        <v/>
      </c>
      <c r="Z194" s="23">
        <v>1</v>
      </c>
    </row>
    <row r="195" spans="1:26" x14ac:dyDescent="0.3">
      <c r="A195" s="24">
        <v>1</v>
      </c>
      <c r="B195" s="39"/>
      <c r="C195" s="33"/>
      <c r="D195" s="25"/>
      <c r="E195" s="25"/>
      <c r="F195" s="34"/>
      <c r="G195" s="34"/>
      <c r="H195" s="25"/>
      <c r="I195" s="70" t="str">
        <f>IF(C195="Trả lại đơn vụ","",IF(C195="Trả lại đơn việc","",IF(C195="Hòa giải thành","",IF(F195=0,"",EDATE(F195,VLOOKUP(C195,'Thời hạn'!$A$1:$B$10,2,0))+H195))))</f>
        <v/>
      </c>
      <c r="J195" s="59" t="str">
        <f t="shared" ca="1" si="2"/>
        <v/>
      </c>
      <c r="K195" s="25"/>
      <c r="L195" s="129"/>
      <c r="M195" s="130"/>
      <c r="N195" s="35"/>
      <c r="O195" s="34"/>
      <c r="P195" s="25"/>
      <c r="Q195" s="25"/>
      <c r="R195" s="34"/>
      <c r="S195" s="34"/>
      <c r="T195" s="137"/>
      <c r="U195" s="137"/>
      <c r="V195" s="36"/>
      <c r="W195" s="77"/>
      <c r="X195" s="71" t="str">
        <f>IF(C195="Trả lại đơn vụ","",IF(C195="Trả lại đơn việc","",IF((NETWORKDAYS(F195,G195,'Danh sách ngày nghỉ lễ'!$B$5:$B$25)-1-3)&gt;0,"Quá hạn"&amp;" "&amp;(NETWORKDAYS(F195,G195,'Danh sách ngày nghỉ lễ'!$B$5:$B$25)-1-3)&amp;" "&amp;"ngày","")))</f>
        <v/>
      </c>
      <c r="Y195" s="72" t="str">
        <f>IF(S195=0,"",IF(P195="Chuyển","",IF(P195="Nhập vào vụ khác","",IF(P195="BA",IF((S195-R195)&gt;10,"Quá hạn"&amp;" "&amp;(S195-R195-10)&amp;" "&amp;"ngày",""),IF((NETWORKDAYS(R195,S195,'Danh sách ngày nghỉ lễ'!$B$5:$B$25)-VLOOKUP(P195,'Thời hạn'!$A$17:$B$23,2,0))&gt;1,"Quá hạn"&amp;" "&amp;(NETWORKDAYS(R195,S195,'Danh sách ngày nghỉ lễ'!$B$5:$B$25)-1-VLOOKUP(P195,'Thời hạn'!$A$17:$B$23,2,0))&amp;" "&amp;"ngày","")))))</f>
        <v/>
      </c>
      <c r="Z195" s="23">
        <v>1</v>
      </c>
    </row>
    <row r="196" spans="1:26" x14ac:dyDescent="0.3">
      <c r="A196" s="24">
        <v>1</v>
      </c>
      <c r="B196" s="39"/>
      <c r="C196" s="33"/>
      <c r="D196" s="25"/>
      <c r="E196" s="25"/>
      <c r="F196" s="34"/>
      <c r="G196" s="34"/>
      <c r="H196" s="25"/>
      <c r="I196" s="70" t="str">
        <f>IF(C196="Trả lại đơn vụ","",IF(C196="Trả lại đơn việc","",IF(C196="Hòa giải thành","",IF(F196=0,"",EDATE(F196,VLOOKUP(C196,'Thời hạn'!$A$1:$B$10,2,0))+H196))))</f>
        <v/>
      </c>
      <c r="J196" s="59" t="str">
        <f t="shared" ca="1" si="2"/>
        <v/>
      </c>
      <c r="K196" s="25"/>
      <c r="L196" s="129"/>
      <c r="M196" s="130"/>
      <c r="N196" s="35"/>
      <c r="O196" s="34"/>
      <c r="P196" s="25"/>
      <c r="Q196" s="25"/>
      <c r="R196" s="34"/>
      <c r="S196" s="34"/>
      <c r="T196" s="137"/>
      <c r="U196" s="137"/>
      <c r="V196" s="36"/>
      <c r="W196" s="77"/>
      <c r="X196" s="71" t="str">
        <f>IF(C196="Trả lại đơn vụ","",IF(C196="Trả lại đơn việc","",IF((NETWORKDAYS(F196,G196,'Danh sách ngày nghỉ lễ'!$B$5:$B$25)-1-3)&gt;0,"Quá hạn"&amp;" "&amp;(NETWORKDAYS(F196,G196,'Danh sách ngày nghỉ lễ'!$B$5:$B$25)-1-3)&amp;" "&amp;"ngày","")))</f>
        <v/>
      </c>
      <c r="Y196" s="72" t="str">
        <f>IF(S196=0,"",IF(P196="Chuyển","",IF(P196="Nhập vào vụ khác","",IF(P196="BA",IF((S196-R196)&gt;10,"Quá hạn"&amp;" "&amp;(S196-R196-10)&amp;" "&amp;"ngày",""),IF((NETWORKDAYS(R196,S196,'Danh sách ngày nghỉ lễ'!$B$5:$B$25)-VLOOKUP(P196,'Thời hạn'!$A$17:$B$23,2,0))&gt;1,"Quá hạn"&amp;" "&amp;(NETWORKDAYS(R196,S196,'Danh sách ngày nghỉ lễ'!$B$5:$B$25)-1-VLOOKUP(P196,'Thời hạn'!$A$17:$B$23,2,0))&amp;" "&amp;"ngày","")))))</f>
        <v/>
      </c>
      <c r="Z196" s="23">
        <v>1</v>
      </c>
    </row>
    <row r="197" spans="1:26" x14ac:dyDescent="0.3">
      <c r="A197" s="24">
        <v>1</v>
      </c>
      <c r="B197" s="39"/>
      <c r="C197" s="33"/>
      <c r="D197" s="25"/>
      <c r="E197" s="25"/>
      <c r="F197" s="34"/>
      <c r="G197" s="34"/>
      <c r="H197" s="25"/>
      <c r="I197" s="70" t="str">
        <f>IF(C197="Trả lại đơn vụ","",IF(C197="Trả lại đơn việc","",IF(C197="Hòa giải thành","",IF(F197=0,"",EDATE(F197,VLOOKUP(C197,'Thời hạn'!$A$1:$B$10,2,0))+H197))))</f>
        <v/>
      </c>
      <c r="J197" s="59" t="str">
        <f t="shared" ca="1" si="2"/>
        <v/>
      </c>
      <c r="K197" s="25"/>
      <c r="L197" s="129"/>
      <c r="M197" s="130"/>
      <c r="N197" s="35"/>
      <c r="O197" s="34"/>
      <c r="P197" s="25"/>
      <c r="Q197" s="25"/>
      <c r="R197" s="34"/>
      <c r="S197" s="34"/>
      <c r="T197" s="137"/>
      <c r="U197" s="137"/>
      <c r="V197" s="36"/>
      <c r="W197" s="77"/>
      <c r="X197" s="71" t="str">
        <f>IF(C197="Trả lại đơn vụ","",IF(C197="Trả lại đơn việc","",IF((NETWORKDAYS(F197,G197,'Danh sách ngày nghỉ lễ'!$B$5:$B$25)-1-3)&gt;0,"Quá hạn"&amp;" "&amp;(NETWORKDAYS(F197,G197,'Danh sách ngày nghỉ lễ'!$B$5:$B$25)-1-3)&amp;" "&amp;"ngày","")))</f>
        <v/>
      </c>
      <c r="Y197" s="72" t="str">
        <f>IF(S197=0,"",IF(P197="Chuyển","",IF(P197="Nhập vào vụ khác","",IF(P197="BA",IF((S197-R197)&gt;10,"Quá hạn"&amp;" "&amp;(S197-R197-10)&amp;" "&amp;"ngày",""),IF((NETWORKDAYS(R197,S197,'Danh sách ngày nghỉ lễ'!$B$5:$B$25)-VLOOKUP(P197,'Thời hạn'!$A$17:$B$23,2,0))&gt;1,"Quá hạn"&amp;" "&amp;(NETWORKDAYS(R197,S197,'Danh sách ngày nghỉ lễ'!$B$5:$B$25)-1-VLOOKUP(P197,'Thời hạn'!$A$17:$B$23,2,0))&amp;" "&amp;"ngày","")))))</f>
        <v/>
      </c>
      <c r="Z197" s="23">
        <v>1</v>
      </c>
    </row>
    <row r="198" spans="1:26" x14ac:dyDescent="0.3">
      <c r="A198" s="24">
        <v>1</v>
      </c>
      <c r="B198" s="39"/>
      <c r="C198" s="33"/>
      <c r="D198" s="25"/>
      <c r="E198" s="25"/>
      <c r="F198" s="34"/>
      <c r="G198" s="34"/>
      <c r="H198" s="25"/>
      <c r="I198" s="70" t="str">
        <f>IF(C198="Trả lại đơn vụ","",IF(C198="Trả lại đơn việc","",IF(C198="Hòa giải thành","",IF(F198=0,"",EDATE(F198,VLOOKUP(C198,'Thời hạn'!$A$1:$B$10,2,0))+H198))))</f>
        <v/>
      </c>
      <c r="J198" s="59" t="str">
        <f t="shared" ca="1" si="2"/>
        <v/>
      </c>
      <c r="K198" s="25"/>
      <c r="L198" s="129"/>
      <c r="M198" s="130"/>
      <c r="N198" s="35"/>
      <c r="O198" s="34"/>
      <c r="P198" s="25"/>
      <c r="Q198" s="25"/>
      <c r="R198" s="34"/>
      <c r="S198" s="34"/>
      <c r="T198" s="137"/>
      <c r="U198" s="137"/>
      <c r="V198" s="36"/>
      <c r="W198" s="77"/>
      <c r="X198" s="71" t="str">
        <f>IF(C198="Trả lại đơn vụ","",IF(C198="Trả lại đơn việc","",IF((NETWORKDAYS(F198,G198,'Danh sách ngày nghỉ lễ'!$B$5:$B$25)-1-3)&gt;0,"Quá hạn"&amp;" "&amp;(NETWORKDAYS(F198,G198,'Danh sách ngày nghỉ lễ'!$B$5:$B$25)-1-3)&amp;" "&amp;"ngày","")))</f>
        <v/>
      </c>
      <c r="Y198" s="72" t="str">
        <f>IF(S198=0,"",IF(P198="Chuyển","",IF(P198="Nhập vào vụ khác","",IF(P198="BA",IF((S198-R198)&gt;10,"Quá hạn"&amp;" "&amp;(S198-R198-10)&amp;" "&amp;"ngày",""),IF((NETWORKDAYS(R198,S198,'Danh sách ngày nghỉ lễ'!$B$5:$B$25)-VLOOKUP(P198,'Thời hạn'!$A$17:$B$23,2,0))&gt;1,"Quá hạn"&amp;" "&amp;(NETWORKDAYS(R198,S198,'Danh sách ngày nghỉ lễ'!$B$5:$B$25)-1-VLOOKUP(P198,'Thời hạn'!$A$17:$B$23,2,0))&amp;" "&amp;"ngày","")))))</f>
        <v/>
      </c>
      <c r="Z198" s="23">
        <v>1</v>
      </c>
    </row>
    <row r="199" spans="1:26" x14ac:dyDescent="0.3">
      <c r="A199" s="24">
        <v>1</v>
      </c>
      <c r="B199" s="39"/>
      <c r="C199" s="33"/>
      <c r="D199" s="25"/>
      <c r="E199" s="25"/>
      <c r="F199" s="34"/>
      <c r="G199" s="34"/>
      <c r="H199" s="25"/>
      <c r="I199" s="70" t="str">
        <f>IF(C199="Trả lại đơn vụ","",IF(C199="Trả lại đơn việc","",IF(C199="Hòa giải thành","",IF(F199=0,"",EDATE(F199,VLOOKUP(C199,'Thời hạn'!$A$1:$B$10,2,0))+H199))))</f>
        <v/>
      </c>
      <c r="J199" s="59" t="str">
        <f t="shared" ca="1" si="2"/>
        <v/>
      </c>
      <c r="K199" s="25"/>
      <c r="L199" s="129"/>
      <c r="M199" s="130"/>
      <c r="N199" s="35"/>
      <c r="O199" s="34"/>
      <c r="P199" s="25"/>
      <c r="Q199" s="25"/>
      <c r="R199" s="34"/>
      <c r="S199" s="34"/>
      <c r="T199" s="137"/>
      <c r="U199" s="137"/>
      <c r="V199" s="36"/>
      <c r="W199" s="77"/>
      <c r="X199" s="71" t="str">
        <f>IF(C199="Trả lại đơn vụ","",IF(C199="Trả lại đơn việc","",IF((NETWORKDAYS(F199,G199,'Danh sách ngày nghỉ lễ'!$B$5:$B$25)-1-3)&gt;0,"Quá hạn"&amp;" "&amp;(NETWORKDAYS(F199,G199,'Danh sách ngày nghỉ lễ'!$B$5:$B$25)-1-3)&amp;" "&amp;"ngày","")))</f>
        <v/>
      </c>
      <c r="Y199" s="72" t="str">
        <f>IF(S199=0,"",IF(P199="Chuyển","",IF(P199="Nhập vào vụ khác","",IF(P199="BA",IF((S199-R199)&gt;10,"Quá hạn"&amp;" "&amp;(S199-R199-10)&amp;" "&amp;"ngày",""),IF((NETWORKDAYS(R199,S199,'Danh sách ngày nghỉ lễ'!$B$5:$B$25)-VLOOKUP(P199,'Thời hạn'!$A$17:$B$23,2,0))&gt;1,"Quá hạn"&amp;" "&amp;(NETWORKDAYS(R199,S199,'Danh sách ngày nghỉ lễ'!$B$5:$B$25)-1-VLOOKUP(P199,'Thời hạn'!$A$17:$B$23,2,0))&amp;" "&amp;"ngày","")))))</f>
        <v/>
      </c>
      <c r="Z199" s="23">
        <v>1</v>
      </c>
    </row>
    <row r="200" spans="1:26" x14ac:dyDescent="0.3">
      <c r="A200" s="24">
        <v>1</v>
      </c>
      <c r="B200" s="39"/>
      <c r="C200" s="33"/>
      <c r="D200" s="25"/>
      <c r="E200" s="25"/>
      <c r="F200" s="34"/>
      <c r="G200" s="34"/>
      <c r="H200" s="25"/>
      <c r="I200" s="70" t="str">
        <f>IF(C200="Trả lại đơn vụ","",IF(C200="Trả lại đơn việc","",IF(C200="Hòa giải thành","",IF(F200=0,"",EDATE(F200,VLOOKUP(C200,'Thời hạn'!$A$1:$B$10,2,0))+H200))))</f>
        <v/>
      </c>
      <c r="J200" s="59" t="str">
        <f t="shared" ca="1" si="2"/>
        <v/>
      </c>
      <c r="K200" s="25"/>
      <c r="L200" s="129"/>
      <c r="M200" s="130"/>
      <c r="N200" s="35"/>
      <c r="O200" s="34"/>
      <c r="P200" s="25"/>
      <c r="Q200" s="25"/>
      <c r="R200" s="34"/>
      <c r="S200" s="34"/>
      <c r="T200" s="137"/>
      <c r="U200" s="137"/>
      <c r="V200" s="36"/>
      <c r="W200" s="77"/>
      <c r="X200" s="71" t="str">
        <f>IF(C200="Trả lại đơn vụ","",IF(C200="Trả lại đơn việc","",IF((NETWORKDAYS(F200,G200,'Danh sách ngày nghỉ lễ'!$B$5:$B$25)-1-3)&gt;0,"Quá hạn"&amp;" "&amp;(NETWORKDAYS(F200,G200,'Danh sách ngày nghỉ lễ'!$B$5:$B$25)-1-3)&amp;" "&amp;"ngày","")))</f>
        <v/>
      </c>
      <c r="Y200" s="72" t="str">
        <f>IF(S200=0,"",IF(P200="Chuyển","",IF(P200="Nhập vào vụ khác","",IF(P200="BA",IF((S200-R200)&gt;10,"Quá hạn"&amp;" "&amp;(S200-R200-10)&amp;" "&amp;"ngày",""),IF((NETWORKDAYS(R200,S200,'Danh sách ngày nghỉ lễ'!$B$5:$B$25)-VLOOKUP(P200,'Thời hạn'!$A$17:$B$23,2,0))&gt;1,"Quá hạn"&amp;" "&amp;(NETWORKDAYS(R200,S200,'Danh sách ngày nghỉ lễ'!$B$5:$B$25)-1-VLOOKUP(P200,'Thời hạn'!$A$17:$B$23,2,0))&amp;" "&amp;"ngày","")))))</f>
        <v/>
      </c>
      <c r="Z200" s="23">
        <v>1</v>
      </c>
    </row>
    <row r="201" spans="1:26" x14ac:dyDescent="0.3">
      <c r="A201" s="24">
        <v>1</v>
      </c>
      <c r="B201" s="39"/>
      <c r="C201" s="33"/>
      <c r="D201" s="25"/>
      <c r="E201" s="25"/>
      <c r="F201" s="34"/>
      <c r="G201" s="34"/>
      <c r="H201" s="25"/>
      <c r="I201" s="70" t="str">
        <f>IF(C201="Trả lại đơn vụ","",IF(C201="Trả lại đơn việc","",IF(C201="Hòa giải thành","",IF(F201=0,"",EDATE(F201,VLOOKUP(C201,'Thời hạn'!$A$1:$B$10,2,0))+H201))))</f>
        <v/>
      </c>
      <c r="J201" s="59" t="str">
        <f t="shared" ca="1" si="2"/>
        <v/>
      </c>
      <c r="K201" s="25"/>
      <c r="L201" s="129"/>
      <c r="M201" s="130"/>
      <c r="N201" s="35"/>
      <c r="O201" s="34"/>
      <c r="P201" s="25"/>
      <c r="Q201" s="25"/>
      <c r="R201" s="34"/>
      <c r="S201" s="34"/>
      <c r="T201" s="137"/>
      <c r="U201" s="137"/>
      <c r="V201" s="36"/>
      <c r="W201" s="77"/>
      <c r="X201" s="71" t="str">
        <f>IF(C201="Trả lại đơn vụ","",IF(C201="Trả lại đơn việc","",IF((NETWORKDAYS(F201,G201,'Danh sách ngày nghỉ lễ'!$B$5:$B$25)-1-3)&gt;0,"Quá hạn"&amp;" "&amp;(NETWORKDAYS(F201,G201,'Danh sách ngày nghỉ lễ'!$B$5:$B$25)-1-3)&amp;" "&amp;"ngày","")))</f>
        <v/>
      </c>
      <c r="Y201" s="72" t="str">
        <f>IF(S201=0,"",IF(P201="Chuyển","",IF(P201="Nhập vào vụ khác","",IF(P201="BA",IF((S201-R201)&gt;10,"Quá hạn"&amp;" "&amp;(S201-R201-10)&amp;" "&amp;"ngày",""),IF((NETWORKDAYS(R201,S201,'Danh sách ngày nghỉ lễ'!$B$5:$B$25)-VLOOKUP(P201,'Thời hạn'!$A$17:$B$23,2,0))&gt;1,"Quá hạn"&amp;" "&amp;(NETWORKDAYS(R201,S201,'Danh sách ngày nghỉ lễ'!$B$5:$B$25)-1-VLOOKUP(P201,'Thời hạn'!$A$17:$B$23,2,0))&amp;" "&amp;"ngày","")))))</f>
        <v/>
      </c>
      <c r="Z201" s="23">
        <v>1</v>
      </c>
    </row>
    <row r="202" spans="1:26" x14ac:dyDescent="0.3">
      <c r="A202" s="24">
        <v>1</v>
      </c>
      <c r="B202" s="39"/>
      <c r="C202" s="33"/>
      <c r="D202" s="25"/>
      <c r="E202" s="25"/>
      <c r="F202" s="34"/>
      <c r="G202" s="34"/>
      <c r="H202" s="25"/>
      <c r="I202" s="70" t="str">
        <f>IF(C202="Trả lại đơn vụ","",IF(C202="Trả lại đơn việc","",IF(C202="Hòa giải thành","",IF(F202=0,"",EDATE(F202,VLOOKUP(C202,'Thời hạn'!$A$1:$B$10,2,0))+H202))))</f>
        <v/>
      </c>
      <c r="J202" s="59" t="str">
        <f t="shared" ca="1" si="2"/>
        <v/>
      </c>
      <c r="K202" s="25"/>
      <c r="L202" s="129"/>
      <c r="M202" s="130"/>
      <c r="N202" s="35"/>
      <c r="O202" s="34"/>
      <c r="P202" s="25"/>
      <c r="Q202" s="25"/>
      <c r="R202" s="34"/>
      <c r="S202" s="34"/>
      <c r="T202" s="137"/>
      <c r="U202" s="137"/>
      <c r="V202" s="36"/>
      <c r="W202" s="77"/>
      <c r="X202" s="71" t="str">
        <f>IF(C202="Trả lại đơn vụ","",IF(C202="Trả lại đơn việc","",IF((NETWORKDAYS(F202,G202,'Danh sách ngày nghỉ lễ'!$B$5:$B$25)-1-3)&gt;0,"Quá hạn"&amp;" "&amp;(NETWORKDAYS(F202,G202,'Danh sách ngày nghỉ lễ'!$B$5:$B$25)-1-3)&amp;" "&amp;"ngày","")))</f>
        <v/>
      </c>
      <c r="Y202" s="72" t="str">
        <f>IF(S202=0,"",IF(P202="Chuyển","",IF(P202="Nhập vào vụ khác","",IF(P202="BA",IF((S202-R202)&gt;10,"Quá hạn"&amp;" "&amp;(S202-R202-10)&amp;" "&amp;"ngày",""),IF((NETWORKDAYS(R202,S202,'Danh sách ngày nghỉ lễ'!$B$5:$B$25)-VLOOKUP(P202,'Thời hạn'!$A$17:$B$23,2,0))&gt;1,"Quá hạn"&amp;" "&amp;(NETWORKDAYS(R202,S202,'Danh sách ngày nghỉ lễ'!$B$5:$B$25)-1-VLOOKUP(P202,'Thời hạn'!$A$17:$B$23,2,0))&amp;" "&amp;"ngày","")))))</f>
        <v/>
      </c>
      <c r="Z202" s="23">
        <v>1</v>
      </c>
    </row>
    <row r="203" spans="1:26" x14ac:dyDescent="0.3">
      <c r="A203" s="24">
        <v>1</v>
      </c>
      <c r="B203" s="39"/>
      <c r="C203" s="33"/>
      <c r="D203" s="25"/>
      <c r="E203" s="25"/>
      <c r="F203" s="34"/>
      <c r="G203" s="34"/>
      <c r="H203" s="25"/>
      <c r="I203" s="70" t="str">
        <f>IF(C203="Trả lại đơn vụ","",IF(C203="Trả lại đơn việc","",IF(C203="Hòa giải thành","",IF(F203=0,"",EDATE(F203,VLOOKUP(C203,'Thời hạn'!$A$1:$B$10,2,0))+H203))))</f>
        <v/>
      </c>
      <c r="J203" s="59" t="str">
        <f t="shared" ref="J203:J228" ca="1" si="3">IF(C203="Trả lại đơn vụ","",IF(C203="Trả lại đơn việc","",IF(C203="Hòa giải thành","",IF(N203=0,IF(P203=0,IF(F203=0,"",I203-TODAY()+1),""),""))))</f>
        <v/>
      </c>
      <c r="K203" s="25"/>
      <c r="L203" s="129"/>
      <c r="M203" s="130"/>
      <c r="N203" s="35"/>
      <c r="O203" s="34"/>
      <c r="P203" s="25"/>
      <c r="Q203" s="25"/>
      <c r="R203" s="34"/>
      <c r="S203" s="34"/>
      <c r="T203" s="137"/>
      <c r="U203" s="137"/>
      <c r="V203" s="36"/>
      <c r="W203" s="77"/>
      <c r="X203" s="71" t="str">
        <f>IF(C203="Trả lại đơn vụ","",IF(C203="Trả lại đơn việc","",IF((NETWORKDAYS(F203,G203,'Danh sách ngày nghỉ lễ'!$B$5:$B$25)-1-3)&gt;0,"Quá hạn"&amp;" "&amp;(NETWORKDAYS(F203,G203,'Danh sách ngày nghỉ lễ'!$B$5:$B$25)-1-3)&amp;" "&amp;"ngày","")))</f>
        <v/>
      </c>
      <c r="Y203" s="72" t="str">
        <f>IF(S203=0,"",IF(P203="Chuyển","",IF(P203="Nhập vào vụ khác","",IF(P203="BA",IF((S203-R203)&gt;10,"Quá hạn"&amp;" "&amp;(S203-R203-10)&amp;" "&amp;"ngày",""),IF((NETWORKDAYS(R203,S203,'Danh sách ngày nghỉ lễ'!$B$5:$B$25)-VLOOKUP(P203,'Thời hạn'!$A$17:$B$23,2,0))&gt;1,"Quá hạn"&amp;" "&amp;(NETWORKDAYS(R203,S203,'Danh sách ngày nghỉ lễ'!$B$5:$B$25)-1-VLOOKUP(P203,'Thời hạn'!$A$17:$B$23,2,0))&amp;" "&amp;"ngày","")))))</f>
        <v/>
      </c>
      <c r="Z203" s="23">
        <v>1</v>
      </c>
    </row>
    <row r="204" spans="1:26" x14ac:dyDescent="0.3">
      <c r="A204" s="24">
        <v>1</v>
      </c>
      <c r="B204" s="39"/>
      <c r="C204" s="33"/>
      <c r="D204" s="25"/>
      <c r="E204" s="25"/>
      <c r="F204" s="34"/>
      <c r="G204" s="34"/>
      <c r="H204" s="25"/>
      <c r="I204" s="70" t="str">
        <f>IF(C204="Trả lại đơn vụ","",IF(C204="Trả lại đơn việc","",IF(C204="Hòa giải thành","",IF(F204=0,"",EDATE(F204,VLOOKUP(C204,'Thời hạn'!$A$1:$B$10,2,0))+H204))))</f>
        <v/>
      </c>
      <c r="J204" s="59" t="str">
        <f t="shared" ca="1" si="3"/>
        <v/>
      </c>
      <c r="K204" s="25"/>
      <c r="L204" s="129"/>
      <c r="M204" s="130"/>
      <c r="N204" s="35"/>
      <c r="O204" s="34"/>
      <c r="P204" s="25"/>
      <c r="Q204" s="25"/>
      <c r="R204" s="34"/>
      <c r="S204" s="34"/>
      <c r="T204" s="137"/>
      <c r="U204" s="137"/>
      <c r="V204" s="36"/>
      <c r="W204" s="77"/>
      <c r="X204" s="71" t="str">
        <f>IF(C204="Trả lại đơn vụ","",IF(C204="Trả lại đơn việc","",IF((NETWORKDAYS(F204,G204,'Danh sách ngày nghỉ lễ'!$B$5:$B$25)-1-3)&gt;0,"Quá hạn"&amp;" "&amp;(NETWORKDAYS(F204,G204,'Danh sách ngày nghỉ lễ'!$B$5:$B$25)-1-3)&amp;" "&amp;"ngày","")))</f>
        <v/>
      </c>
      <c r="Y204" s="72" t="str">
        <f>IF(S204=0,"",IF(P204="Chuyển","",IF(P204="Nhập vào vụ khác","",IF(P204="BA",IF((S204-R204)&gt;10,"Quá hạn"&amp;" "&amp;(S204-R204-10)&amp;" "&amp;"ngày",""),IF((NETWORKDAYS(R204,S204,'Danh sách ngày nghỉ lễ'!$B$5:$B$25)-VLOOKUP(P204,'Thời hạn'!$A$17:$B$23,2,0))&gt;1,"Quá hạn"&amp;" "&amp;(NETWORKDAYS(R204,S204,'Danh sách ngày nghỉ lễ'!$B$5:$B$25)-1-VLOOKUP(P204,'Thời hạn'!$A$17:$B$23,2,0))&amp;" "&amp;"ngày","")))))</f>
        <v/>
      </c>
      <c r="Z204" s="23">
        <v>1</v>
      </c>
    </row>
    <row r="205" spans="1:26" x14ac:dyDescent="0.3">
      <c r="A205" s="24">
        <v>1</v>
      </c>
      <c r="B205" s="39"/>
      <c r="C205" s="33"/>
      <c r="D205" s="25"/>
      <c r="E205" s="25"/>
      <c r="F205" s="34"/>
      <c r="G205" s="34"/>
      <c r="H205" s="25"/>
      <c r="I205" s="70" t="str">
        <f>IF(C205="Trả lại đơn vụ","",IF(C205="Trả lại đơn việc","",IF(C205="Hòa giải thành","",IF(F205=0,"",EDATE(F205,VLOOKUP(C205,'Thời hạn'!$A$1:$B$10,2,0))+H205))))</f>
        <v/>
      </c>
      <c r="J205" s="59" t="str">
        <f t="shared" ca="1" si="3"/>
        <v/>
      </c>
      <c r="K205" s="25"/>
      <c r="L205" s="129"/>
      <c r="M205" s="130"/>
      <c r="N205" s="35"/>
      <c r="O205" s="34"/>
      <c r="P205" s="25"/>
      <c r="Q205" s="25"/>
      <c r="R205" s="34"/>
      <c r="S205" s="34"/>
      <c r="T205" s="137"/>
      <c r="U205" s="137"/>
      <c r="V205" s="36"/>
      <c r="W205" s="77"/>
      <c r="X205" s="71" t="str">
        <f>IF(C205="Trả lại đơn vụ","",IF(C205="Trả lại đơn việc","",IF((NETWORKDAYS(F205,G205,'Danh sách ngày nghỉ lễ'!$B$5:$B$25)-1-3)&gt;0,"Quá hạn"&amp;" "&amp;(NETWORKDAYS(F205,G205,'Danh sách ngày nghỉ lễ'!$B$5:$B$25)-1-3)&amp;" "&amp;"ngày","")))</f>
        <v/>
      </c>
      <c r="Y205" s="72" t="str">
        <f>IF(S205=0,"",IF(P205="Chuyển","",IF(P205="Nhập vào vụ khác","",IF(P205="BA",IF((S205-R205)&gt;10,"Quá hạn"&amp;" "&amp;(S205-R205-10)&amp;" "&amp;"ngày",""),IF((NETWORKDAYS(R205,S205,'Danh sách ngày nghỉ lễ'!$B$5:$B$25)-VLOOKUP(P205,'Thời hạn'!$A$17:$B$23,2,0))&gt;1,"Quá hạn"&amp;" "&amp;(NETWORKDAYS(R205,S205,'Danh sách ngày nghỉ lễ'!$B$5:$B$25)-1-VLOOKUP(P205,'Thời hạn'!$A$17:$B$23,2,0))&amp;" "&amp;"ngày","")))))</f>
        <v/>
      </c>
      <c r="Z205" s="23">
        <v>1</v>
      </c>
    </row>
    <row r="206" spans="1:26" x14ac:dyDescent="0.3">
      <c r="A206" s="24">
        <v>1</v>
      </c>
      <c r="B206" s="39"/>
      <c r="C206" s="33"/>
      <c r="D206" s="25"/>
      <c r="E206" s="25"/>
      <c r="F206" s="34"/>
      <c r="G206" s="34"/>
      <c r="H206" s="25"/>
      <c r="I206" s="70" t="str">
        <f>IF(C206="Trả lại đơn vụ","",IF(C206="Trả lại đơn việc","",IF(C206="Hòa giải thành","",IF(F206=0,"",EDATE(F206,VLOOKUP(C206,'Thời hạn'!$A$1:$B$10,2,0))+H206))))</f>
        <v/>
      </c>
      <c r="J206" s="59" t="str">
        <f t="shared" ca="1" si="3"/>
        <v/>
      </c>
      <c r="K206" s="25"/>
      <c r="L206" s="129"/>
      <c r="M206" s="130"/>
      <c r="N206" s="35"/>
      <c r="O206" s="34"/>
      <c r="P206" s="25"/>
      <c r="Q206" s="25"/>
      <c r="R206" s="34"/>
      <c r="S206" s="34"/>
      <c r="T206" s="137"/>
      <c r="U206" s="137"/>
      <c r="V206" s="36"/>
      <c r="W206" s="77"/>
      <c r="X206" s="71" t="str">
        <f>IF(C206="Trả lại đơn vụ","",IF(C206="Trả lại đơn việc","",IF((NETWORKDAYS(F206,G206,'Danh sách ngày nghỉ lễ'!$B$5:$B$25)-1-3)&gt;0,"Quá hạn"&amp;" "&amp;(NETWORKDAYS(F206,G206,'Danh sách ngày nghỉ lễ'!$B$5:$B$25)-1-3)&amp;" "&amp;"ngày","")))</f>
        <v/>
      </c>
      <c r="Y206" s="72" t="str">
        <f>IF(S206=0,"",IF(P206="Chuyển","",IF(P206="Nhập vào vụ khác","",IF(P206="BA",IF((S206-R206)&gt;10,"Quá hạn"&amp;" "&amp;(S206-R206-10)&amp;" "&amp;"ngày",""),IF((NETWORKDAYS(R206,S206,'Danh sách ngày nghỉ lễ'!$B$5:$B$25)-VLOOKUP(P206,'Thời hạn'!$A$17:$B$23,2,0))&gt;1,"Quá hạn"&amp;" "&amp;(NETWORKDAYS(R206,S206,'Danh sách ngày nghỉ lễ'!$B$5:$B$25)-1-VLOOKUP(P206,'Thời hạn'!$A$17:$B$23,2,0))&amp;" "&amp;"ngày","")))))</f>
        <v/>
      </c>
      <c r="Z206" s="23">
        <v>1</v>
      </c>
    </row>
    <row r="207" spans="1:26" x14ac:dyDescent="0.3">
      <c r="A207" s="24">
        <v>1</v>
      </c>
      <c r="B207" s="39"/>
      <c r="C207" s="33"/>
      <c r="D207" s="25"/>
      <c r="E207" s="25"/>
      <c r="F207" s="34"/>
      <c r="G207" s="34"/>
      <c r="H207" s="25"/>
      <c r="I207" s="70" t="str">
        <f>IF(C207="Trả lại đơn vụ","",IF(C207="Trả lại đơn việc","",IF(C207="Hòa giải thành","",IF(F207=0,"",EDATE(F207,VLOOKUP(C207,'Thời hạn'!$A$1:$B$10,2,0))+H207))))</f>
        <v/>
      </c>
      <c r="J207" s="59" t="str">
        <f t="shared" ca="1" si="3"/>
        <v/>
      </c>
      <c r="K207" s="25"/>
      <c r="L207" s="129"/>
      <c r="M207" s="130"/>
      <c r="N207" s="35"/>
      <c r="O207" s="34"/>
      <c r="P207" s="25"/>
      <c r="Q207" s="25"/>
      <c r="R207" s="34"/>
      <c r="S207" s="34"/>
      <c r="T207" s="137"/>
      <c r="U207" s="137"/>
      <c r="V207" s="36"/>
      <c r="W207" s="77"/>
      <c r="X207" s="71" t="str">
        <f>IF(C207="Trả lại đơn vụ","",IF(C207="Trả lại đơn việc","",IF((NETWORKDAYS(F207,G207,'Danh sách ngày nghỉ lễ'!$B$5:$B$25)-1-3)&gt;0,"Quá hạn"&amp;" "&amp;(NETWORKDAYS(F207,G207,'Danh sách ngày nghỉ lễ'!$B$5:$B$25)-1-3)&amp;" "&amp;"ngày","")))</f>
        <v/>
      </c>
      <c r="Y207" s="72" t="str">
        <f>IF(S207=0,"",IF(P207="Chuyển","",IF(P207="Nhập vào vụ khác","",IF(P207="BA",IF((S207-R207)&gt;10,"Quá hạn"&amp;" "&amp;(S207-R207-10)&amp;" "&amp;"ngày",""),IF((NETWORKDAYS(R207,S207,'Danh sách ngày nghỉ lễ'!$B$5:$B$25)-VLOOKUP(P207,'Thời hạn'!$A$17:$B$23,2,0))&gt;1,"Quá hạn"&amp;" "&amp;(NETWORKDAYS(R207,S207,'Danh sách ngày nghỉ lễ'!$B$5:$B$25)-1-VLOOKUP(P207,'Thời hạn'!$A$17:$B$23,2,0))&amp;" "&amp;"ngày","")))))</f>
        <v/>
      </c>
      <c r="Z207" s="23">
        <v>1</v>
      </c>
    </row>
    <row r="208" spans="1:26" x14ac:dyDescent="0.3">
      <c r="A208" s="24">
        <v>1</v>
      </c>
      <c r="B208" s="39"/>
      <c r="C208" s="33"/>
      <c r="D208" s="25"/>
      <c r="E208" s="25"/>
      <c r="F208" s="34"/>
      <c r="G208" s="34"/>
      <c r="H208" s="25"/>
      <c r="I208" s="70" t="str">
        <f>IF(C208="Trả lại đơn vụ","",IF(C208="Trả lại đơn việc","",IF(C208="Hòa giải thành","",IF(F208=0,"",EDATE(F208,VLOOKUP(C208,'Thời hạn'!$A$1:$B$10,2,0))+H208))))</f>
        <v/>
      </c>
      <c r="J208" s="59" t="str">
        <f t="shared" ca="1" si="3"/>
        <v/>
      </c>
      <c r="K208" s="25"/>
      <c r="L208" s="129"/>
      <c r="M208" s="130"/>
      <c r="N208" s="35"/>
      <c r="O208" s="34"/>
      <c r="P208" s="25"/>
      <c r="Q208" s="25"/>
      <c r="R208" s="34"/>
      <c r="S208" s="34"/>
      <c r="T208" s="137"/>
      <c r="U208" s="137"/>
      <c r="V208" s="36"/>
      <c r="W208" s="77"/>
      <c r="X208" s="71" t="str">
        <f>IF(C208="Trả lại đơn vụ","",IF(C208="Trả lại đơn việc","",IF((NETWORKDAYS(F208,G208,'Danh sách ngày nghỉ lễ'!$B$5:$B$25)-1-3)&gt;0,"Quá hạn"&amp;" "&amp;(NETWORKDAYS(F208,G208,'Danh sách ngày nghỉ lễ'!$B$5:$B$25)-1-3)&amp;" "&amp;"ngày","")))</f>
        <v/>
      </c>
      <c r="Y208" s="72" t="str">
        <f>IF(S208=0,"",IF(P208="Chuyển","",IF(P208="Nhập vào vụ khác","",IF(P208="BA",IF((S208-R208)&gt;10,"Quá hạn"&amp;" "&amp;(S208-R208-10)&amp;" "&amp;"ngày",""),IF((NETWORKDAYS(R208,S208,'Danh sách ngày nghỉ lễ'!$B$5:$B$25)-VLOOKUP(P208,'Thời hạn'!$A$17:$B$23,2,0))&gt;1,"Quá hạn"&amp;" "&amp;(NETWORKDAYS(R208,S208,'Danh sách ngày nghỉ lễ'!$B$5:$B$25)-1-VLOOKUP(P208,'Thời hạn'!$A$17:$B$23,2,0))&amp;" "&amp;"ngày","")))))</f>
        <v/>
      </c>
      <c r="Z208" s="23">
        <v>1</v>
      </c>
    </row>
    <row r="209" spans="1:26" x14ac:dyDescent="0.3">
      <c r="A209" s="24">
        <v>1</v>
      </c>
      <c r="B209" s="39"/>
      <c r="C209" s="33"/>
      <c r="D209" s="25"/>
      <c r="E209" s="25"/>
      <c r="F209" s="34"/>
      <c r="G209" s="34"/>
      <c r="H209" s="25"/>
      <c r="I209" s="70" t="str">
        <f>IF(C209="Trả lại đơn vụ","",IF(C209="Trả lại đơn việc","",IF(C209="Hòa giải thành","",IF(F209=0,"",EDATE(F209,VLOOKUP(C209,'Thời hạn'!$A$1:$B$10,2,0))+H209))))</f>
        <v/>
      </c>
      <c r="J209" s="59" t="str">
        <f t="shared" ca="1" si="3"/>
        <v/>
      </c>
      <c r="K209" s="25"/>
      <c r="L209" s="129"/>
      <c r="M209" s="130"/>
      <c r="N209" s="35"/>
      <c r="O209" s="34"/>
      <c r="P209" s="25"/>
      <c r="Q209" s="25"/>
      <c r="R209" s="34"/>
      <c r="S209" s="34"/>
      <c r="T209" s="137"/>
      <c r="U209" s="137"/>
      <c r="V209" s="36"/>
      <c r="W209" s="77"/>
      <c r="X209" s="71" t="str">
        <f>IF(C209="Trả lại đơn vụ","",IF(C209="Trả lại đơn việc","",IF((NETWORKDAYS(F209,G209,'Danh sách ngày nghỉ lễ'!$B$5:$B$25)-1-3)&gt;0,"Quá hạn"&amp;" "&amp;(NETWORKDAYS(F209,G209,'Danh sách ngày nghỉ lễ'!$B$5:$B$25)-1-3)&amp;" "&amp;"ngày","")))</f>
        <v/>
      </c>
      <c r="Y209" s="72" t="str">
        <f>IF(S209=0,"",IF(P209="Chuyển","",IF(P209="Nhập vào vụ khác","",IF(P209="BA",IF((S209-R209)&gt;10,"Quá hạn"&amp;" "&amp;(S209-R209-10)&amp;" "&amp;"ngày",""),IF((NETWORKDAYS(R209,S209,'Danh sách ngày nghỉ lễ'!$B$5:$B$25)-VLOOKUP(P209,'Thời hạn'!$A$17:$B$23,2,0))&gt;1,"Quá hạn"&amp;" "&amp;(NETWORKDAYS(R209,S209,'Danh sách ngày nghỉ lễ'!$B$5:$B$25)-1-VLOOKUP(P209,'Thời hạn'!$A$17:$B$23,2,0))&amp;" "&amp;"ngày","")))))</f>
        <v/>
      </c>
      <c r="Z209" s="23">
        <v>1</v>
      </c>
    </row>
    <row r="210" spans="1:26" x14ac:dyDescent="0.3">
      <c r="A210" s="24">
        <v>1</v>
      </c>
      <c r="B210" s="39"/>
      <c r="C210" s="33"/>
      <c r="D210" s="25"/>
      <c r="E210" s="25"/>
      <c r="F210" s="34"/>
      <c r="G210" s="34"/>
      <c r="H210" s="25"/>
      <c r="I210" s="70" t="str">
        <f>IF(C210="Trả lại đơn vụ","",IF(C210="Trả lại đơn việc","",IF(C210="Hòa giải thành","",IF(F210=0,"",EDATE(F210,VLOOKUP(C210,'Thời hạn'!$A$1:$B$10,2,0))+H210))))</f>
        <v/>
      </c>
      <c r="J210" s="59" t="str">
        <f t="shared" ca="1" si="3"/>
        <v/>
      </c>
      <c r="K210" s="25"/>
      <c r="L210" s="129"/>
      <c r="M210" s="130"/>
      <c r="N210" s="35"/>
      <c r="O210" s="34"/>
      <c r="P210" s="25"/>
      <c r="Q210" s="25"/>
      <c r="R210" s="34"/>
      <c r="S210" s="34"/>
      <c r="T210" s="137"/>
      <c r="U210" s="137"/>
      <c r="V210" s="36"/>
      <c r="W210" s="77"/>
      <c r="X210" s="71" t="str">
        <f>IF(C210="Trả lại đơn vụ","",IF(C210="Trả lại đơn việc","",IF((NETWORKDAYS(F210,G210,'Danh sách ngày nghỉ lễ'!$B$5:$B$25)-1-3)&gt;0,"Quá hạn"&amp;" "&amp;(NETWORKDAYS(F210,G210,'Danh sách ngày nghỉ lễ'!$B$5:$B$25)-1-3)&amp;" "&amp;"ngày","")))</f>
        <v/>
      </c>
      <c r="Y210" s="72" t="str">
        <f>IF(S210=0,"",IF(P210="Chuyển","",IF(P210="Nhập vào vụ khác","",IF(P210="BA",IF((S210-R210)&gt;10,"Quá hạn"&amp;" "&amp;(S210-R210-10)&amp;" "&amp;"ngày",""),IF((NETWORKDAYS(R210,S210,'Danh sách ngày nghỉ lễ'!$B$5:$B$25)-VLOOKUP(P210,'Thời hạn'!$A$17:$B$23,2,0))&gt;1,"Quá hạn"&amp;" "&amp;(NETWORKDAYS(R210,S210,'Danh sách ngày nghỉ lễ'!$B$5:$B$25)-1-VLOOKUP(P210,'Thời hạn'!$A$17:$B$23,2,0))&amp;" "&amp;"ngày","")))))</f>
        <v/>
      </c>
      <c r="Z210" s="23">
        <v>1</v>
      </c>
    </row>
    <row r="211" spans="1:26" x14ac:dyDescent="0.3">
      <c r="A211" s="24">
        <v>1</v>
      </c>
      <c r="B211" s="39"/>
      <c r="C211" s="33"/>
      <c r="D211" s="25"/>
      <c r="E211" s="25"/>
      <c r="F211" s="34"/>
      <c r="G211" s="34"/>
      <c r="H211" s="25"/>
      <c r="I211" s="70" t="str">
        <f>IF(C211="Trả lại đơn vụ","",IF(C211="Trả lại đơn việc","",IF(C211="Hòa giải thành","",IF(F211=0,"",EDATE(F211,VLOOKUP(C211,'Thời hạn'!$A$1:$B$10,2,0))+H211))))</f>
        <v/>
      </c>
      <c r="J211" s="59" t="str">
        <f t="shared" ca="1" si="3"/>
        <v/>
      </c>
      <c r="K211" s="25"/>
      <c r="L211" s="129"/>
      <c r="M211" s="130"/>
      <c r="N211" s="35"/>
      <c r="O211" s="34"/>
      <c r="P211" s="25"/>
      <c r="Q211" s="25"/>
      <c r="R211" s="34"/>
      <c r="S211" s="34"/>
      <c r="T211" s="137"/>
      <c r="U211" s="137"/>
      <c r="V211" s="36"/>
      <c r="W211" s="77"/>
      <c r="X211" s="71" t="str">
        <f>IF(C211="Trả lại đơn vụ","",IF(C211="Trả lại đơn việc","",IF((NETWORKDAYS(F211,G211,'Danh sách ngày nghỉ lễ'!$B$5:$B$25)-1-3)&gt;0,"Quá hạn"&amp;" "&amp;(NETWORKDAYS(F211,G211,'Danh sách ngày nghỉ lễ'!$B$5:$B$25)-1-3)&amp;" "&amp;"ngày","")))</f>
        <v/>
      </c>
      <c r="Y211" s="72" t="str">
        <f>IF(S211=0,"",IF(P211="Chuyển","",IF(P211="Nhập vào vụ khác","",IF(P211="BA",IF((S211-R211)&gt;10,"Quá hạn"&amp;" "&amp;(S211-R211-10)&amp;" "&amp;"ngày",""),IF((NETWORKDAYS(R211,S211,'Danh sách ngày nghỉ lễ'!$B$5:$B$25)-VLOOKUP(P211,'Thời hạn'!$A$17:$B$23,2,0))&gt;1,"Quá hạn"&amp;" "&amp;(NETWORKDAYS(R211,S211,'Danh sách ngày nghỉ lễ'!$B$5:$B$25)-1-VLOOKUP(P211,'Thời hạn'!$A$17:$B$23,2,0))&amp;" "&amp;"ngày","")))))</f>
        <v/>
      </c>
      <c r="Z211" s="23">
        <v>1</v>
      </c>
    </row>
    <row r="212" spans="1:26" x14ac:dyDescent="0.3">
      <c r="A212" s="24">
        <v>1</v>
      </c>
      <c r="B212" s="39"/>
      <c r="C212" s="33"/>
      <c r="D212" s="25"/>
      <c r="E212" s="25"/>
      <c r="F212" s="34"/>
      <c r="G212" s="34"/>
      <c r="H212" s="25"/>
      <c r="I212" s="70" t="str">
        <f>IF(C212="Trả lại đơn vụ","",IF(C212="Trả lại đơn việc","",IF(C212="Hòa giải thành","",IF(F212=0,"",EDATE(F212,VLOOKUP(C212,'Thời hạn'!$A$1:$B$10,2,0))+H212))))</f>
        <v/>
      </c>
      <c r="J212" s="59" t="str">
        <f t="shared" ca="1" si="3"/>
        <v/>
      </c>
      <c r="K212" s="25"/>
      <c r="L212" s="129"/>
      <c r="M212" s="130"/>
      <c r="N212" s="35"/>
      <c r="O212" s="34"/>
      <c r="P212" s="25"/>
      <c r="Q212" s="25"/>
      <c r="R212" s="34"/>
      <c r="S212" s="34"/>
      <c r="T212" s="137"/>
      <c r="U212" s="137"/>
      <c r="V212" s="36"/>
      <c r="W212" s="77"/>
      <c r="X212" s="71" t="str">
        <f>IF(C212="Trả lại đơn vụ","",IF(C212="Trả lại đơn việc","",IF((NETWORKDAYS(F212,G212,'Danh sách ngày nghỉ lễ'!$B$5:$B$25)-1-3)&gt;0,"Quá hạn"&amp;" "&amp;(NETWORKDAYS(F212,G212,'Danh sách ngày nghỉ lễ'!$B$5:$B$25)-1-3)&amp;" "&amp;"ngày","")))</f>
        <v/>
      </c>
      <c r="Y212" s="72" t="str">
        <f>IF(S212=0,"",IF(P212="Chuyển","",IF(P212="Nhập vào vụ khác","",IF(P212="BA",IF((S212-R212)&gt;10,"Quá hạn"&amp;" "&amp;(S212-R212-10)&amp;" "&amp;"ngày",""),IF((NETWORKDAYS(R212,S212,'Danh sách ngày nghỉ lễ'!$B$5:$B$25)-VLOOKUP(P212,'Thời hạn'!$A$17:$B$23,2,0))&gt;1,"Quá hạn"&amp;" "&amp;(NETWORKDAYS(R212,S212,'Danh sách ngày nghỉ lễ'!$B$5:$B$25)-1-VLOOKUP(P212,'Thời hạn'!$A$17:$B$23,2,0))&amp;" "&amp;"ngày","")))))</f>
        <v/>
      </c>
      <c r="Z212" s="23">
        <v>1</v>
      </c>
    </row>
    <row r="213" spans="1:26" x14ac:dyDescent="0.3">
      <c r="A213" s="24">
        <v>1</v>
      </c>
      <c r="B213" s="39"/>
      <c r="C213" s="33"/>
      <c r="D213" s="25"/>
      <c r="E213" s="25"/>
      <c r="F213" s="34"/>
      <c r="G213" s="34"/>
      <c r="H213" s="25"/>
      <c r="I213" s="70" t="str">
        <f>IF(C213="Trả lại đơn vụ","",IF(C213="Trả lại đơn việc","",IF(C213="Hòa giải thành","",IF(F213=0,"",EDATE(F213,VLOOKUP(C213,'Thời hạn'!$A$1:$B$10,2,0))+H213))))</f>
        <v/>
      </c>
      <c r="J213" s="59" t="str">
        <f t="shared" ca="1" si="3"/>
        <v/>
      </c>
      <c r="K213" s="25"/>
      <c r="L213" s="129"/>
      <c r="M213" s="130"/>
      <c r="N213" s="35"/>
      <c r="O213" s="34"/>
      <c r="P213" s="25"/>
      <c r="Q213" s="25"/>
      <c r="R213" s="34"/>
      <c r="S213" s="34"/>
      <c r="T213" s="137"/>
      <c r="U213" s="137"/>
      <c r="V213" s="36"/>
      <c r="W213" s="77"/>
      <c r="X213" s="71" t="str">
        <f>IF(C213="Trả lại đơn vụ","",IF(C213="Trả lại đơn việc","",IF((NETWORKDAYS(F213,G213,'Danh sách ngày nghỉ lễ'!$B$5:$B$25)-1-3)&gt;0,"Quá hạn"&amp;" "&amp;(NETWORKDAYS(F213,G213,'Danh sách ngày nghỉ lễ'!$B$5:$B$25)-1-3)&amp;" "&amp;"ngày","")))</f>
        <v/>
      </c>
      <c r="Y213" s="72" t="str">
        <f>IF(S213=0,"",IF(P213="Chuyển","",IF(P213="Nhập vào vụ khác","",IF(P213="BA",IF((S213-R213)&gt;10,"Quá hạn"&amp;" "&amp;(S213-R213-10)&amp;" "&amp;"ngày",""),IF((NETWORKDAYS(R213,S213,'Danh sách ngày nghỉ lễ'!$B$5:$B$25)-VLOOKUP(P213,'Thời hạn'!$A$17:$B$23,2,0))&gt;1,"Quá hạn"&amp;" "&amp;(NETWORKDAYS(R213,S213,'Danh sách ngày nghỉ lễ'!$B$5:$B$25)-1-VLOOKUP(P213,'Thời hạn'!$A$17:$B$23,2,0))&amp;" "&amp;"ngày","")))))</f>
        <v/>
      </c>
      <c r="Z213" s="23">
        <v>1</v>
      </c>
    </row>
    <row r="214" spans="1:26" x14ac:dyDescent="0.3">
      <c r="A214" s="24">
        <v>1</v>
      </c>
      <c r="B214" s="39"/>
      <c r="C214" s="33"/>
      <c r="D214" s="25"/>
      <c r="E214" s="25"/>
      <c r="F214" s="34"/>
      <c r="G214" s="34"/>
      <c r="H214" s="25"/>
      <c r="I214" s="70" t="str">
        <f>IF(C214="Trả lại đơn vụ","",IF(C214="Trả lại đơn việc","",IF(C214="Hòa giải thành","",IF(F214=0,"",EDATE(F214,VLOOKUP(C214,'Thời hạn'!$A$1:$B$10,2,0))+H214))))</f>
        <v/>
      </c>
      <c r="J214" s="59" t="str">
        <f t="shared" ca="1" si="3"/>
        <v/>
      </c>
      <c r="K214" s="25"/>
      <c r="L214" s="129"/>
      <c r="M214" s="130"/>
      <c r="N214" s="35"/>
      <c r="O214" s="34"/>
      <c r="P214" s="25"/>
      <c r="Q214" s="25"/>
      <c r="R214" s="34"/>
      <c r="S214" s="34"/>
      <c r="T214" s="137"/>
      <c r="U214" s="137"/>
      <c r="V214" s="36"/>
      <c r="W214" s="77"/>
      <c r="X214" s="71" t="str">
        <f>IF(C214="Trả lại đơn vụ","",IF(C214="Trả lại đơn việc","",IF((NETWORKDAYS(F214,G214,'Danh sách ngày nghỉ lễ'!$B$5:$B$25)-1-3)&gt;0,"Quá hạn"&amp;" "&amp;(NETWORKDAYS(F214,G214,'Danh sách ngày nghỉ lễ'!$B$5:$B$25)-1-3)&amp;" "&amp;"ngày","")))</f>
        <v/>
      </c>
      <c r="Y214" s="72" t="str">
        <f>IF(S214=0,"",IF(P214="Chuyển","",IF(P214="Nhập vào vụ khác","",IF(P214="BA",IF((S214-R214)&gt;10,"Quá hạn"&amp;" "&amp;(S214-R214-10)&amp;" "&amp;"ngày",""),IF((NETWORKDAYS(R214,S214,'Danh sách ngày nghỉ lễ'!$B$5:$B$25)-VLOOKUP(P214,'Thời hạn'!$A$17:$B$23,2,0))&gt;1,"Quá hạn"&amp;" "&amp;(NETWORKDAYS(R214,S214,'Danh sách ngày nghỉ lễ'!$B$5:$B$25)-1-VLOOKUP(P214,'Thời hạn'!$A$17:$B$23,2,0))&amp;" "&amp;"ngày","")))))</f>
        <v/>
      </c>
      <c r="Z214" s="23">
        <v>1</v>
      </c>
    </row>
    <row r="215" spans="1:26" x14ac:dyDescent="0.3">
      <c r="A215" s="24">
        <v>1</v>
      </c>
      <c r="B215" s="39"/>
      <c r="C215" s="33"/>
      <c r="D215" s="25"/>
      <c r="E215" s="25"/>
      <c r="F215" s="34"/>
      <c r="G215" s="34"/>
      <c r="H215" s="25"/>
      <c r="I215" s="70" t="str">
        <f>IF(C215="Trả lại đơn vụ","",IF(C215="Trả lại đơn việc","",IF(C215="Hòa giải thành","",IF(F215=0,"",EDATE(F215,VLOOKUP(C215,'Thời hạn'!$A$1:$B$10,2,0))+H215))))</f>
        <v/>
      </c>
      <c r="J215" s="59" t="str">
        <f t="shared" ca="1" si="3"/>
        <v/>
      </c>
      <c r="K215" s="25"/>
      <c r="L215" s="129"/>
      <c r="M215" s="130"/>
      <c r="N215" s="35"/>
      <c r="O215" s="34"/>
      <c r="P215" s="25"/>
      <c r="Q215" s="25"/>
      <c r="R215" s="34"/>
      <c r="S215" s="34"/>
      <c r="T215" s="137"/>
      <c r="U215" s="137"/>
      <c r="V215" s="36"/>
      <c r="W215" s="77"/>
      <c r="X215" s="71" t="str">
        <f>IF(C215="Trả lại đơn vụ","",IF(C215="Trả lại đơn việc","",IF((NETWORKDAYS(F215,G215,'Danh sách ngày nghỉ lễ'!$B$5:$B$25)-1-3)&gt;0,"Quá hạn"&amp;" "&amp;(NETWORKDAYS(F215,G215,'Danh sách ngày nghỉ lễ'!$B$5:$B$25)-1-3)&amp;" "&amp;"ngày","")))</f>
        <v/>
      </c>
      <c r="Y215" s="72" t="str">
        <f>IF(S215=0,"",IF(P215="Chuyển","",IF(P215="Nhập vào vụ khác","",IF(P215="BA",IF((S215-R215)&gt;10,"Quá hạn"&amp;" "&amp;(S215-R215-10)&amp;" "&amp;"ngày",""),IF((NETWORKDAYS(R215,S215,'Danh sách ngày nghỉ lễ'!$B$5:$B$25)-VLOOKUP(P215,'Thời hạn'!$A$17:$B$23,2,0))&gt;1,"Quá hạn"&amp;" "&amp;(NETWORKDAYS(R215,S215,'Danh sách ngày nghỉ lễ'!$B$5:$B$25)-1-VLOOKUP(P215,'Thời hạn'!$A$17:$B$23,2,0))&amp;" "&amp;"ngày","")))))</f>
        <v/>
      </c>
      <c r="Z215" s="23">
        <v>1</v>
      </c>
    </row>
    <row r="216" spans="1:26" x14ac:dyDescent="0.3">
      <c r="A216" s="24">
        <v>1</v>
      </c>
      <c r="B216" s="39"/>
      <c r="C216" s="33"/>
      <c r="D216" s="25"/>
      <c r="E216" s="25"/>
      <c r="F216" s="34"/>
      <c r="G216" s="34"/>
      <c r="H216" s="25"/>
      <c r="I216" s="70" t="str">
        <f>IF(C216="Trả lại đơn vụ","",IF(C216="Trả lại đơn việc","",IF(C216="Hòa giải thành","",IF(F216=0,"",EDATE(F216,VLOOKUP(C216,'Thời hạn'!$A$1:$B$10,2,0))+H216))))</f>
        <v/>
      </c>
      <c r="J216" s="59" t="str">
        <f t="shared" ca="1" si="3"/>
        <v/>
      </c>
      <c r="K216" s="25"/>
      <c r="L216" s="129"/>
      <c r="M216" s="130"/>
      <c r="N216" s="35"/>
      <c r="O216" s="34"/>
      <c r="P216" s="25"/>
      <c r="Q216" s="25"/>
      <c r="R216" s="34"/>
      <c r="S216" s="34"/>
      <c r="T216" s="137"/>
      <c r="U216" s="137"/>
      <c r="V216" s="36"/>
      <c r="W216" s="77"/>
      <c r="X216" s="71" t="str">
        <f>IF(C216="Trả lại đơn vụ","",IF(C216="Trả lại đơn việc","",IF((NETWORKDAYS(F216,G216,'Danh sách ngày nghỉ lễ'!$B$5:$B$25)-1-3)&gt;0,"Quá hạn"&amp;" "&amp;(NETWORKDAYS(F216,G216,'Danh sách ngày nghỉ lễ'!$B$5:$B$25)-1-3)&amp;" "&amp;"ngày","")))</f>
        <v/>
      </c>
      <c r="Y216" s="72" t="str">
        <f>IF(S216=0,"",IF(P216="Chuyển","",IF(P216="Nhập vào vụ khác","",IF(P216="BA",IF((S216-R216)&gt;10,"Quá hạn"&amp;" "&amp;(S216-R216-10)&amp;" "&amp;"ngày",""),IF((NETWORKDAYS(R216,S216,'Danh sách ngày nghỉ lễ'!$B$5:$B$25)-VLOOKUP(P216,'Thời hạn'!$A$17:$B$23,2,0))&gt;1,"Quá hạn"&amp;" "&amp;(NETWORKDAYS(R216,S216,'Danh sách ngày nghỉ lễ'!$B$5:$B$25)-1-VLOOKUP(P216,'Thời hạn'!$A$17:$B$23,2,0))&amp;" "&amp;"ngày","")))))</f>
        <v/>
      </c>
      <c r="Z216" s="23">
        <v>1</v>
      </c>
    </row>
    <row r="217" spans="1:26" x14ac:dyDescent="0.3">
      <c r="A217" s="24">
        <v>1</v>
      </c>
      <c r="B217" s="39"/>
      <c r="C217" s="33"/>
      <c r="D217" s="25"/>
      <c r="E217" s="25"/>
      <c r="F217" s="34"/>
      <c r="G217" s="34"/>
      <c r="H217" s="25"/>
      <c r="I217" s="70" t="str">
        <f>IF(C217="Trả lại đơn vụ","",IF(C217="Trả lại đơn việc","",IF(C217="Hòa giải thành","",IF(F217=0,"",EDATE(F217,VLOOKUP(C217,'Thời hạn'!$A$1:$B$10,2,0))+H217))))</f>
        <v/>
      </c>
      <c r="J217" s="59" t="str">
        <f t="shared" ca="1" si="3"/>
        <v/>
      </c>
      <c r="K217" s="25"/>
      <c r="L217" s="129"/>
      <c r="M217" s="130"/>
      <c r="N217" s="35"/>
      <c r="O217" s="34"/>
      <c r="P217" s="25"/>
      <c r="Q217" s="25"/>
      <c r="R217" s="34"/>
      <c r="S217" s="34"/>
      <c r="T217" s="137"/>
      <c r="U217" s="137"/>
      <c r="V217" s="36"/>
      <c r="W217" s="77"/>
      <c r="X217" s="71" t="str">
        <f>IF(C217="Trả lại đơn vụ","",IF(C217="Trả lại đơn việc","",IF((NETWORKDAYS(F217,G217,'Danh sách ngày nghỉ lễ'!$B$5:$B$25)-1-3)&gt;0,"Quá hạn"&amp;" "&amp;(NETWORKDAYS(F217,G217,'Danh sách ngày nghỉ lễ'!$B$5:$B$25)-1-3)&amp;" "&amp;"ngày","")))</f>
        <v/>
      </c>
      <c r="Y217" s="72" t="str">
        <f>IF(S217=0,"",IF(P217="Chuyển","",IF(P217="Nhập vào vụ khác","",IF(P217="BA",IF((S217-R217)&gt;10,"Quá hạn"&amp;" "&amp;(S217-R217-10)&amp;" "&amp;"ngày",""),IF((NETWORKDAYS(R217,S217,'Danh sách ngày nghỉ lễ'!$B$5:$B$25)-VLOOKUP(P217,'Thời hạn'!$A$17:$B$23,2,0))&gt;1,"Quá hạn"&amp;" "&amp;(NETWORKDAYS(R217,S217,'Danh sách ngày nghỉ lễ'!$B$5:$B$25)-1-VLOOKUP(P217,'Thời hạn'!$A$17:$B$23,2,0))&amp;" "&amp;"ngày","")))))</f>
        <v/>
      </c>
      <c r="Z217" s="23">
        <v>1</v>
      </c>
    </row>
    <row r="218" spans="1:26" x14ac:dyDescent="0.3">
      <c r="A218" s="24">
        <v>1</v>
      </c>
      <c r="B218" s="39"/>
      <c r="C218" s="33"/>
      <c r="D218" s="25"/>
      <c r="E218" s="25"/>
      <c r="F218" s="34"/>
      <c r="G218" s="34"/>
      <c r="H218" s="25"/>
      <c r="I218" s="70" t="str">
        <f>IF(C218="Trả lại đơn vụ","",IF(C218="Trả lại đơn việc","",IF(C218="Hòa giải thành","",IF(F218=0,"",EDATE(F218,VLOOKUP(C218,'Thời hạn'!$A$1:$B$10,2,0))+H218))))</f>
        <v/>
      </c>
      <c r="J218" s="59" t="str">
        <f t="shared" ca="1" si="3"/>
        <v/>
      </c>
      <c r="K218" s="25"/>
      <c r="L218" s="129"/>
      <c r="M218" s="130"/>
      <c r="N218" s="35"/>
      <c r="O218" s="34"/>
      <c r="P218" s="25"/>
      <c r="Q218" s="25"/>
      <c r="R218" s="34"/>
      <c r="S218" s="34"/>
      <c r="T218" s="137"/>
      <c r="U218" s="137"/>
      <c r="V218" s="36"/>
      <c r="W218" s="77"/>
      <c r="X218" s="71" t="str">
        <f>IF(C218="Trả lại đơn vụ","",IF(C218="Trả lại đơn việc","",IF((NETWORKDAYS(F218,G218,'Danh sách ngày nghỉ lễ'!$B$5:$B$25)-1-3)&gt;0,"Quá hạn"&amp;" "&amp;(NETWORKDAYS(F218,G218,'Danh sách ngày nghỉ lễ'!$B$5:$B$25)-1-3)&amp;" "&amp;"ngày","")))</f>
        <v/>
      </c>
      <c r="Y218" s="72" t="str">
        <f>IF(S218=0,"",IF(P218="Chuyển","",IF(P218="Nhập vào vụ khác","",IF(P218="BA",IF((S218-R218)&gt;10,"Quá hạn"&amp;" "&amp;(S218-R218-10)&amp;" "&amp;"ngày",""),IF((NETWORKDAYS(R218,S218,'Danh sách ngày nghỉ lễ'!$B$5:$B$25)-VLOOKUP(P218,'Thời hạn'!$A$17:$B$23,2,0))&gt;1,"Quá hạn"&amp;" "&amp;(NETWORKDAYS(R218,S218,'Danh sách ngày nghỉ lễ'!$B$5:$B$25)-1-VLOOKUP(P218,'Thời hạn'!$A$17:$B$23,2,0))&amp;" "&amp;"ngày","")))))</f>
        <v/>
      </c>
      <c r="Z218" s="23">
        <v>1</v>
      </c>
    </row>
    <row r="219" spans="1:26" x14ac:dyDescent="0.3">
      <c r="A219" s="24">
        <v>1</v>
      </c>
      <c r="B219" s="39"/>
      <c r="C219" s="33"/>
      <c r="D219" s="25"/>
      <c r="E219" s="25"/>
      <c r="F219" s="34"/>
      <c r="G219" s="34"/>
      <c r="H219" s="25"/>
      <c r="I219" s="70" t="str">
        <f>IF(C219="Trả lại đơn vụ","",IF(C219="Trả lại đơn việc","",IF(C219="Hòa giải thành","",IF(F219=0,"",EDATE(F219,VLOOKUP(C219,'Thời hạn'!$A$1:$B$10,2,0))+H219))))</f>
        <v/>
      </c>
      <c r="J219" s="59" t="str">
        <f t="shared" ca="1" si="3"/>
        <v/>
      </c>
      <c r="K219" s="25"/>
      <c r="L219" s="129"/>
      <c r="M219" s="130"/>
      <c r="N219" s="35"/>
      <c r="O219" s="34"/>
      <c r="P219" s="25"/>
      <c r="Q219" s="25"/>
      <c r="R219" s="34"/>
      <c r="S219" s="34"/>
      <c r="T219" s="137"/>
      <c r="U219" s="137"/>
      <c r="V219" s="36"/>
      <c r="W219" s="77"/>
      <c r="X219" s="71" t="str">
        <f>IF(C219="Trả lại đơn vụ","",IF(C219="Trả lại đơn việc","",IF((NETWORKDAYS(F219,G219,'Danh sách ngày nghỉ lễ'!$B$5:$B$25)-1-3)&gt;0,"Quá hạn"&amp;" "&amp;(NETWORKDAYS(F219,G219,'Danh sách ngày nghỉ lễ'!$B$5:$B$25)-1-3)&amp;" "&amp;"ngày","")))</f>
        <v/>
      </c>
      <c r="Y219" s="72" t="str">
        <f>IF(S219=0,"",IF(P219="Chuyển","",IF(P219="Nhập vào vụ khác","",IF(P219="BA",IF((S219-R219)&gt;10,"Quá hạn"&amp;" "&amp;(S219-R219-10)&amp;" "&amp;"ngày",""),IF((NETWORKDAYS(R219,S219,'Danh sách ngày nghỉ lễ'!$B$5:$B$25)-VLOOKUP(P219,'Thời hạn'!$A$17:$B$23,2,0))&gt;1,"Quá hạn"&amp;" "&amp;(NETWORKDAYS(R219,S219,'Danh sách ngày nghỉ lễ'!$B$5:$B$25)-1-VLOOKUP(P219,'Thời hạn'!$A$17:$B$23,2,0))&amp;" "&amp;"ngày","")))))</f>
        <v/>
      </c>
      <c r="Z219" s="23">
        <v>1</v>
      </c>
    </row>
    <row r="220" spans="1:26" x14ac:dyDescent="0.3">
      <c r="A220" s="24">
        <v>1</v>
      </c>
      <c r="B220" s="39"/>
      <c r="C220" s="33"/>
      <c r="D220" s="25"/>
      <c r="E220" s="25"/>
      <c r="F220" s="34"/>
      <c r="G220" s="34"/>
      <c r="H220" s="25"/>
      <c r="I220" s="70" t="str">
        <f>IF(C220="Trả lại đơn vụ","",IF(C220="Trả lại đơn việc","",IF(C220="Hòa giải thành","",IF(F220=0,"",EDATE(F220,VLOOKUP(C220,'Thời hạn'!$A$1:$B$10,2,0))+H220))))</f>
        <v/>
      </c>
      <c r="J220" s="59" t="str">
        <f t="shared" ca="1" si="3"/>
        <v/>
      </c>
      <c r="K220" s="25"/>
      <c r="L220" s="129"/>
      <c r="M220" s="130"/>
      <c r="N220" s="35"/>
      <c r="O220" s="34"/>
      <c r="P220" s="25"/>
      <c r="Q220" s="25"/>
      <c r="R220" s="34"/>
      <c r="S220" s="34"/>
      <c r="T220" s="137"/>
      <c r="U220" s="137"/>
      <c r="V220" s="36"/>
      <c r="W220" s="77"/>
      <c r="X220" s="71" t="str">
        <f>IF(C220="Trả lại đơn vụ","",IF(C220="Trả lại đơn việc","",IF((NETWORKDAYS(F220,G220,'Danh sách ngày nghỉ lễ'!$B$5:$B$25)-1-3)&gt;0,"Quá hạn"&amp;" "&amp;(NETWORKDAYS(F220,G220,'Danh sách ngày nghỉ lễ'!$B$5:$B$25)-1-3)&amp;" "&amp;"ngày","")))</f>
        <v/>
      </c>
      <c r="Y220" s="72" t="str">
        <f>IF(S220=0,"",IF(P220="Chuyển","",IF(P220="Nhập vào vụ khác","",IF(P220="BA",IF((S220-R220)&gt;10,"Quá hạn"&amp;" "&amp;(S220-R220-10)&amp;" "&amp;"ngày",""),IF((NETWORKDAYS(R220,S220,'Danh sách ngày nghỉ lễ'!$B$5:$B$25)-VLOOKUP(P220,'Thời hạn'!$A$17:$B$23,2,0))&gt;1,"Quá hạn"&amp;" "&amp;(NETWORKDAYS(R220,S220,'Danh sách ngày nghỉ lễ'!$B$5:$B$25)-1-VLOOKUP(P220,'Thời hạn'!$A$17:$B$23,2,0))&amp;" "&amp;"ngày","")))))</f>
        <v/>
      </c>
      <c r="Z220" s="23">
        <v>1</v>
      </c>
    </row>
    <row r="221" spans="1:26" x14ac:dyDescent="0.3">
      <c r="A221" s="24">
        <v>1</v>
      </c>
      <c r="B221" s="39"/>
      <c r="C221" s="33"/>
      <c r="D221" s="25"/>
      <c r="E221" s="25"/>
      <c r="F221" s="34"/>
      <c r="G221" s="34"/>
      <c r="H221" s="25"/>
      <c r="I221" s="70" t="str">
        <f>IF(C221="Trả lại đơn vụ","",IF(C221="Trả lại đơn việc","",IF(C221="Hòa giải thành","",IF(F221=0,"",EDATE(F221,VLOOKUP(C221,'Thời hạn'!$A$1:$B$10,2,0))+H221))))</f>
        <v/>
      </c>
      <c r="J221" s="59" t="str">
        <f t="shared" ca="1" si="3"/>
        <v/>
      </c>
      <c r="K221" s="25"/>
      <c r="L221" s="129"/>
      <c r="M221" s="130"/>
      <c r="N221" s="35"/>
      <c r="O221" s="34"/>
      <c r="P221" s="25"/>
      <c r="Q221" s="25"/>
      <c r="R221" s="34"/>
      <c r="S221" s="34"/>
      <c r="T221" s="137"/>
      <c r="U221" s="137"/>
      <c r="V221" s="36"/>
      <c r="W221" s="77"/>
      <c r="X221" s="71" t="str">
        <f>IF(C221="Trả lại đơn vụ","",IF(C221="Trả lại đơn việc","",IF((NETWORKDAYS(F221,G221,'Danh sách ngày nghỉ lễ'!$B$5:$B$25)-1-3)&gt;0,"Quá hạn"&amp;" "&amp;(NETWORKDAYS(F221,G221,'Danh sách ngày nghỉ lễ'!$B$5:$B$25)-1-3)&amp;" "&amp;"ngày","")))</f>
        <v/>
      </c>
      <c r="Y221" s="72" t="str">
        <f>IF(S221=0,"",IF(P221="Chuyển","",IF(P221="Nhập vào vụ khác","",IF(P221="BA",IF((S221-R221)&gt;10,"Quá hạn"&amp;" "&amp;(S221-R221-10)&amp;" "&amp;"ngày",""),IF((NETWORKDAYS(R221,S221,'Danh sách ngày nghỉ lễ'!$B$5:$B$25)-VLOOKUP(P221,'Thời hạn'!$A$17:$B$23,2,0))&gt;1,"Quá hạn"&amp;" "&amp;(NETWORKDAYS(R221,S221,'Danh sách ngày nghỉ lễ'!$B$5:$B$25)-1-VLOOKUP(P221,'Thời hạn'!$A$17:$B$23,2,0))&amp;" "&amp;"ngày","")))))</f>
        <v/>
      </c>
      <c r="Z221" s="23">
        <v>1</v>
      </c>
    </row>
    <row r="222" spans="1:26" x14ac:dyDescent="0.3">
      <c r="A222" s="24">
        <v>1</v>
      </c>
      <c r="B222" s="39"/>
      <c r="C222" s="33"/>
      <c r="D222" s="25"/>
      <c r="E222" s="25"/>
      <c r="F222" s="34"/>
      <c r="G222" s="34"/>
      <c r="H222" s="25"/>
      <c r="I222" s="70" t="str">
        <f>IF(C222="Trả lại đơn vụ","",IF(C222="Trả lại đơn việc","",IF(C222="Hòa giải thành","",IF(F222=0,"",EDATE(F222,VLOOKUP(C222,'Thời hạn'!$A$1:$B$10,2,0))+H222))))</f>
        <v/>
      </c>
      <c r="J222" s="59" t="str">
        <f t="shared" ca="1" si="3"/>
        <v/>
      </c>
      <c r="K222" s="25"/>
      <c r="L222" s="129"/>
      <c r="M222" s="130"/>
      <c r="N222" s="35"/>
      <c r="O222" s="34"/>
      <c r="P222" s="25"/>
      <c r="Q222" s="25"/>
      <c r="R222" s="34"/>
      <c r="S222" s="34"/>
      <c r="T222" s="137"/>
      <c r="U222" s="137"/>
      <c r="V222" s="36"/>
      <c r="W222" s="77"/>
      <c r="X222" s="71" t="str">
        <f>IF(C222="Trả lại đơn vụ","",IF(C222="Trả lại đơn việc","",IF((NETWORKDAYS(F222,G222,'Danh sách ngày nghỉ lễ'!$B$5:$B$25)-1-3)&gt;0,"Quá hạn"&amp;" "&amp;(NETWORKDAYS(F222,G222,'Danh sách ngày nghỉ lễ'!$B$5:$B$25)-1-3)&amp;" "&amp;"ngày","")))</f>
        <v/>
      </c>
      <c r="Y222" s="72" t="str">
        <f>IF(S222=0,"",IF(P222="Chuyển","",IF(P222="Nhập vào vụ khác","",IF(P222="BA",IF((S222-R222)&gt;10,"Quá hạn"&amp;" "&amp;(S222-R222-10)&amp;" "&amp;"ngày",""),IF((NETWORKDAYS(R222,S222,'Danh sách ngày nghỉ lễ'!$B$5:$B$25)-VLOOKUP(P222,'Thời hạn'!$A$17:$B$23,2,0))&gt;1,"Quá hạn"&amp;" "&amp;(NETWORKDAYS(R222,S222,'Danh sách ngày nghỉ lễ'!$B$5:$B$25)-1-VLOOKUP(P222,'Thời hạn'!$A$17:$B$23,2,0))&amp;" "&amp;"ngày","")))))</f>
        <v/>
      </c>
      <c r="Z222" s="23">
        <v>1</v>
      </c>
    </row>
    <row r="223" spans="1:26" x14ac:dyDescent="0.3">
      <c r="A223" s="24">
        <v>1</v>
      </c>
      <c r="B223" s="39"/>
      <c r="C223" s="33"/>
      <c r="D223" s="25"/>
      <c r="E223" s="25"/>
      <c r="F223" s="34"/>
      <c r="G223" s="34"/>
      <c r="H223" s="25"/>
      <c r="I223" s="70" t="str">
        <f>IF(C223="Trả lại đơn vụ","",IF(C223="Trả lại đơn việc","",IF(C223="Hòa giải thành","",IF(F223=0,"",EDATE(F223,VLOOKUP(C223,'Thời hạn'!$A$1:$B$10,2,0))+H223))))</f>
        <v/>
      </c>
      <c r="J223" s="59" t="str">
        <f t="shared" ca="1" si="3"/>
        <v/>
      </c>
      <c r="K223" s="25"/>
      <c r="L223" s="129"/>
      <c r="M223" s="130"/>
      <c r="N223" s="35"/>
      <c r="O223" s="34"/>
      <c r="P223" s="25"/>
      <c r="Q223" s="25"/>
      <c r="R223" s="34"/>
      <c r="S223" s="34"/>
      <c r="T223" s="137"/>
      <c r="U223" s="137"/>
      <c r="V223" s="36"/>
      <c r="W223" s="77"/>
      <c r="X223" s="71" t="str">
        <f>IF(C223="Trả lại đơn vụ","",IF(C223="Trả lại đơn việc","",IF((NETWORKDAYS(F223,G223,'Danh sách ngày nghỉ lễ'!$B$5:$B$25)-1-3)&gt;0,"Quá hạn"&amp;" "&amp;(NETWORKDAYS(F223,G223,'Danh sách ngày nghỉ lễ'!$B$5:$B$25)-1-3)&amp;" "&amp;"ngày","")))</f>
        <v/>
      </c>
      <c r="Y223" s="72" t="str">
        <f>IF(S223=0,"",IF(P223="Chuyển","",IF(P223="Nhập vào vụ khác","",IF(P223="BA",IF((S223-R223)&gt;10,"Quá hạn"&amp;" "&amp;(S223-R223-10)&amp;" "&amp;"ngày",""),IF((NETWORKDAYS(R223,S223,'Danh sách ngày nghỉ lễ'!$B$5:$B$25)-VLOOKUP(P223,'Thời hạn'!$A$17:$B$23,2,0))&gt;1,"Quá hạn"&amp;" "&amp;(NETWORKDAYS(R223,S223,'Danh sách ngày nghỉ lễ'!$B$5:$B$25)-1-VLOOKUP(P223,'Thời hạn'!$A$17:$B$23,2,0))&amp;" "&amp;"ngày","")))))</f>
        <v/>
      </c>
      <c r="Z223" s="23">
        <v>1</v>
      </c>
    </row>
    <row r="224" spans="1:26" x14ac:dyDescent="0.3">
      <c r="A224" s="24">
        <v>1</v>
      </c>
      <c r="B224" s="39"/>
      <c r="C224" s="33"/>
      <c r="D224" s="25"/>
      <c r="E224" s="25"/>
      <c r="F224" s="34"/>
      <c r="G224" s="34"/>
      <c r="H224" s="25"/>
      <c r="I224" s="70" t="str">
        <f>IF(C224="Trả lại đơn vụ","",IF(C224="Trả lại đơn việc","",IF(C224="Hòa giải thành","",IF(F224=0,"",EDATE(F224,VLOOKUP(C224,'Thời hạn'!$A$1:$B$10,2,0))+H224))))</f>
        <v/>
      </c>
      <c r="J224" s="59" t="str">
        <f t="shared" ca="1" si="3"/>
        <v/>
      </c>
      <c r="K224" s="25"/>
      <c r="L224" s="129"/>
      <c r="M224" s="130"/>
      <c r="N224" s="35"/>
      <c r="O224" s="34"/>
      <c r="P224" s="25"/>
      <c r="Q224" s="25"/>
      <c r="R224" s="34"/>
      <c r="S224" s="34"/>
      <c r="T224" s="137"/>
      <c r="U224" s="137"/>
      <c r="V224" s="36"/>
      <c r="W224" s="77"/>
      <c r="X224" s="71" t="str">
        <f>IF(C224="Trả lại đơn vụ","",IF(C224="Trả lại đơn việc","",IF((NETWORKDAYS(F224,G224,'Danh sách ngày nghỉ lễ'!$B$5:$B$25)-1-3)&gt;0,"Quá hạn"&amp;" "&amp;(NETWORKDAYS(F224,G224,'Danh sách ngày nghỉ lễ'!$B$5:$B$25)-1-3)&amp;" "&amp;"ngày","")))</f>
        <v/>
      </c>
      <c r="Y224" s="72" t="str">
        <f>IF(S224=0,"",IF(P224="Chuyển","",IF(P224="Nhập vào vụ khác","",IF(P224="BA",IF((S224-R224)&gt;10,"Quá hạn"&amp;" "&amp;(S224-R224-10)&amp;" "&amp;"ngày",""),IF((NETWORKDAYS(R224,S224,'Danh sách ngày nghỉ lễ'!$B$5:$B$25)-VLOOKUP(P224,'Thời hạn'!$A$17:$B$23,2,0))&gt;1,"Quá hạn"&amp;" "&amp;(NETWORKDAYS(R224,S224,'Danh sách ngày nghỉ lễ'!$B$5:$B$25)-1-VLOOKUP(P224,'Thời hạn'!$A$17:$B$23,2,0))&amp;" "&amp;"ngày","")))))</f>
        <v/>
      </c>
      <c r="Z224" s="23">
        <v>1</v>
      </c>
    </row>
    <row r="225" spans="1:26" x14ac:dyDescent="0.3">
      <c r="A225" s="24">
        <v>1</v>
      </c>
      <c r="B225" s="39"/>
      <c r="C225" s="33"/>
      <c r="D225" s="25"/>
      <c r="E225" s="25"/>
      <c r="F225" s="34"/>
      <c r="G225" s="34"/>
      <c r="H225" s="25"/>
      <c r="I225" s="70" t="str">
        <f>IF(C225="Trả lại đơn vụ","",IF(C225="Trả lại đơn việc","",IF(C225="Hòa giải thành","",IF(F225=0,"",EDATE(F225,VLOOKUP(C225,'Thời hạn'!$A$1:$B$10,2,0))+H225))))</f>
        <v/>
      </c>
      <c r="J225" s="59" t="str">
        <f t="shared" ca="1" si="3"/>
        <v/>
      </c>
      <c r="K225" s="25"/>
      <c r="L225" s="129"/>
      <c r="M225" s="130"/>
      <c r="N225" s="35"/>
      <c r="O225" s="34"/>
      <c r="P225" s="25"/>
      <c r="Q225" s="25"/>
      <c r="R225" s="34"/>
      <c r="S225" s="34"/>
      <c r="T225" s="137"/>
      <c r="U225" s="137"/>
      <c r="V225" s="36"/>
      <c r="W225" s="77"/>
      <c r="X225" s="71" t="str">
        <f>IF(C225="Trả lại đơn vụ","",IF(C225="Trả lại đơn việc","",IF((NETWORKDAYS(F225,G225,'Danh sách ngày nghỉ lễ'!$B$5:$B$25)-1-3)&gt;0,"Quá hạn"&amp;" "&amp;(NETWORKDAYS(F225,G225,'Danh sách ngày nghỉ lễ'!$B$5:$B$25)-1-3)&amp;" "&amp;"ngày","")))</f>
        <v/>
      </c>
      <c r="Y225" s="72" t="str">
        <f>IF(S225=0,"",IF(P225="Chuyển","",IF(P225="Nhập vào vụ khác","",IF(P225="BA",IF((S225-R225)&gt;10,"Quá hạn"&amp;" "&amp;(S225-R225-10)&amp;" "&amp;"ngày",""),IF((NETWORKDAYS(R225,S225,'Danh sách ngày nghỉ lễ'!$B$5:$B$25)-VLOOKUP(P225,'Thời hạn'!$A$17:$B$23,2,0))&gt;1,"Quá hạn"&amp;" "&amp;(NETWORKDAYS(R225,S225,'Danh sách ngày nghỉ lễ'!$B$5:$B$25)-1-VLOOKUP(P225,'Thời hạn'!$A$17:$B$23,2,0))&amp;" "&amp;"ngày","")))))</f>
        <v/>
      </c>
      <c r="Z225" s="23">
        <v>1</v>
      </c>
    </row>
    <row r="226" spans="1:26" x14ac:dyDescent="0.3">
      <c r="A226" s="24">
        <v>1</v>
      </c>
      <c r="B226" s="39"/>
      <c r="C226" s="33"/>
      <c r="D226" s="25"/>
      <c r="E226" s="25"/>
      <c r="F226" s="34"/>
      <c r="G226" s="34"/>
      <c r="H226" s="25"/>
      <c r="I226" s="70" t="str">
        <f>IF(C226="Trả lại đơn vụ","",IF(C226="Trả lại đơn việc","",IF(C226="Hòa giải thành","",IF(F226=0,"",EDATE(F226,VLOOKUP(C226,'Thời hạn'!$A$1:$B$10,2,0))+H226))))</f>
        <v/>
      </c>
      <c r="J226" s="59" t="str">
        <f t="shared" ca="1" si="3"/>
        <v/>
      </c>
      <c r="K226" s="25"/>
      <c r="L226" s="129"/>
      <c r="M226" s="130"/>
      <c r="N226" s="35"/>
      <c r="O226" s="34"/>
      <c r="P226" s="25"/>
      <c r="Q226" s="25"/>
      <c r="R226" s="34"/>
      <c r="S226" s="34"/>
      <c r="T226" s="137"/>
      <c r="U226" s="137"/>
      <c r="V226" s="36"/>
      <c r="W226" s="77"/>
      <c r="X226" s="71" t="str">
        <f>IF(C226="Trả lại đơn vụ","",IF(C226="Trả lại đơn việc","",IF((NETWORKDAYS(F226,G226,'Danh sách ngày nghỉ lễ'!$B$5:$B$25)-1-3)&gt;0,"Quá hạn"&amp;" "&amp;(NETWORKDAYS(F226,G226,'Danh sách ngày nghỉ lễ'!$B$5:$B$25)-1-3)&amp;" "&amp;"ngày","")))</f>
        <v/>
      </c>
      <c r="Y226" s="72" t="str">
        <f>IF(S226=0,"",IF(P226="Chuyển","",IF(P226="Nhập vào vụ khác","",IF(P226="BA",IF((S226-R226)&gt;10,"Quá hạn"&amp;" "&amp;(S226-R226-10)&amp;" "&amp;"ngày",""),IF((NETWORKDAYS(R226,S226,'Danh sách ngày nghỉ lễ'!$B$5:$B$25)-VLOOKUP(P226,'Thời hạn'!$A$17:$B$23,2,0))&gt;1,"Quá hạn"&amp;" "&amp;(NETWORKDAYS(R226,S226,'Danh sách ngày nghỉ lễ'!$B$5:$B$25)-1-VLOOKUP(P226,'Thời hạn'!$A$17:$B$23,2,0))&amp;" "&amp;"ngày","")))))</f>
        <v/>
      </c>
      <c r="Z226" s="23">
        <v>1</v>
      </c>
    </row>
    <row r="227" spans="1:26" x14ac:dyDescent="0.3">
      <c r="A227" s="24">
        <v>1</v>
      </c>
      <c r="B227" s="39"/>
      <c r="C227" s="33"/>
      <c r="D227" s="25"/>
      <c r="E227" s="25"/>
      <c r="F227" s="34"/>
      <c r="G227" s="34"/>
      <c r="H227" s="25"/>
      <c r="I227" s="70" t="str">
        <f>IF(C227="Trả lại đơn vụ","",IF(C227="Trả lại đơn việc","",IF(C227="Hòa giải thành","",IF(F227=0,"",EDATE(F227,VLOOKUP(C227,'Thời hạn'!$A$1:$B$10,2,0))+H227))))</f>
        <v/>
      </c>
      <c r="J227" s="59" t="str">
        <f t="shared" ca="1" si="3"/>
        <v/>
      </c>
      <c r="K227" s="25"/>
      <c r="L227" s="129"/>
      <c r="M227" s="130"/>
      <c r="N227" s="35"/>
      <c r="O227" s="34"/>
      <c r="P227" s="25"/>
      <c r="Q227" s="25"/>
      <c r="R227" s="34"/>
      <c r="S227" s="34"/>
      <c r="T227" s="137"/>
      <c r="U227" s="137"/>
      <c r="V227" s="36"/>
      <c r="W227" s="77"/>
      <c r="X227" s="71" t="str">
        <f>IF(C227="Trả lại đơn vụ","",IF(C227="Trả lại đơn việc","",IF((NETWORKDAYS(F227,G227,'Danh sách ngày nghỉ lễ'!$B$5:$B$25)-1-3)&gt;0,"Quá hạn"&amp;" "&amp;(NETWORKDAYS(F227,G227,'Danh sách ngày nghỉ lễ'!$B$5:$B$25)-1-3)&amp;" "&amp;"ngày","")))</f>
        <v/>
      </c>
      <c r="Y227" s="72" t="str">
        <f>IF(S227=0,"",IF(P227="Chuyển","",IF(P227="Nhập vào vụ khác","",IF(P227="BA",IF((S227-R227)&gt;10,"Quá hạn"&amp;" "&amp;(S227-R227-10)&amp;" "&amp;"ngày",""),IF((NETWORKDAYS(R227,S227,'Danh sách ngày nghỉ lễ'!$B$5:$B$25)-VLOOKUP(P227,'Thời hạn'!$A$17:$B$23,2,0))&gt;1,"Quá hạn"&amp;" "&amp;(NETWORKDAYS(R227,S227,'Danh sách ngày nghỉ lễ'!$B$5:$B$25)-1-VLOOKUP(P227,'Thời hạn'!$A$17:$B$23,2,0))&amp;" "&amp;"ngày","")))))</f>
        <v/>
      </c>
      <c r="Z227" s="23">
        <v>1</v>
      </c>
    </row>
    <row r="228" spans="1:26" x14ac:dyDescent="0.3">
      <c r="A228" s="24">
        <v>1</v>
      </c>
      <c r="B228" s="78"/>
      <c r="C228" s="33"/>
      <c r="D228" s="79"/>
      <c r="E228" s="79"/>
      <c r="F228" s="80"/>
      <c r="G228" s="80"/>
      <c r="H228" s="79"/>
      <c r="I228" s="70" t="str">
        <f>IF(C228="Trả lại đơn vụ","",IF(C228="Trả lại đơn việc","",IF(C228="Hòa giải thành","",IF(F228=0,"",EDATE(F228,VLOOKUP(C228,'Thời hạn'!$A$1:$B$10,2,0))+H228))))</f>
        <v/>
      </c>
      <c r="J228" s="59" t="str">
        <f t="shared" ca="1" si="3"/>
        <v/>
      </c>
      <c r="K228" s="79"/>
      <c r="L228" s="135"/>
      <c r="M228" s="136"/>
      <c r="N228" s="81"/>
      <c r="O228" s="80"/>
      <c r="P228" s="25"/>
      <c r="Q228" s="79"/>
      <c r="R228" s="80"/>
      <c r="S228" s="80"/>
      <c r="T228" s="138"/>
      <c r="U228" s="138"/>
      <c r="V228" s="82"/>
      <c r="W228" s="77"/>
      <c r="X228" s="71" t="str">
        <f>IF(C228="Trả lại đơn vụ","",IF(C228="Trả lại đơn việc","",IF((NETWORKDAYS(F228,G228,'Danh sách ngày nghỉ lễ'!$B$5:$B$25)-1-3)&gt;0,"Quá hạn"&amp;" "&amp;(NETWORKDAYS(F228,G228,'Danh sách ngày nghỉ lễ'!$B$5:$B$25)-1-3)&amp;" "&amp;"ngày","")))</f>
        <v/>
      </c>
      <c r="Y228" s="72" t="str">
        <f>IF(S228=0,"",IF(P228="Chuyển","",IF(P228="Nhập vào vụ khác","",IF(P228="BA",IF((S228-R228)&gt;10,"Quá hạn"&amp;" "&amp;(S228-R228-10)&amp;" "&amp;"ngày",""),IF((NETWORKDAYS(R228,S228,'Danh sách ngày nghỉ lễ'!$B$5:$B$25)-VLOOKUP(P228,'Thời hạn'!$A$17:$B$23,2,0))&gt;1,"Quá hạn"&amp;" "&amp;(NETWORKDAYS(R228,S228,'Danh sách ngày nghỉ lễ'!$B$5:$B$25)-1-VLOOKUP(P228,'Thời hạn'!$A$17:$B$23,2,0))&amp;" "&amp;"ngày","")))))</f>
        <v/>
      </c>
      <c r="Z228" s="23">
        <v>1</v>
      </c>
    </row>
    <row r="229" spans="1:26" x14ac:dyDescent="0.3">
      <c r="A229" s="24">
        <v>1</v>
      </c>
      <c r="B229" s="78"/>
      <c r="C229" s="33"/>
      <c r="D229" s="79"/>
      <c r="E229" s="79"/>
      <c r="F229" s="80"/>
      <c r="G229" s="80"/>
      <c r="H229" s="79"/>
      <c r="I229" s="70" t="str">
        <f>IF(C229="Trả lại đơn vụ","",IF(C229="Trả lại đơn việc","",IF(C229="Hòa giải thành","",IF(F229=0,"",EDATE(F229,VLOOKUP(C229,'Thời hạn'!$A$1:$B$10,2,0))+H229))))</f>
        <v/>
      </c>
      <c r="J229" s="59" t="str">
        <f t="shared" ref="J229:J278" ca="1" si="4">IF(C229="Trả lại đơn vụ","",IF(C229="Trả lại đơn việc","",IF(C229="Hòa giải thành","",IF(N229=0,IF(P229=0,IF(F229=0,"",I229-TODAY()+1),""),""))))</f>
        <v/>
      </c>
      <c r="K229" s="79"/>
      <c r="L229" s="135"/>
      <c r="M229" s="136"/>
      <c r="N229" s="81"/>
      <c r="O229" s="80"/>
      <c r="P229" s="25"/>
      <c r="Q229" s="79"/>
      <c r="R229" s="80"/>
      <c r="S229" s="80"/>
      <c r="T229" s="138"/>
      <c r="U229" s="138"/>
      <c r="V229" s="82"/>
      <c r="W229" s="77"/>
      <c r="X229" s="71" t="str">
        <f>IF(C229="Trả lại đơn vụ","",IF(C229="Trả lại đơn việc","",IF((NETWORKDAYS(F229,G229,'Danh sách ngày nghỉ lễ'!$B$5:$B$25)-1-3)&gt;0,"Quá hạn"&amp;" "&amp;(NETWORKDAYS(F229,G229,'Danh sách ngày nghỉ lễ'!$B$5:$B$25)-1-3)&amp;" "&amp;"ngày","")))</f>
        <v/>
      </c>
      <c r="Y229" s="72" t="str">
        <f>IF(S229=0,"",IF(P229="Chuyển","",IF(P229="Nhập vào vụ khác","",IF(P229="BA",IF((S229-R229)&gt;10,"Quá hạn"&amp;" "&amp;(S229-R229-10)&amp;" "&amp;"ngày",""),IF((NETWORKDAYS(R229,S229,'Danh sách ngày nghỉ lễ'!$B$5:$B$25)-VLOOKUP(P229,'Thời hạn'!$A$17:$B$23,2,0))&gt;1,"Quá hạn"&amp;" "&amp;(NETWORKDAYS(R229,S229,'Danh sách ngày nghỉ lễ'!$B$5:$B$25)-1-VLOOKUP(P229,'Thời hạn'!$A$17:$B$23,2,0))&amp;" "&amp;"ngày","")))))</f>
        <v/>
      </c>
      <c r="Z229" s="23">
        <v>1</v>
      </c>
    </row>
    <row r="230" spans="1:26" x14ac:dyDescent="0.3">
      <c r="A230" s="24">
        <v>1</v>
      </c>
      <c r="B230" s="78"/>
      <c r="C230" s="33"/>
      <c r="D230" s="79"/>
      <c r="E230" s="79"/>
      <c r="F230" s="80"/>
      <c r="G230" s="80"/>
      <c r="H230" s="79"/>
      <c r="I230" s="70" t="str">
        <f>IF(C230="Trả lại đơn vụ","",IF(C230="Trả lại đơn việc","",IF(C230="Hòa giải thành","",IF(F230=0,"",EDATE(F230,VLOOKUP(C230,'Thời hạn'!$A$1:$B$10,2,0))+H230))))</f>
        <v/>
      </c>
      <c r="J230" s="59" t="str">
        <f t="shared" ca="1" si="4"/>
        <v/>
      </c>
      <c r="K230" s="79"/>
      <c r="L230" s="135"/>
      <c r="M230" s="136"/>
      <c r="N230" s="81"/>
      <c r="O230" s="80"/>
      <c r="P230" s="25"/>
      <c r="Q230" s="79"/>
      <c r="R230" s="80"/>
      <c r="S230" s="80"/>
      <c r="T230" s="138"/>
      <c r="U230" s="138"/>
      <c r="V230" s="82"/>
      <c r="W230" s="77"/>
      <c r="X230" s="71" t="str">
        <f>IF(C230="Trả lại đơn vụ","",IF(C230="Trả lại đơn việc","",IF((NETWORKDAYS(F230,G230,'Danh sách ngày nghỉ lễ'!$B$5:$B$25)-1-3)&gt;0,"Quá hạn"&amp;" "&amp;(NETWORKDAYS(F230,G230,'Danh sách ngày nghỉ lễ'!$B$5:$B$25)-1-3)&amp;" "&amp;"ngày","")))</f>
        <v/>
      </c>
      <c r="Y230" s="72" t="str">
        <f>IF(S230=0,"",IF(P230="Chuyển","",IF(P230="Nhập vào vụ khác","",IF(P230="BA",IF((S230-R230)&gt;10,"Quá hạn"&amp;" "&amp;(S230-R230-10)&amp;" "&amp;"ngày",""),IF((NETWORKDAYS(R230,S230,'Danh sách ngày nghỉ lễ'!$B$5:$B$25)-VLOOKUP(P230,'Thời hạn'!$A$17:$B$23,2,0))&gt;1,"Quá hạn"&amp;" "&amp;(NETWORKDAYS(R230,S230,'Danh sách ngày nghỉ lễ'!$B$5:$B$25)-1-VLOOKUP(P230,'Thời hạn'!$A$17:$B$23,2,0))&amp;" "&amp;"ngày","")))))</f>
        <v/>
      </c>
      <c r="Z230" s="23">
        <v>1</v>
      </c>
    </row>
    <row r="231" spans="1:26" x14ac:dyDescent="0.3">
      <c r="A231" s="24">
        <v>1</v>
      </c>
      <c r="B231" s="78"/>
      <c r="C231" s="33"/>
      <c r="D231" s="79"/>
      <c r="E231" s="79"/>
      <c r="F231" s="80"/>
      <c r="G231" s="80"/>
      <c r="H231" s="79"/>
      <c r="I231" s="70" t="str">
        <f>IF(C231="Trả lại đơn vụ","",IF(C231="Trả lại đơn việc","",IF(C231="Hòa giải thành","",IF(F231=0,"",EDATE(F231,VLOOKUP(C231,'Thời hạn'!$A$1:$B$10,2,0))+H231))))</f>
        <v/>
      </c>
      <c r="J231" s="59" t="str">
        <f t="shared" ca="1" si="4"/>
        <v/>
      </c>
      <c r="K231" s="79"/>
      <c r="L231" s="135"/>
      <c r="M231" s="136"/>
      <c r="N231" s="81"/>
      <c r="O231" s="80"/>
      <c r="P231" s="25"/>
      <c r="Q231" s="79"/>
      <c r="R231" s="80"/>
      <c r="S231" s="80"/>
      <c r="T231" s="138"/>
      <c r="U231" s="138"/>
      <c r="V231" s="82"/>
      <c r="W231" s="77"/>
      <c r="X231" s="71" t="str">
        <f>IF(C231="Trả lại đơn vụ","",IF(C231="Trả lại đơn việc","",IF((NETWORKDAYS(F231,G231,'Danh sách ngày nghỉ lễ'!$B$5:$B$25)-1-3)&gt;0,"Quá hạn"&amp;" "&amp;(NETWORKDAYS(F231,G231,'Danh sách ngày nghỉ lễ'!$B$5:$B$25)-1-3)&amp;" "&amp;"ngày","")))</f>
        <v/>
      </c>
      <c r="Y231" s="72" t="str">
        <f>IF(S231=0,"",IF(P231="Chuyển","",IF(P231="Nhập vào vụ khác","",IF(P231="BA",IF((S231-R231)&gt;10,"Quá hạn"&amp;" "&amp;(S231-R231-10)&amp;" "&amp;"ngày",""),IF((NETWORKDAYS(R231,S231,'Danh sách ngày nghỉ lễ'!$B$5:$B$25)-VLOOKUP(P231,'Thời hạn'!$A$17:$B$23,2,0))&gt;1,"Quá hạn"&amp;" "&amp;(NETWORKDAYS(R231,S231,'Danh sách ngày nghỉ lễ'!$B$5:$B$25)-1-VLOOKUP(P231,'Thời hạn'!$A$17:$B$23,2,0))&amp;" "&amp;"ngày","")))))</f>
        <v/>
      </c>
      <c r="Z231" s="23">
        <v>1</v>
      </c>
    </row>
    <row r="232" spans="1:26" x14ac:dyDescent="0.3">
      <c r="A232" s="24">
        <v>1</v>
      </c>
      <c r="B232" s="78"/>
      <c r="C232" s="33"/>
      <c r="D232" s="79"/>
      <c r="E232" s="79"/>
      <c r="F232" s="80"/>
      <c r="G232" s="80"/>
      <c r="H232" s="79"/>
      <c r="I232" s="70" t="str">
        <f>IF(C232="Trả lại đơn vụ","",IF(C232="Trả lại đơn việc","",IF(C232="Hòa giải thành","",IF(F232=0,"",EDATE(F232,VLOOKUP(C232,'Thời hạn'!$A$1:$B$10,2,0))+H232))))</f>
        <v/>
      </c>
      <c r="J232" s="59" t="str">
        <f t="shared" ca="1" si="4"/>
        <v/>
      </c>
      <c r="K232" s="79"/>
      <c r="L232" s="135"/>
      <c r="M232" s="136"/>
      <c r="N232" s="81"/>
      <c r="O232" s="80"/>
      <c r="P232" s="25"/>
      <c r="Q232" s="79"/>
      <c r="R232" s="80"/>
      <c r="S232" s="80"/>
      <c r="T232" s="138"/>
      <c r="U232" s="138"/>
      <c r="V232" s="82"/>
      <c r="W232" s="77"/>
      <c r="X232" s="71" t="str">
        <f>IF(C232="Trả lại đơn vụ","",IF(C232="Trả lại đơn việc","",IF((NETWORKDAYS(F232,G232,'Danh sách ngày nghỉ lễ'!$B$5:$B$25)-1-3)&gt;0,"Quá hạn"&amp;" "&amp;(NETWORKDAYS(F232,G232,'Danh sách ngày nghỉ lễ'!$B$5:$B$25)-1-3)&amp;" "&amp;"ngày","")))</f>
        <v/>
      </c>
      <c r="Y232" s="72" t="str">
        <f>IF(S232=0,"",IF(P232="Chuyển","",IF(P232="Nhập vào vụ khác","",IF(P232="BA",IF((S232-R232)&gt;10,"Quá hạn"&amp;" "&amp;(S232-R232-10)&amp;" "&amp;"ngày",""),IF((NETWORKDAYS(R232,S232,'Danh sách ngày nghỉ lễ'!$B$5:$B$25)-VLOOKUP(P232,'Thời hạn'!$A$17:$B$23,2,0))&gt;1,"Quá hạn"&amp;" "&amp;(NETWORKDAYS(R232,S232,'Danh sách ngày nghỉ lễ'!$B$5:$B$25)-1-VLOOKUP(P232,'Thời hạn'!$A$17:$B$23,2,0))&amp;" "&amp;"ngày","")))))</f>
        <v/>
      </c>
      <c r="Z232" s="23">
        <v>1</v>
      </c>
    </row>
    <row r="233" spans="1:26" x14ac:dyDescent="0.3">
      <c r="A233" s="24">
        <v>1</v>
      </c>
      <c r="B233" s="78"/>
      <c r="C233" s="33"/>
      <c r="D233" s="79"/>
      <c r="E233" s="79"/>
      <c r="F233" s="80"/>
      <c r="G233" s="80"/>
      <c r="H233" s="79"/>
      <c r="I233" s="70" t="str">
        <f>IF(C233="Trả lại đơn vụ","",IF(C233="Trả lại đơn việc","",IF(C233="Hòa giải thành","",IF(F233=0,"",EDATE(F233,VLOOKUP(C233,'Thời hạn'!$A$1:$B$10,2,0))+H233))))</f>
        <v/>
      </c>
      <c r="J233" s="59" t="str">
        <f t="shared" ca="1" si="4"/>
        <v/>
      </c>
      <c r="K233" s="79"/>
      <c r="L233" s="135"/>
      <c r="M233" s="136"/>
      <c r="N233" s="81"/>
      <c r="O233" s="80"/>
      <c r="P233" s="25"/>
      <c r="Q233" s="79"/>
      <c r="R233" s="80"/>
      <c r="S233" s="80"/>
      <c r="T233" s="138"/>
      <c r="U233" s="138"/>
      <c r="V233" s="82"/>
      <c r="W233" s="77"/>
      <c r="X233" s="71" t="str">
        <f>IF(C233="Trả lại đơn vụ","",IF(C233="Trả lại đơn việc","",IF((NETWORKDAYS(F233,G233,'Danh sách ngày nghỉ lễ'!$B$5:$B$25)-1-3)&gt;0,"Quá hạn"&amp;" "&amp;(NETWORKDAYS(F233,G233,'Danh sách ngày nghỉ lễ'!$B$5:$B$25)-1-3)&amp;" "&amp;"ngày","")))</f>
        <v/>
      </c>
      <c r="Y233" s="72" t="str">
        <f>IF(S233=0,"",IF(P233="Chuyển","",IF(P233="Nhập vào vụ khác","",IF(P233="BA",IF((S233-R233)&gt;10,"Quá hạn"&amp;" "&amp;(S233-R233-10)&amp;" "&amp;"ngày",""),IF((NETWORKDAYS(R233,S233,'Danh sách ngày nghỉ lễ'!$B$5:$B$25)-VLOOKUP(P233,'Thời hạn'!$A$17:$B$23,2,0))&gt;1,"Quá hạn"&amp;" "&amp;(NETWORKDAYS(R233,S233,'Danh sách ngày nghỉ lễ'!$B$5:$B$25)-1-VLOOKUP(P233,'Thời hạn'!$A$17:$B$23,2,0))&amp;" "&amp;"ngày","")))))</f>
        <v/>
      </c>
      <c r="Z233" s="23">
        <v>1</v>
      </c>
    </row>
    <row r="234" spans="1:26" x14ac:dyDescent="0.3">
      <c r="A234" s="24">
        <v>1</v>
      </c>
      <c r="B234" s="78"/>
      <c r="C234" s="33"/>
      <c r="D234" s="79"/>
      <c r="E234" s="79"/>
      <c r="F234" s="80"/>
      <c r="G234" s="80"/>
      <c r="H234" s="79"/>
      <c r="I234" s="70" t="str">
        <f>IF(C234="Trả lại đơn vụ","",IF(C234="Trả lại đơn việc","",IF(C234="Hòa giải thành","",IF(F234=0,"",EDATE(F234,VLOOKUP(C234,'Thời hạn'!$A$1:$B$10,2,0))+H234))))</f>
        <v/>
      </c>
      <c r="J234" s="59" t="str">
        <f t="shared" ca="1" si="4"/>
        <v/>
      </c>
      <c r="K234" s="79"/>
      <c r="L234" s="135"/>
      <c r="M234" s="136"/>
      <c r="N234" s="81"/>
      <c r="O234" s="80"/>
      <c r="P234" s="25"/>
      <c r="Q234" s="79"/>
      <c r="R234" s="80"/>
      <c r="S234" s="80"/>
      <c r="T234" s="138"/>
      <c r="U234" s="138"/>
      <c r="V234" s="82"/>
      <c r="W234" s="77"/>
      <c r="X234" s="71" t="str">
        <f>IF(C234="Trả lại đơn vụ","",IF(C234="Trả lại đơn việc","",IF((NETWORKDAYS(F234,G234,'Danh sách ngày nghỉ lễ'!$B$5:$B$25)-1-3)&gt;0,"Quá hạn"&amp;" "&amp;(NETWORKDAYS(F234,G234,'Danh sách ngày nghỉ lễ'!$B$5:$B$25)-1-3)&amp;" "&amp;"ngày","")))</f>
        <v/>
      </c>
      <c r="Y234" s="72" t="str">
        <f>IF(S234=0,"",IF(P234="Chuyển","",IF(P234="Nhập vào vụ khác","",IF(P234="BA",IF((S234-R234)&gt;10,"Quá hạn"&amp;" "&amp;(S234-R234-10)&amp;" "&amp;"ngày",""),IF((NETWORKDAYS(R234,S234,'Danh sách ngày nghỉ lễ'!$B$5:$B$25)-VLOOKUP(P234,'Thời hạn'!$A$17:$B$23,2,0))&gt;1,"Quá hạn"&amp;" "&amp;(NETWORKDAYS(R234,S234,'Danh sách ngày nghỉ lễ'!$B$5:$B$25)-1-VLOOKUP(P234,'Thời hạn'!$A$17:$B$23,2,0))&amp;" "&amp;"ngày","")))))</f>
        <v/>
      </c>
      <c r="Z234" s="23">
        <v>1</v>
      </c>
    </row>
    <row r="235" spans="1:26" x14ac:dyDescent="0.3">
      <c r="A235" s="24">
        <v>1</v>
      </c>
      <c r="B235" s="78"/>
      <c r="C235" s="33"/>
      <c r="D235" s="79"/>
      <c r="E235" s="79"/>
      <c r="F235" s="80"/>
      <c r="G235" s="80"/>
      <c r="H235" s="79"/>
      <c r="I235" s="70" t="str">
        <f>IF(C235="Trả lại đơn vụ","",IF(C235="Trả lại đơn việc","",IF(C235="Hòa giải thành","",IF(F235=0,"",EDATE(F235,VLOOKUP(C235,'Thời hạn'!$A$1:$B$10,2,0))+H235))))</f>
        <v/>
      </c>
      <c r="J235" s="59" t="str">
        <f t="shared" ca="1" si="4"/>
        <v/>
      </c>
      <c r="K235" s="79"/>
      <c r="L235" s="135"/>
      <c r="M235" s="136"/>
      <c r="N235" s="81"/>
      <c r="O235" s="80"/>
      <c r="P235" s="25"/>
      <c r="Q235" s="79"/>
      <c r="R235" s="80"/>
      <c r="S235" s="80"/>
      <c r="T235" s="138"/>
      <c r="U235" s="138"/>
      <c r="V235" s="82"/>
      <c r="W235" s="77"/>
      <c r="X235" s="71" t="str">
        <f>IF(C235="Trả lại đơn vụ","",IF(C235="Trả lại đơn việc","",IF((NETWORKDAYS(F235,G235,'Danh sách ngày nghỉ lễ'!$B$5:$B$25)-1-3)&gt;0,"Quá hạn"&amp;" "&amp;(NETWORKDAYS(F235,G235,'Danh sách ngày nghỉ lễ'!$B$5:$B$25)-1-3)&amp;" "&amp;"ngày","")))</f>
        <v/>
      </c>
      <c r="Y235" s="72" t="str">
        <f>IF(S235=0,"",IF(P235="Chuyển","",IF(P235="Nhập vào vụ khác","",IF(P235="BA",IF((S235-R235)&gt;10,"Quá hạn"&amp;" "&amp;(S235-R235-10)&amp;" "&amp;"ngày",""),IF((NETWORKDAYS(R235,S235,'Danh sách ngày nghỉ lễ'!$B$5:$B$25)-VLOOKUP(P235,'Thời hạn'!$A$17:$B$23,2,0))&gt;1,"Quá hạn"&amp;" "&amp;(NETWORKDAYS(R235,S235,'Danh sách ngày nghỉ lễ'!$B$5:$B$25)-1-VLOOKUP(P235,'Thời hạn'!$A$17:$B$23,2,0))&amp;" "&amp;"ngày","")))))</f>
        <v/>
      </c>
      <c r="Z235" s="23">
        <v>1</v>
      </c>
    </row>
    <row r="236" spans="1:26" x14ac:dyDescent="0.3">
      <c r="B236" s="78"/>
      <c r="C236" s="33"/>
      <c r="D236" s="79"/>
      <c r="E236" s="79"/>
      <c r="F236" s="80"/>
      <c r="G236" s="80"/>
      <c r="H236" s="79"/>
      <c r="I236" s="70" t="str">
        <f>IF(C236="Trả lại đơn vụ","",IF(C236="Trả lại đơn việc","",IF(C236="Hòa giải thành","",IF(F236=0,"",EDATE(F236,VLOOKUP(C236,'Thời hạn'!$A$1:$B$10,2,0))+H236))))</f>
        <v/>
      </c>
      <c r="J236" s="59" t="str">
        <f t="shared" ca="1" si="4"/>
        <v/>
      </c>
      <c r="K236" s="79"/>
      <c r="L236" s="135"/>
      <c r="M236" s="136"/>
      <c r="N236" s="81"/>
      <c r="O236" s="80"/>
      <c r="P236" s="25"/>
      <c r="Q236" s="79"/>
      <c r="R236" s="80"/>
      <c r="S236" s="80"/>
      <c r="T236" s="138"/>
      <c r="U236" s="138"/>
      <c r="V236" s="82"/>
      <c r="W236" s="77"/>
      <c r="X236" s="71" t="str">
        <f>IF(C236="Trả lại đơn vụ","",IF(C236="Trả lại đơn việc","",IF((NETWORKDAYS(F236,G236,'Danh sách ngày nghỉ lễ'!$B$5:$B$25)-1-3)&gt;0,"Quá hạn"&amp;" "&amp;(NETWORKDAYS(F236,G236,'Danh sách ngày nghỉ lễ'!$B$5:$B$25)-1-3)&amp;" "&amp;"ngày","")))</f>
        <v/>
      </c>
      <c r="Y236" s="72" t="str">
        <f>IF(S236=0,"",IF(P236="Chuyển","",IF(P236="Nhập vào vụ khác","",IF(P236="BA",IF((S236-R236)&gt;10,"Quá hạn"&amp;" "&amp;(S236-R236-10)&amp;" "&amp;"ngày",""),IF((NETWORKDAYS(R236,S236,'Danh sách ngày nghỉ lễ'!$B$5:$B$25)-VLOOKUP(P236,'Thời hạn'!$A$17:$B$23,2,0))&gt;1,"Quá hạn"&amp;" "&amp;(NETWORKDAYS(R236,S236,'Danh sách ngày nghỉ lễ'!$B$5:$B$25)-1-VLOOKUP(P236,'Thời hạn'!$A$17:$B$23,2,0))&amp;" "&amp;"ngày","")))))</f>
        <v/>
      </c>
      <c r="Z236" s="23">
        <v>1</v>
      </c>
    </row>
    <row r="237" spans="1:26" x14ac:dyDescent="0.3">
      <c r="B237" s="78"/>
      <c r="C237" s="33"/>
      <c r="D237" s="79"/>
      <c r="E237" s="79"/>
      <c r="F237" s="80"/>
      <c r="G237" s="80"/>
      <c r="H237" s="79"/>
      <c r="I237" s="70" t="str">
        <f>IF(C237="Trả lại đơn vụ","",IF(C237="Trả lại đơn việc","",IF(C237="Hòa giải thành","",IF(F237=0,"",EDATE(F237,VLOOKUP(C237,'Thời hạn'!$A$1:$B$10,2,0))+H237))))</f>
        <v/>
      </c>
      <c r="J237" s="59" t="str">
        <f t="shared" ca="1" si="4"/>
        <v/>
      </c>
      <c r="K237" s="79"/>
      <c r="L237" s="135"/>
      <c r="M237" s="136"/>
      <c r="N237" s="81"/>
      <c r="O237" s="80"/>
      <c r="P237" s="25"/>
      <c r="Q237" s="79"/>
      <c r="R237" s="80"/>
      <c r="S237" s="80"/>
      <c r="T237" s="138"/>
      <c r="U237" s="138"/>
      <c r="V237" s="82"/>
      <c r="W237" s="77"/>
      <c r="X237" s="71" t="str">
        <f>IF(C237="Trả lại đơn vụ","",IF(C237="Trả lại đơn việc","",IF((NETWORKDAYS(F237,G237,'Danh sách ngày nghỉ lễ'!$B$5:$B$25)-1-3)&gt;0,"Quá hạn"&amp;" "&amp;(NETWORKDAYS(F237,G237,'Danh sách ngày nghỉ lễ'!$B$5:$B$25)-1-3)&amp;" "&amp;"ngày","")))</f>
        <v/>
      </c>
      <c r="Y237" s="72" t="str">
        <f>IF(S237=0,"",IF(P237="Chuyển","",IF(P237="Nhập vào vụ khác","",IF(P237="BA",IF((S237-R237)&gt;10,"Quá hạn"&amp;" "&amp;(S237-R237-10)&amp;" "&amp;"ngày",""),IF((NETWORKDAYS(R237,S237,'Danh sách ngày nghỉ lễ'!$B$5:$B$25)-VLOOKUP(P237,'Thời hạn'!$A$17:$B$23,2,0))&gt;1,"Quá hạn"&amp;" "&amp;(NETWORKDAYS(R237,S237,'Danh sách ngày nghỉ lễ'!$B$5:$B$25)-1-VLOOKUP(P237,'Thời hạn'!$A$17:$B$23,2,0))&amp;" "&amp;"ngày","")))))</f>
        <v/>
      </c>
      <c r="Z237" s="23">
        <v>1</v>
      </c>
    </row>
    <row r="238" spans="1:26" x14ac:dyDescent="0.3">
      <c r="B238" s="78"/>
      <c r="C238" s="33"/>
      <c r="D238" s="79"/>
      <c r="E238" s="79"/>
      <c r="F238" s="80"/>
      <c r="G238" s="80"/>
      <c r="H238" s="79"/>
      <c r="I238" s="70" t="str">
        <f>IF(C238="Trả lại đơn vụ","",IF(C238="Trả lại đơn việc","",IF(C238="Hòa giải thành","",IF(F238=0,"",EDATE(F238,VLOOKUP(C238,'Thời hạn'!$A$1:$B$10,2,0))+H238))))</f>
        <v/>
      </c>
      <c r="J238" s="59" t="str">
        <f t="shared" ca="1" si="4"/>
        <v/>
      </c>
      <c r="K238" s="79"/>
      <c r="L238" s="135"/>
      <c r="M238" s="136"/>
      <c r="N238" s="81"/>
      <c r="O238" s="80"/>
      <c r="P238" s="25"/>
      <c r="Q238" s="79"/>
      <c r="R238" s="80"/>
      <c r="S238" s="80"/>
      <c r="T238" s="138"/>
      <c r="U238" s="138"/>
      <c r="V238" s="82"/>
      <c r="W238" s="77"/>
      <c r="X238" s="71" t="str">
        <f>IF(C238="Trả lại đơn vụ","",IF(C238="Trả lại đơn việc","",IF((NETWORKDAYS(F238,G238,'Danh sách ngày nghỉ lễ'!$B$5:$B$25)-1-3)&gt;0,"Quá hạn"&amp;" "&amp;(NETWORKDAYS(F238,G238,'Danh sách ngày nghỉ lễ'!$B$5:$B$25)-1-3)&amp;" "&amp;"ngày","")))</f>
        <v/>
      </c>
      <c r="Y238" s="72" t="str">
        <f>IF(S238=0,"",IF(P238="Chuyển","",IF(P238="Nhập vào vụ khác","",IF(P238="BA",IF((S238-R238)&gt;10,"Quá hạn"&amp;" "&amp;(S238-R238-10)&amp;" "&amp;"ngày",""),IF((NETWORKDAYS(R238,S238,'Danh sách ngày nghỉ lễ'!$B$5:$B$25)-VLOOKUP(P238,'Thời hạn'!$A$17:$B$23,2,0))&gt;1,"Quá hạn"&amp;" "&amp;(NETWORKDAYS(R238,S238,'Danh sách ngày nghỉ lễ'!$B$5:$B$25)-1-VLOOKUP(P238,'Thời hạn'!$A$17:$B$23,2,0))&amp;" "&amp;"ngày","")))))</f>
        <v/>
      </c>
      <c r="Z238" s="23">
        <v>1</v>
      </c>
    </row>
    <row r="239" spans="1:26" x14ac:dyDescent="0.3">
      <c r="B239" s="78"/>
      <c r="C239" s="33"/>
      <c r="D239" s="79"/>
      <c r="E239" s="79"/>
      <c r="F239" s="80"/>
      <c r="G239" s="80"/>
      <c r="H239" s="79"/>
      <c r="I239" s="70" t="str">
        <f>IF(C239="Trả lại đơn vụ","",IF(C239="Trả lại đơn việc","",IF(C239="Hòa giải thành","",IF(F239=0,"",EDATE(F239,VLOOKUP(C239,'Thời hạn'!$A$1:$B$10,2,0))+H239))))</f>
        <v/>
      </c>
      <c r="J239" s="59" t="str">
        <f t="shared" ca="1" si="4"/>
        <v/>
      </c>
      <c r="K239" s="79"/>
      <c r="L239" s="135"/>
      <c r="M239" s="136"/>
      <c r="N239" s="81"/>
      <c r="O239" s="80"/>
      <c r="P239" s="25"/>
      <c r="Q239" s="79"/>
      <c r="R239" s="80"/>
      <c r="S239" s="80"/>
      <c r="T239" s="138"/>
      <c r="U239" s="138"/>
      <c r="V239" s="82"/>
      <c r="W239" s="77"/>
      <c r="X239" s="71" t="str">
        <f>IF(C239="Trả lại đơn vụ","",IF(C239="Trả lại đơn việc","",IF((NETWORKDAYS(F239,G239,'Danh sách ngày nghỉ lễ'!$B$5:$B$25)-1-3)&gt;0,"Quá hạn"&amp;" "&amp;(NETWORKDAYS(F239,G239,'Danh sách ngày nghỉ lễ'!$B$5:$B$25)-1-3)&amp;" "&amp;"ngày","")))</f>
        <v/>
      </c>
      <c r="Y239" s="72" t="str">
        <f>IF(S239=0,"",IF(P239="Chuyển","",IF(P239="Nhập vào vụ khác","",IF(P239="BA",IF((S239-R239)&gt;10,"Quá hạn"&amp;" "&amp;(S239-R239-10)&amp;" "&amp;"ngày",""),IF((NETWORKDAYS(R239,S239,'Danh sách ngày nghỉ lễ'!$B$5:$B$25)-VLOOKUP(P239,'Thời hạn'!$A$17:$B$23,2,0))&gt;1,"Quá hạn"&amp;" "&amp;(NETWORKDAYS(R239,S239,'Danh sách ngày nghỉ lễ'!$B$5:$B$25)-1-VLOOKUP(P239,'Thời hạn'!$A$17:$B$23,2,0))&amp;" "&amp;"ngày","")))))</f>
        <v/>
      </c>
      <c r="Z239" s="23">
        <v>1</v>
      </c>
    </row>
    <row r="240" spans="1:26" x14ac:dyDescent="0.3">
      <c r="B240" s="78"/>
      <c r="C240" s="33"/>
      <c r="D240" s="79"/>
      <c r="E240" s="79"/>
      <c r="F240" s="80"/>
      <c r="G240" s="80"/>
      <c r="H240" s="79"/>
      <c r="I240" s="70" t="str">
        <f>IF(C240="Trả lại đơn vụ","",IF(C240="Trả lại đơn việc","",IF(C240="Hòa giải thành","",IF(F240=0,"",EDATE(F240,VLOOKUP(C240,'Thời hạn'!$A$1:$B$10,2,0))+H240))))</f>
        <v/>
      </c>
      <c r="J240" s="59" t="str">
        <f t="shared" ca="1" si="4"/>
        <v/>
      </c>
      <c r="K240" s="79"/>
      <c r="L240" s="135"/>
      <c r="M240" s="136"/>
      <c r="N240" s="81"/>
      <c r="O240" s="80"/>
      <c r="P240" s="25"/>
      <c r="Q240" s="79"/>
      <c r="R240" s="80"/>
      <c r="S240" s="80"/>
      <c r="T240" s="138"/>
      <c r="U240" s="138"/>
      <c r="V240" s="82"/>
      <c r="W240" s="77"/>
      <c r="X240" s="71" t="str">
        <f>IF(C240="Trả lại đơn vụ","",IF(C240="Trả lại đơn việc","",IF((NETWORKDAYS(F240,G240,'Danh sách ngày nghỉ lễ'!$B$5:$B$25)-1-3)&gt;0,"Quá hạn"&amp;" "&amp;(NETWORKDAYS(F240,G240,'Danh sách ngày nghỉ lễ'!$B$5:$B$25)-1-3)&amp;" "&amp;"ngày","")))</f>
        <v/>
      </c>
      <c r="Y240" s="72" t="str">
        <f>IF(S240=0,"",IF(P240="Chuyển","",IF(P240="Nhập vào vụ khác","",IF(P240="BA",IF((S240-R240)&gt;10,"Quá hạn"&amp;" "&amp;(S240-R240-10)&amp;" "&amp;"ngày",""),IF((NETWORKDAYS(R240,S240,'Danh sách ngày nghỉ lễ'!$B$5:$B$25)-VLOOKUP(P240,'Thời hạn'!$A$17:$B$23,2,0))&gt;1,"Quá hạn"&amp;" "&amp;(NETWORKDAYS(R240,S240,'Danh sách ngày nghỉ lễ'!$B$5:$B$25)-1-VLOOKUP(P240,'Thời hạn'!$A$17:$B$23,2,0))&amp;" "&amp;"ngày","")))))</f>
        <v/>
      </c>
      <c r="Z240" s="23">
        <v>1</v>
      </c>
    </row>
    <row r="241" spans="2:26" x14ac:dyDescent="0.3">
      <c r="B241" s="78"/>
      <c r="C241" s="33"/>
      <c r="D241" s="79"/>
      <c r="E241" s="79"/>
      <c r="F241" s="80"/>
      <c r="G241" s="80"/>
      <c r="H241" s="79"/>
      <c r="I241" s="70" t="str">
        <f>IF(C241="Trả lại đơn vụ","",IF(C241="Trả lại đơn việc","",IF(C241="Hòa giải thành","",IF(F241=0,"",EDATE(F241,VLOOKUP(C241,'Thời hạn'!$A$1:$B$10,2,0))+H241))))</f>
        <v/>
      </c>
      <c r="J241" s="59" t="str">
        <f t="shared" ca="1" si="4"/>
        <v/>
      </c>
      <c r="K241" s="79"/>
      <c r="L241" s="135"/>
      <c r="M241" s="136"/>
      <c r="N241" s="81"/>
      <c r="O241" s="80"/>
      <c r="P241" s="25"/>
      <c r="Q241" s="79"/>
      <c r="R241" s="80"/>
      <c r="S241" s="80"/>
      <c r="T241" s="138"/>
      <c r="U241" s="138"/>
      <c r="V241" s="82"/>
      <c r="W241" s="77"/>
      <c r="X241" s="71" t="str">
        <f>IF(C241="Trả lại đơn vụ","",IF(C241="Trả lại đơn việc","",IF((NETWORKDAYS(F241,G241,'Danh sách ngày nghỉ lễ'!$B$5:$B$25)-1-3)&gt;0,"Quá hạn"&amp;" "&amp;(NETWORKDAYS(F241,G241,'Danh sách ngày nghỉ lễ'!$B$5:$B$25)-1-3)&amp;" "&amp;"ngày","")))</f>
        <v/>
      </c>
      <c r="Y241" s="72" t="str">
        <f>IF(S241=0,"",IF(P241="Chuyển","",IF(P241="Nhập vào vụ khác","",IF(P241="BA",IF((S241-R241)&gt;10,"Quá hạn"&amp;" "&amp;(S241-R241-10)&amp;" "&amp;"ngày",""),IF((NETWORKDAYS(R241,S241,'Danh sách ngày nghỉ lễ'!$B$5:$B$25)-VLOOKUP(P241,'Thời hạn'!$A$17:$B$23,2,0))&gt;1,"Quá hạn"&amp;" "&amp;(NETWORKDAYS(R241,S241,'Danh sách ngày nghỉ lễ'!$B$5:$B$25)-1-VLOOKUP(P241,'Thời hạn'!$A$17:$B$23,2,0))&amp;" "&amp;"ngày","")))))</f>
        <v/>
      </c>
      <c r="Z241" s="23">
        <v>1</v>
      </c>
    </row>
    <row r="242" spans="2:26" x14ac:dyDescent="0.3">
      <c r="B242" s="78"/>
      <c r="C242" s="33"/>
      <c r="D242" s="79"/>
      <c r="E242" s="79"/>
      <c r="F242" s="80"/>
      <c r="G242" s="80"/>
      <c r="H242" s="79"/>
      <c r="I242" s="70" t="str">
        <f>IF(C242="Trả lại đơn vụ","",IF(C242="Trả lại đơn việc","",IF(C242="Hòa giải thành","",IF(F242=0,"",EDATE(F242,VLOOKUP(C242,'Thời hạn'!$A$1:$B$10,2,0))+H242))))</f>
        <v/>
      </c>
      <c r="J242" s="59" t="str">
        <f t="shared" ca="1" si="4"/>
        <v/>
      </c>
      <c r="K242" s="79"/>
      <c r="L242" s="135"/>
      <c r="M242" s="136"/>
      <c r="N242" s="81"/>
      <c r="O242" s="80"/>
      <c r="P242" s="25"/>
      <c r="Q242" s="79"/>
      <c r="R242" s="80"/>
      <c r="S242" s="80"/>
      <c r="T242" s="138"/>
      <c r="U242" s="138"/>
      <c r="V242" s="82"/>
      <c r="W242" s="77"/>
      <c r="X242" s="71" t="str">
        <f>IF(C242="Trả lại đơn vụ","",IF(C242="Trả lại đơn việc","",IF((NETWORKDAYS(F242,G242,'Danh sách ngày nghỉ lễ'!$B$5:$B$25)-1-3)&gt;0,"Quá hạn"&amp;" "&amp;(NETWORKDAYS(F242,G242,'Danh sách ngày nghỉ lễ'!$B$5:$B$25)-1-3)&amp;" "&amp;"ngày","")))</f>
        <v/>
      </c>
      <c r="Y242" s="72" t="str">
        <f>IF(S242=0,"",IF(P242="Chuyển","",IF(P242="Nhập vào vụ khác","",IF(P242="BA",IF((S242-R242)&gt;10,"Quá hạn"&amp;" "&amp;(S242-R242-10)&amp;" "&amp;"ngày",""),IF((NETWORKDAYS(R242,S242,'Danh sách ngày nghỉ lễ'!$B$5:$B$25)-VLOOKUP(P242,'Thời hạn'!$A$17:$B$23,2,0))&gt;1,"Quá hạn"&amp;" "&amp;(NETWORKDAYS(R242,S242,'Danh sách ngày nghỉ lễ'!$B$5:$B$25)-1-VLOOKUP(P242,'Thời hạn'!$A$17:$B$23,2,0))&amp;" "&amp;"ngày","")))))</f>
        <v/>
      </c>
      <c r="Z242" s="23">
        <v>1</v>
      </c>
    </row>
    <row r="243" spans="2:26" x14ac:dyDescent="0.3">
      <c r="B243" s="78"/>
      <c r="C243" s="33"/>
      <c r="D243" s="79"/>
      <c r="E243" s="79"/>
      <c r="F243" s="80"/>
      <c r="G243" s="80"/>
      <c r="H243" s="79"/>
      <c r="I243" s="70" t="str">
        <f>IF(C243="Trả lại đơn vụ","",IF(C243="Trả lại đơn việc","",IF(C243="Hòa giải thành","",IF(F243=0,"",EDATE(F243,VLOOKUP(C243,'Thời hạn'!$A$1:$B$10,2,0))+H243))))</f>
        <v/>
      </c>
      <c r="J243" s="59" t="str">
        <f t="shared" ca="1" si="4"/>
        <v/>
      </c>
      <c r="K243" s="79"/>
      <c r="L243" s="135"/>
      <c r="M243" s="136"/>
      <c r="N243" s="81"/>
      <c r="O243" s="80"/>
      <c r="P243" s="25"/>
      <c r="Q243" s="79"/>
      <c r="R243" s="80"/>
      <c r="S243" s="80"/>
      <c r="T243" s="138"/>
      <c r="U243" s="138"/>
      <c r="V243" s="82"/>
      <c r="W243" s="77"/>
      <c r="X243" s="71" t="str">
        <f>IF(C243="Trả lại đơn vụ","",IF(C243="Trả lại đơn việc","",IF((NETWORKDAYS(F243,G243,'Danh sách ngày nghỉ lễ'!$B$5:$B$25)-1-3)&gt;0,"Quá hạn"&amp;" "&amp;(NETWORKDAYS(F243,G243,'Danh sách ngày nghỉ lễ'!$B$5:$B$25)-1-3)&amp;" "&amp;"ngày","")))</f>
        <v/>
      </c>
      <c r="Y243" s="72" t="str">
        <f>IF(S243=0,"",IF(P243="Chuyển","",IF(P243="Nhập vào vụ khác","",IF(P243="BA",IF((S243-R243)&gt;10,"Quá hạn"&amp;" "&amp;(S243-R243-10)&amp;" "&amp;"ngày",""),IF((NETWORKDAYS(R243,S243,'Danh sách ngày nghỉ lễ'!$B$5:$B$25)-VLOOKUP(P243,'Thời hạn'!$A$17:$B$23,2,0))&gt;1,"Quá hạn"&amp;" "&amp;(NETWORKDAYS(R243,S243,'Danh sách ngày nghỉ lễ'!$B$5:$B$25)-1-VLOOKUP(P243,'Thời hạn'!$A$17:$B$23,2,0))&amp;" "&amp;"ngày","")))))</f>
        <v/>
      </c>
      <c r="Z243" s="23">
        <v>1</v>
      </c>
    </row>
    <row r="244" spans="2:26" x14ac:dyDescent="0.3">
      <c r="B244" s="78"/>
      <c r="C244" s="33"/>
      <c r="D244" s="79"/>
      <c r="E244" s="79"/>
      <c r="F244" s="80"/>
      <c r="G244" s="80"/>
      <c r="H244" s="79"/>
      <c r="I244" s="70" t="str">
        <f>IF(C244="Trả lại đơn vụ","",IF(C244="Trả lại đơn việc","",IF(C244="Hòa giải thành","",IF(F244=0,"",EDATE(F244,VLOOKUP(C244,'Thời hạn'!$A$1:$B$10,2,0))+H244))))</f>
        <v/>
      </c>
      <c r="J244" s="59" t="str">
        <f t="shared" ca="1" si="4"/>
        <v/>
      </c>
      <c r="K244" s="79"/>
      <c r="L244" s="135"/>
      <c r="M244" s="136"/>
      <c r="N244" s="81"/>
      <c r="O244" s="80"/>
      <c r="P244" s="25"/>
      <c r="Q244" s="79"/>
      <c r="R244" s="80"/>
      <c r="S244" s="80"/>
      <c r="T244" s="138"/>
      <c r="U244" s="138"/>
      <c r="V244" s="82"/>
      <c r="W244" s="77"/>
      <c r="X244" s="71" t="str">
        <f>IF(C244="Trả lại đơn vụ","",IF(C244="Trả lại đơn việc","",IF((NETWORKDAYS(F244,G244,'Danh sách ngày nghỉ lễ'!$B$5:$B$25)-1-3)&gt;0,"Quá hạn"&amp;" "&amp;(NETWORKDAYS(F244,G244,'Danh sách ngày nghỉ lễ'!$B$5:$B$25)-1-3)&amp;" "&amp;"ngày","")))</f>
        <v/>
      </c>
      <c r="Y244" s="72" t="str">
        <f>IF(S244=0,"",IF(P244="Chuyển","",IF(P244="Nhập vào vụ khác","",IF(P244="BA",IF((S244-R244)&gt;10,"Quá hạn"&amp;" "&amp;(S244-R244-10)&amp;" "&amp;"ngày",""),IF((NETWORKDAYS(R244,S244,'Danh sách ngày nghỉ lễ'!$B$5:$B$25)-VLOOKUP(P244,'Thời hạn'!$A$17:$B$23,2,0))&gt;1,"Quá hạn"&amp;" "&amp;(NETWORKDAYS(R244,S244,'Danh sách ngày nghỉ lễ'!$B$5:$B$25)-1-VLOOKUP(P244,'Thời hạn'!$A$17:$B$23,2,0))&amp;" "&amp;"ngày","")))))</f>
        <v/>
      </c>
      <c r="Z244" s="23">
        <v>1</v>
      </c>
    </row>
    <row r="245" spans="2:26" x14ac:dyDescent="0.3">
      <c r="B245" s="78"/>
      <c r="C245" s="33"/>
      <c r="D245" s="79"/>
      <c r="E245" s="79"/>
      <c r="F245" s="80"/>
      <c r="G245" s="80"/>
      <c r="H245" s="79"/>
      <c r="I245" s="70" t="str">
        <f>IF(C245="Trả lại đơn vụ","",IF(C245="Trả lại đơn việc","",IF(C245="Hòa giải thành","",IF(F245=0,"",EDATE(F245,VLOOKUP(C245,'Thời hạn'!$A$1:$B$10,2,0))+H245))))</f>
        <v/>
      </c>
      <c r="J245" s="59" t="str">
        <f t="shared" ca="1" si="4"/>
        <v/>
      </c>
      <c r="K245" s="79"/>
      <c r="L245" s="135"/>
      <c r="M245" s="136"/>
      <c r="N245" s="81"/>
      <c r="O245" s="80"/>
      <c r="P245" s="25"/>
      <c r="Q245" s="79"/>
      <c r="R245" s="80"/>
      <c r="S245" s="80"/>
      <c r="T245" s="138"/>
      <c r="U245" s="138"/>
      <c r="V245" s="82"/>
      <c r="W245" s="77"/>
      <c r="X245" s="71" t="str">
        <f>IF(C245="Trả lại đơn vụ","",IF(C245="Trả lại đơn việc","",IF((NETWORKDAYS(F245,G245,'Danh sách ngày nghỉ lễ'!$B$5:$B$25)-1-3)&gt;0,"Quá hạn"&amp;" "&amp;(NETWORKDAYS(F245,G245,'Danh sách ngày nghỉ lễ'!$B$5:$B$25)-1-3)&amp;" "&amp;"ngày","")))</f>
        <v/>
      </c>
      <c r="Y245" s="72" t="str">
        <f>IF(S245=0,"",IF(P245="Chuyển","",IF(P245="Nhập vào vụ khác","",IF(P245="BA",IF((S245-R245)&gt;10,"Quá hạn"&amp;" "&amp;(S245-R245-10)&amp;" "&amp;"ngày",""),IF((NETWORKDAYS(R245,S245,'Danh sách ngày nghỉ lễ'!$B$5:$B$25)-VLOOKUP(P245,'Thời hạn'!$A$17:$B$23,2,0))&gt;1,"Quá hạn"&amp;" "&amp;(NETWORKDAYS(R245,S245,'Danh sách ngày nghỉ lễ'!$B$5:$B$25)-1-VLOOKUP(P245,'Thời hạn'!$A$17:$B$23,2,0))&amp;" "&amp;"ngày","")))))</f>
        <v/>
      </c>
      <c r="Z245" s="23">
        <v>1</v>
      </c>
    </row>
    <row r="246" spans="2:26" x14ac:dyDescent="0.3">
      <c r="B246" s="78"/>
      <c r="C246" s="33"/>
      <c r="D246" s="79"/>
      <c r="E246" s="79"/>
      <c r="F246" s="80"/>
      <c r="G246" s="80"/>
      <c r="H246" s="79"/>
      <c r="I246" s="70" t="str">
        <f>IF(C246="Trả lại đơn vụ","",IF(C246="Trả lại đơn việc","",IF(C246="Hòa giải thành","",IF(F246=0,"",EDATE(F246,VLOOKUP(C246,'Thời hạn'!$A$1:$B$10,2,0))+H246))))</f>
        <v/>
      </c>
      <c r="J246" s="59" t="str">
        <f t="shared" ca="1" si="4"/>
        <v/>
      </c>
      <c r="K246" s="79"/>
      <c r="L246" s="135"/>
      <c r="M246" s="136"/>
      <c r="N246" s="81"/>
      <c r="O246" s="80"/>
      <c r="P246" s="25"/>
      <c r="Q246" s="79"/>
      <c r="R246" s="80"/>
      <c r="S246" s="80"/>
      <c r="T246" s="138"/>
      <c r="U246" s="138"/>
      <c r="V246" s="82"/>
      <c r="W246" s="77"/>
      <c r="X246" s="71" t="str">
        <f>IF(C246="Trả lại đơn vụ","",IF(C246="Trả lại đơn việc","",IF((NETWORKDAYS(F246,G246,'Danh sách ngày nghỉ lễ'!$B$5:$B$25)-1-3)&gt;0,"Quá hạn"&amp;" "&amp;(NETWORKDAYS(F246,G246,'Danh sách ngày nghỉ lễ'!$B$5:$B$25)-1-3)&amp;" "&amp;"ngày","")))</f>
        <v/>
      </c>
      <c r="Y246" s="72" t="str">
        <f>IF(S246=0,"",IF(P246="Chuyển","",IF(P246="Nhập vào vụ khác","",IF(P246="BA",IF((S246-R246)&gt;10,"Quá hạn"&amp;" "&amp;(S246-R246-10)&amp;" "&amp;"ngày",""),IF((NETWORKDAYS(R246,S246,'Danh sách ngày nghỉ lễ'!$B$5:$B$25)-VLOOKUP(P246,'Thời hạn'!$A$17:$B$23,2,0))&gt;1,"Quá hạn"&amp;" "&amp;(NETWORKDAYS(R246,S246,'Danh sách ngày nghỉ lễ'!$B$5:$B$25)-1-VLOOKUP(P246,'Thời hạn'!$A$17:$B$23,2,0))&amp;" "&amp;"ngày","")))))</f>
        <v/>
      </c>
      <c r="Z246" s="23">
        <v>1</v>
      </c>
    </row>
    <row r="247" spans="2:26" x14ac:dyDescent="0.3">
      <c r="B247" s="78"/>
      <c r="C247" s="33"/>
      <c r="D247" s="79"/>
      <c r="E247" s="79"/>
      <c r="F247" s="80"/>
      <c r="G247" s="80"/>
      <c r="H247" s="79"/>
      <c r="I247" s="70" t="str">
        <f>IF(C247="Trả lại đơn vụ","",IF(C247="Trả lại đơn việc","",IF(C247="Hòa giải thành","",IF(F247=0,"",EDATE(F247,VLOOKUP(C247,'Thời hạn'!$A$1:$B$10,2,0))+H247))))</f>
        <v/>
      </c>
      <c r="J247" s="59" t="str">
        <f t="shared" ca="1" si="4"/>
        <v/>
      </c>
      <c r="K247" s="79"/>
      <c r="L247" s="135"/>
      <c r="M247" s="136"/>
      <c r="N247" s="81"/>
      <c r="O247" s="80"/>
      <c r="P247" s="25"/>
      <c r="Q247" s="79"/>
      <c r="R247" s="80"/>
      <c r="S247" s="80"/>
      <c r="T247" s="138"/>
      <c r="U247" s="138"/>
      <c r="V247" s="82"/>
      <c r="W247" s="77"/>
      <c r="X247" s="71" t="str">
        <f>IF(C247="Trả lại đơn vụ","",IF(C247="Trả lại đơn việc","",IF((NETWORKDAYS(F247,G247,'Danh sách ngày nghỉ lễ'!$B$5:$B$25)-1-3)&gt;0,"Quá hạn"&amp;" "&amp;(NETWORKDAYS(F247,G247,'Danh sách ngày nghỉ lễ'!$B$5:$B$25)-1-3)&amp;" "&amp;"ngày","")))</f>
        <v/>
      </c>
      <c r="Y247" s="72" t="str">
        <f>IF(S247=0,"",IF(P247="Chuyển","",IF(P247="Nhập vào vụ khác","",IF(P247="BA",IF((S247-R247)&gt;10,"Quá hạn"&amp;" "&amp;(S247-R247-10)&amp;" "&amp;"ngày",""),IF((NETWORKDAYS(R247,S247,'Danh sách ngày nghỉ lễ'!$B$5:$B$25)-VLOOKUP(P247,'Thời hạn'!$A$17:$B$23,2,0))&gt;1,"Quá hạn"&amp;" "&amp;(NETWORKDAYS(R247,S247,'Danh sách ngày nghỉ lễ'!$B$5:$B$25)-1-VLOOKUP(P247,'Thời hạn'!$A$17:$B$23,2,0))&amp;" "&amp;"ngày","")))))</f>
        <v/>
      </c>
      <c r="Z247" s="23">
        <v>1</v>
      </c>
    </row>
    <row r="248" spans="2:26" x14ac:dyDescent="0.3">
      <c r="B248" s="78"/>
      <c r="C248" s="33"/>
      <c r="D248" s="79"/>
      <c r="E248" s="79"/>
      <c r="F248" s="80"/>
      <c r="G248" s="80"/>
      <c r="H248" s="79"/>
      <c r="I248" s="70" t="str">
        <f>IF(C248="Trả lại đơn vụ","",IF(C248="Trả lại đơn việc","",IF(C248="Hòa giải thành","",IF(F248=0,"",EDATE(F248,VLOOKUP(C248,'Thời hạn'!$A$1:$B$10,2,0))+H248))))</f>
        <v/>
      </c>
      <c r="J248" s="59" t="str">
        <f t="shared" ca="1" si="4"/>
        <v/>
      </c>
      <c r="K248" s="79"/>
      <c r="L248" s="135"/>
      <c r="M248" s="136"/>
      <c r="N248" s="81"/>
      <c r="O248" s="80"/>
      <c r="P248" s="25"/>
      <c r="Q248" s="79"/>
      <c r="R248" s="80"/>
      <c r="S248" s="80"/>
      <c r="T248" s="138"/>
      <c r="U248" s="138"/>
      <c r="V248" s="82"/>
      <c r="W248" s="77"/>
      <c r="X248" s="71" t="str">
        <f>IF(C248="Trả lại đơn vụ","",IF(C248="Trả lại đơn việc","",IF((NETWORKDAYS(F248,G248,'Danh sách ngày nghỉ lễ'!$B$5:$B$25)-1-3)&gt;0,"Quá hạn"&amp;" "&amp;(NETWORKDAYS(F248,G248,'Danh sách ngày nghỉ lễ'!$B$5:$B$25)-1-3)&amp;" "&amp;"ngày","")))</f>
        <v/>
      </c>
      <c r="Y248" s="72" t="str">
        <f>IF(S248=0,"",IF(P248="Chuyển","",IF(P248="Nhập vào vụ khác","",IF(P248="BA",IF((S248-R248)&gt;10,"Quá hạn"&amp;" "&amp;(S248-R248-10)&amp;" "&amp;"ngày",""),IF((NETWORKDAYS(R248,S248,'Danh sách ngày nghỉ lễ'!$B$5:$B$25)-VLOOKUP(P248,'Thời hạn'!$A$17:$B$23,2,0))&gt;1,"Quá hạn"&amp;" "&amp;(NETWORKDAYS(R248,S248,'Danh sách ngày nghỉ lễ'!$B$5:$B$25)-1-VLOOKUP(P248,'Thời hạn'!$A$17:$B$23,2,0))&amp;" "&amp;"ngày","")))))</f>
        <v/>
      </c>
      <c r="Z248" s="23">
        <v>1</v>
      </c>
    </row>
    <row r="249" spans="2:26" x14ac:dyDescent="0.3">
      <c r="B249" s="78"/>
      <c r="C249" s="33"/>
      <c r="D249" s="79"/>
      <c r="E249" s="79"/>
      <c r="F249" s="80"/>
      <c r="G249" s="80"/>
      <c r="H249" s="79"/>
      <c r="I249" s="70" t="str">
        <f>IF(C249="Trả lại đơn vụ","",IF(C249="Trả lại đơn việc","",IF(C249="Hòa giải thành","",IF(F249=0,"",EDATE(F249,VLOOKUP(C249,'Thời hạn'!$A$1:$B$10,2,0))+H249))))</f>
        <v/>
      </c>
      <c r="J249" s="59" t="str">
        <f t="shared" ca="1" si="4"/>
        <v/>
      </c>
      <c r="K249" s="79"/>
      <c r="L249" s="135"/>
      <c r="M249" s="136"/>
      <c r="N249" s="81"/>
      <c r="O249" s="80"/>
      <c r="P249" s="25"/>
      <c r="Q249" s="79"/>
      <c r="R249" s="80"/>
      <c r="S249" s="80"/>
      <c r="T249" s="138"/>
      <c r="U249" s="138"/>
      <c r="V249" s="82"/>
      <c r="W249" s="77"/>
      <c r="X249" s="71" t="str">
        <f>IF(C249="Trả lại đơn vụ","",IF(C249="Trả lại đơn việc","",IF((NETWORKDAYS(F249,G249,'Danh sách ngày nghỉ lễ'!$B$5:$B$25)-1-3)&gt;0,"Quá hạn"&amp;" "&amp;(NETWORKDAYS(F249,G249,'Danh sách ngày nghỉ lễ'!$B$5:$B$25)-1-3)&amp;" "&amp;"ngày","")))</f>
        <v/>
      </c>
      <c r="Y249" s="72" t="str">
        <f>IF(S249=0,"",IF(P249="Chuyển","",IF(P249="Nhập vào vụ khác","",IF(P249="BA",IF((S249-R249)&gt;10,"Quá hạn"&amp;" "&amp;(S249-R249-10)&amp;" "&amp;"ngày",""),IF((NETWORKDAYS(R249,S249,'Danh sách ngày nghỉ lễ'!$B$5:$B$25)-VLOOKUP(P249,'Thời hạn'!$A$17:$B$23,2,0))&gt;1,"Quá hạn"&amp;" "&amp;(NETWORKDAYS(R249,S249,'Danh sách ngày nghỉ lễ'!$B$5:$B$25)-1-VLOOKUP(P249,'Thời hạn'!$A$17:$B$23,2,0))&amp;" "&amp;"ngày","")))))</f>
        <v/>
      </c>
      <c r="Z249" s="23">
        <v>1</v>
      </c>
    </row>
    <row r="250" spans="2:26" x14ac:dyDescent="0.3">
      <c r="B250" s="78"/>
      <c r="C250" s="33"/>
      <c r="D250" s="79"/>
      <c r="E250" s="79"/>
      <c r="F250" s="80"/>
      <c r="G250" s="80"/>
      <c r="H250" s="79"/>
      <c r="I250" s="70" t="str">
        <f>IF(C250="Trả lại đơn vụ","",IF(C250="Trả lại đơn việc","",IF(C250="Hòa giải thành","",IF(F250=0,"",EDATE(F250,VLOOKUP(C250,'Thời hạn'!$A$1:$B$10,2,0))+H250))))</f>
        <v/>
      </c>
      <c r="J250" s="59" t="str">
        <f t="shared" ca="1" si="4"/>
        <v/>
      </c>
      <c r="K250" s="79"/>
      <c r="L250" s="135"/>
      <c r="M250" s="136"/>
      <c r="N250" s="81"/>
      <c r="O250" s="80"/>
      <c r="P250" s="25"/>
      <c r="Q250" s="79"/>
      <c r="R250" s="80"/>
      <c r="S250" s="80"/>
      <c r="T250" s="138"/>
      <c r="U250" s="138"/>
      <c r="V250" s="82"/>
      <c r="W250" s="77"/>
      <c r="X250" s="71" t="str">
        <f>IF(C250="Trả lại đơn vụ","",IF(C250="Trả lại đơn việc","",IF((NETWORKDAYS(F250,G250,'Danh sách ngày nghỉ lễ'!$B$5:$B$25)-1-3)&gt;0,"Quá hạn"&amp;" "&amp;(NETWORKDAYS(F250,G250,'Danh sách ngày nghỉ lễ'!$B$5:$B$25)-1-3)&amp;" "&amp;"ngày","")))</f>
        <v/>
      </c>
      <c r="Y250" s="72" t="str">
        <f>IF(S250=0,"",IF(P250="Chuyển","",IF(P250="Nhập vào vụ khác","",IF(P250="BA",IF((S250-R250)&gt;10,"Quá hạn"&amp;" "&amp;(S250-R250-10)&amp;" "&amp;"ngày",""),IF((NETWORKDAYS(R250,S250,'Danh sách ngày nghỉ lễ'!$B$5:$B$25)-VLOOKUP(P250,'Thời hạn'!$A$17:$B$23,2,0))&gt;1,"Quá hạn"&amp;" "&amp;(NETWORKDAYS(R250,S250,'Danh sách ngày nghỉ lễ'!$B$5:$B$25)-1-VLOOKUP(P250,'Thời hạn'!$A$17:$B$23,2,0))&amp;" "&amp;"ngày","")))))</f>
        <v/>
      </c>
      <c r="Z250" s="23">
        <v>1</v>
      </c>
    </row>
    <row r="251" spans="2:26" x14ac:dyDescent="0.3">
      <c r="B251" s="78"/>
      <c r="C251" s="33"/>
      <c r="D251" s="79"/>
      <c r="E251" s="79"/>
      <c r="F251" s="80"/>
      <c r="G251" s="80"/>
      <c r="H251" s="79"/>
      <c r="I251" s="70" t="str">
        <f>IF(C251="Trả lại đơn vụ","",IF(C251="Trả lại đơn việc","",IF(C251="Hòa giải thành","",IF(F251=0,"",EDATE(F251,VLOOKUP(C251,'Thời hạn'!$A$1:$B$10,2,0))+H251))))</f>
        <v/>
      </c>
      <c r="J251" s="59" t="str">
        <f t="shared" ca="1" si="4"/>
        <v/>
      </c>
      <c r="K251" s="79"/>
      <c r="L251" s="135"/>
      <c r="M251" s="136"/>
      <c r="N251" s="81"/>
      <c r="O251" s="80"/>
      <c r="P251" s="25"/>
      <c r="Q251" s="79"/>
      <c r="R251" s="80"/>
      <c r="S251" s="80"/>
      <c r="T251" s="138"/>
      <c r="U251" s="138"/>
      <c r="V251" s="82"/>
      <c r="W251" s="77"/>
      <c r="X251" s="71" t="str">
        <f>IF(C251="Trả lại đơn vụ","",IF(C251="Trả lại đơn việc","",IF((NETWORKDAYS(F251,G251,'Danh sách ngày nghỉ lễ'!$B$5:$B$25)-1-3)&gt;0,"Quá hạn"&amp;" "&amp;(NETWORKDAYS(F251,G251,'Danh sách ngày nghỉ lễ'!$B$5:$B$25)-1-3)&amp;" "&amp;"ngày","")))</f>
        <v/>
      </c>
      <c r="Y251" s="72" t="str">
        <f>IF(S251=0,"",IF(P251="Chuyển","",IF(P251="Nhập vào vụ khác","",IF(P251="BA",IF((S251-R251)&gt;10,"Quá hạn"&amp;" "&amp;(S251-R251-10)&amp;" "&amp;"ngày",""),IF((NETWORKDAYS(R251,S251,'Danh sách ngày nghỉ lễ'!$B$5:$B$25)-VLOOKUP(P251,'Thời hạn'!$A$17:$B$23,2,0))&gt;1,"Quá hạn"&amp;" "&amp;(NETWORKDAYS(R251,S251,'Danh sách ngày nghỉ lễ'!$B$5:$B$25)-1-VLOOKUP(P251,'Thời hạn'!$A$17:$B$23,2,0))&amp;" "&amp;"ngày","")))))</f>
        <v/>
      </c>
      <c r="Z251" s="23">
        <v>1</v>
      </c>
    </row>
    <row r="252" spans="2:26" x14ac:dyDescent="0.3">
      <c r="B252" s="78"/>
      <c r="C252" s="33"/>
      <c r="D252" s="79"/>
      <c r="E252" s="79"/>
      <c r="F252" s="80"/>
      <c r="G252" s="80"/>
      <c r="H252" s="79"/>
      <c r="I252" s="70" t="str">
        <f>IF(C252="Trả lại đơn vụ","",IF(C252="Trả lại đơn việc","",IF(C252="Hòa giải thành","",IF(F252=0,"",EDATE(F252,VLOOKUP(C252,'Thời hạn'!$A$1:$B$10,2,0))+H252))))</f>
        <v/>
      </c>
      <c r="J252" s="59" t="str">
        <f t="shared" ca="1" si="4"/>
        <v/>
      </c>
      <c r="K252" s="79"/>
      <c r="L252" s="135"/>
      <c r="M252" s="136"/>
      <c r="N252" s="81"/>
      <c r="O252" s="80"/>
      <c r="P252" s="25"/>
      <c r="Q252" s="79"/>
      <c r="R252" s="80"/>
      <c r="S252" s="80"/>
      <c r="T252" s="138"/>
      <c r="U252" s="138"/>
      <c r="V252" s="82"/>
      <c r="W252" s="77"/>
      <c r="X252" s="71" t="str">
        <f>IF(C252="Trả lại đơn vụ","",IF(C252="Trả lại đơn việc","",IF((NETWORKDAYS(F252,G252,'Danh sách ngày nghỉ lễ'!$B$5:$B$25)-1-3)&gt;0,"Quá hạn"&amp;" "&amp;(NETWORKDAYS(F252,G252,'Danh sách ngày nghỉ lễ'!$B$5:$B$25)-1-3)&amp;" "&amp;"ngày","")))</f>
        <v/>
      </c>
      <c r="Y252" s="72" t="str">
        <f>IF(S252=0,"",IF(P252="Chuyển","",IF(P252="Nhập vào vụ khác","",IF(P252="BA",IF((S252-R252)&gt;10,"Quá hạn"&amp;" "&amp;(S252-R252-10)&amp;" "&amp;"ngày",""),IF((NETWORKDAYS(R252,S252,'Danh sách ngày nghỉ lễ'!$B$5:$B$25)-VLOOKUP(P252,'Thời hạn'!$A$17:$B$23,2,0))&gt;1,"Quá hạn"&amp;" "&amp;(NETWORKDAYS(R252,S252,'Danh sách ngày nghỉ lễ'!$B$5:$B$25)-1-VLOOKUP(P252,'Thời hạn'!$A$17:$B$23,2,0))&amp;" "&amp;"ngày","")))))</f>
        <v/>
      </c>
      <c r="Z252" s="23">
        <v>1</v>
      </c>
    </row>
    <row r="253" spans="2:26" x14ac:dyDescent="0.3">
      <c r="B253" s="78"/>
      <c r="C253" s="33"/>
      <c r="D253" s="79"/>
      <c r="E253" s="79"/>
      <c r="F253" s="80"/>
      <c r="G253" s="80"/>
      <c r="H253" s="79"/>
      <c r="I253" s="70" t="str">
        <f>IF(C253="Trả lại đơn vụ","",IF(C253="Trả lại đơn việc","",IF(C253="Hòa giải thành","",IF(F253=0,"",EDATE(F253,VLOOKUP(C253,'Thời hạn'!$A$1:$B$10,2,0))+H253))))</f>
        <v/>
      </c>
      <c r="J253" s="59" t="str">
        <f t="shared" ca="1" si="4"/>
        <v/>
      </c>
      <c r="K253" s="79"/>
      <c r="L253" s="135"/>
      <c r="M253" s="136"/>
      <c r="N253" s="81"/>
      <c r="O253" s="80"/>
      <c r="P253" s="25"/>
      <c r="Q253" s="79"/>
      <c r="R253" s="80"/>
      <c r="S253" s="80"/>
      <c r="T253" s="138"/>
      <c r="U253" s="138"/>
      <c r="V253" s="82"/>
      <c r="W253" s="77"/>
      <c r="X253" s="71" t="str">
        <f>IF(C253="Trả lại đơn vụ","",IF(C253="Trả lại đơn việc","",IF((NETWORKDAYS(F253,G253,'Danh sách ngày nghỉ lễ'!$B$5:$B$25)-1-3)&gt;0,"Quá hạn"&amp;" "&amp;(NETWORKDAYS(F253,G253,'Danh sách ngày nghỉ lễ'!$B$5:$B$25)-1-3)&amp;" "&amp;"ngày","")))</f>
        <v/>
      </c>
      <c r="Y253" s="72" t="str">
        <f>IF(S253=0,"",IF(P253="Chuyển","",IF(P253="Nhập vào vụ khác","",IF(P253="BA",IF((S253-R253)&gt;10,"Quá hạn"&amp;" "&amp;(S253-R253-10)&amp;" "&amp;"ngày",""),IF((NETWORKDAYS(R253,S253,'Danh sách ngày nghỉ lễ'!$B$5:$B$25)-VLOOKUP(P253,'Thời hạn'!$A$17:$B$23,2,0))&gt;1,"Quá hạn"&amp;" "&amp;(NETWORKDAYS(R253,S253,'Danh sách ngày nghỉ lễ'!$B$5:$B$25)-1-VLOOKUP(P253,'Thời hạn'!$A$17:$B$23,2,0))&amp;" "&amp;"ngày","")))))</f>
        <v/>
      </c>
      <c r="Z253" s="23">
        <v>1</v>
      </c>
    </row>
    <row r="254" spans="2:26" x14ac:dyDescent="0.3">
      <c r="B254" s="78"/>
      <c r="C254" s="33"/>
      <c r="D254" s="79"/>
      <c r="E254" s="79"/>
      <c r="F254" s="80"/>
      <c r="G254" s="80"/>
      <c r="H254" s="79"/>
      <c r="I254" s="70" t="str">
        <f>IF(C254="Trả lại đơn vụ","",IF(C254="Trả lại đơn việc","",IF(C254="Hòa giải thành","",IF(F254=0,"",EDATE(F254,VLOOKUP(C254,'Thời hạn'!$A$1:$B$10,2,0))+H254))))</f>
        <v/>
      </c>
      <c r="J254" s="59" t="str">
        <f t="shared" ca="1" si="4"/>
        <v/>
      </c>
      <c r="K254" s="79"/>
      <c r="L254" s="135"/>
      <c r="M254" s="136"/>
      <c r="N254" s="81"/>
      <c r="O254" s="80"/>
      <c r="P254" s="25"/>
      <c r="Q254" s="79"/>
      <c r="R254" s="80"/>
      <c r="S254" s="80"/>
      <c r="T254" s="138"/>
      <c r="U254" s="138"/>
      <c r="V254" s="82"/>
      <c r="W254" s="77"/>
      <c r="X254" s="71" t="str">
        <f>IF(C254="Trả lại đơn vụ","",IF(C254="Trả lại đơn việc","",IF((NETWORKDAYS(F254,G254,'Danh sách ngày nghỉ lễ'!$B$5:$B$25)-1-3)&gt;0,"Quá hạn"&amp;" "&amp;(NETWORKDAYS(F254,G254,'Danh sách ngày nghỉ lễ'!$B$5:$B$25)-1-3)&amp;" "&amp;"ngày","")))</f>
        <v/>
      </c>
      <c r="Y254" s="72" t="str">
        <f>IF(S254=0,"",IF(P254="Chuyển","",IF(P254="Nhập vào vụ khác","",IF(P254="BA",IF((S254-R254)&gt;10,"Quá hạn"&amp;" "&amp;(S254-R254-10)&amp;" "&amp;"ngày",""),IF((NETWORKDAYS(R254,S254,'Danh sách ngày nghỉ lễ'!$B$5:$B$25)-VLOOKUP(P254,'Thời hạn'!$A$17:$B$23,2,0))&gt;1,"Quá hạn"&amp;" "&amp;(NETWORKDAYS(R254,S254,'Danh sách ngày nghỉ lễ'!$B$5:$B$25)-1-VLOOKUP(P254,'Thời hạn'!$A$17:$B$23,2,0))&amp;" "&amp;"ngày","")))))</f>
        <v/>
      </c>
      <c r="Z254" s="23">
        <v>1</v>
      </c>
    </row>
    <row r="255" spans="2:26" x14ac:dyDescent="0.3">
      <c r="B255" s="78"/>
      <c r="C255" s="33"/>
      <c r="D255" s="79"/>
      <c r="E255" s="79"/>
      <c r="F255" s="80"/>
      <c r="G255" s="80"/>
      <c r="H255" s="79"/>
      <c r="I255" s="70" t="str">
        <f>IF(C255="Trả lại đơn vụ","",IF(C255="Trả lại đơn việc","",IF(C255="Hòa giải thành","",IF(F255=0,"",EDATE(F255,VLOOKUP(C255,'Thời hạn'!$A$1:$B$10,2,0))+H255))))</f>
        <v/>
      </c>
      <c r="J255" s="59" t="str">
        <f t="shared" ca="1" si="4"/>
        <v/>
      </c>
      <c r="K255" s="79"/>
      <c r="L255" s="135"/>
      <c r="M255" s="136"/>
      <c r="N255" s="81"/>
      <c r="O255" s="80"/>
      <c r="P255" s="25"/>
      <c r="Q255" s="79"/>
      <c r="R255" s="80"/>
      <c r="S255" s="80"/>
      <c r="T255" s="138"/>
      <c r="U255" s="138"/>
      <c r="V255" s="82"/>
      <c r="W255" s="77"/>
      <c r="X255" s="71" t="str">
        <f>IF(C255="Trả lại đơn vụ","",IF(C255="Trả lại đơn việc","",IF((NETWORKDAYS(F255,G255,'Danh sách ngày nghỉ lễ'!$B$5:$B$25)-1-3)&gt;0,"Quá hạn"&amp;" "&amp;(NETWORKDAYS(F255,G255,'Danh sách ngày nghỉ lễ'!$B$5:$B$25)-1-3)&amp;" "&amp;"ngày","")))</f>
        <v/>
      </c>
      <c r="Y255" s="72" t="str">
        <f>IF(S255=0,"",IF(P255="Chuyển","",IF(P255="Nhập vào vụ khác","",IF(P255="BA",IF((S255-R255)&gt;10,"Quá hạn"&amp;" "&amp;(S255-R255-10)&amp;" "&amp;"ngày",""),IF((NETWORKDAYS(R255,S255,'Danh sách ngày nghỉ lễ'!$B$5:$B$25)-VLOOKUP(P255,'Thời hạn'!$A$17:$B$23,2,0))&gt;1,"Quá hạn"&amp;" "&amp;(NETWORKDAYS(R255,S255,'Danh sách ngày nghỉ lễ'!$B$5:$B$25)-1-VLOOKUP(P255,'Thời hạn'!$A$17:$B$23,2,0))&amp;" "&amp;"ngày","")))))</f>
        <v/>
      </c>
      <c r="Z255" s="23">
        <v>1</v>
      </c>
    </row>
    <row r="256" spans="2:26" x14ac:dyDescent="0.3">
      <c r="B256" s="78"/>
      <c r="C256" s="33"/>
      <c r="D256" s="79"/>
      <c r="E256" s="79"/>
      <c r="F256" s="80"/>
      <c r="G256" s="80"/>
      <c r="H256" s="79"/>
      <c r="I256" s="70" t="str">
        <f>IF(C256="Trả lại đơn vụ","",IF(C256="Trả lại đơn việc","",IF(C256="Hòa giải thành","",IF(F256=0,"",EDATE(F256,VLOOKUP(C256,'Thời hạn'!$A$1:$B$10,2,0))+H256))))</f>
        <v/>
      </c>
      <c r="J256" s="59" t="str">
        <f t="shared" ca="1" si="4"/>
        <v/>
      </c>
      <c r="K256" s="79"/>
      <c r="L256" s="135"/>
      <c r="M256" s="136"/>
      <c r="N256" s="81"/>
      <c r="O256" s="80"/>
      <c r="P256" s="25"/>
      <c r="Q256" s="79"/>
      <c r="R256" s="80"/>
      <c r="S256" s="80"/>
      <c r="T256" s="138"/>
      <c r="U256" s="138"/>
      <c r="V256" s="82"/>
      <c r="W256" s="77"/>
      <c r="X256" s="71" t="str">
        <f>IF(C256="Trả lại đơn vụ","",IF(C256="Trả lại đơn việc","",IF((NETWORKDAYS(F256,G256,'Danh sách ngày nghỉ lễ'!$B$5:$B$25)-1-3)&gt;0,"Quá hạn"&amp;" "&amp;(NETWORKDAYS(F256,G256,'Danh sách ngày nghỉ lễ'!$B$5:$B$25)-1-3)&amp;" "&amp;"ngày","")))</f>
        <v/>
      </c>
      <c r="Y256" s="72" t="str">
        <f>IF(S256=0,"",IF(P256="Chuyển","",IF(P256="Nhập vào vụ khác","",IF(P256="BA",IF((S256-R256)&gt;10,"Quá hạn"&amp;" "&amp;(S256-R256-10)&amp;" "&amp;"ngày",""),IF((NETWORKDAYS(R256,S256,'Danh sách ngày nghỉ lễ'!$B$5:$B$25)-VLOOKUP(P256,'Thời hạn'!$A$17:$B$23,2,0))&gt;1,"Quá hạn"&amp;" "&amp;(NETWORKDAYS(R256,S256,'Danh sách ngày nghỉ lễ'!$B$5:$B$25)-1-VLOOKUP(P256,'Thời hạn'!$A$17:$B$23,2,0))&amp;" "&amp;"ngày","")))))</f>
        <v/>
      </c>
      <c r="Z256" s="23">
        <v>1</v>
      </c>
    </row>
    <row r="257" spans="2:26" x14ac:dyDescent="0.3">
      <c r="B257" s="78"/>
      <c r="C257" s="33"/>
      <c r="D257" s="79"/>
      <c r="E257" s="79"/>
      <c r="F257" s="80"/>
      <c r="G257" s="80"/>
      <c r="H257" s="79"/>
      <c r="I257" s="70" t="str">
        <f>IF(C257="Trả lại đơn vụ","",IF(C257="Trả lại đơn việc","",IF(C257="Hòa giải thành","",IF(F257=0,"",EDATE(F257,VLOOKUP(C257,'Thời hạn'!$A$1:$B$10,2,0))+H257))))</f>
        <v/>
      </c>
      <c r="J257" s="59" t="str">
        <f t="shared" ca="1" si="4"/>
        <v/>
      </c>
      <c r="K257" s="79"/>
      <c r="L257" s="135"/>
      <c r="M257" s="136"/>
      <c r="N257" s="81"/>
      <c r="O257" s="80"/>
      <c r="P257" s="25"/>
      <c r="Q257" s="79"/>
      <c r="R257" s="80"/>
      <c r="S257" s="80"/>
      <c r="T257" s="138"/>
      <c r="U257" s="138"/>
      <c r="V257" s="82"/>
      <c r="W257" s="77"/>
      <c r="X257" s="71" t="str">
        <f>IF(C257="Trả lại đơn vụ","",IF(C257="Trả lại đơn việc","",IF((NETWORKDAYS(F257,G257,'Danh sách ngày nghỉ lễ'!$B$5:$B$25)-1-3)&gt;0,"Quá hạn"&amp;" "&amp;(NETWORKDAYS(F257,G257,'Danh sách ngày nghỉ lễ'!$B$5:$B$25)-1-3)&amp;" "&amp;"ngày","")))</f>
        <v/>
      </c>
      <c r="Y257" s="72" t="str">
        <f>IF(S257=0,"",IF(P257="Chuyển","",IF(P257="Nhập vào vụ khác","",IF(P257="BA",IF((S257-R257)&gt;10,"Quá hạn"&amp;" "&amp;(S257-R257-10)&amp;" "&amp;"ngày",""),IF((NETWORKDAYS(R257,S257,'Danh sách ngày nghỉ lễ'!$B$5:$B$25)-VLOOKUP(P257,'Thời hạn'!$A$17:$B$23,2,0))&gt;1,"Quá hạn"&amp;" "&amp;(NETWORKDAYS(R257,S257,'Danh sách ngày nghỉ lễ'!$B$5:$B$25)-1-VLOOKUP(P257,'Thời hạn'!$A$17:$B$23,2,0))&amp;" "&amp;"ngày","")))))</f>
        <v/>
      </c>
      <c r="Z257" s="23">
        <v>1</v>
      </c>
    </row>
    <row r="258" spans="2:26" x14ac:dyDescent="0.3">
      <c r="B258" s="78"/>
      <c r="C258" s="33"/>
      <c r="D258" s="79"/>
      <c r="E258" s="79"/>
      <c r="F258" s="80"/>
      <c r="G258" s="80"/>
      <c r="H258" s="79"/>
      <c r="I258" s="70" t="str">
        <f>IF(C258="Trả lại đơn vụ","",IF(C258="Trả lại đơn việc","",IF(C258="Hòa giải thành","",IF(F258=0,"",EDATE(F258,VLOOKUP(C258,'Thời hạn'!$A$1:$B$10,2,0))+H258))))</f>
        <v/>
      </c>
      <c r="J258" s="59" t="str">
        <f t="shared" ca="1" si="4"/>
        <v/>
      </c>
      <c r="K258" s="79"/>
      <c r="L258" s="135"/>
      <c r="M258" s="136"/>
      <c r="N258" s="81"/>
      <c r="O258" s="80"/>
      <c r="P258" s="25"/>
      <c r="Q258" s="79"/>
      <c r="R258" s="80"/>
      <c r="S258" s="80"/>
      <c r="T258" s="138"/>
      <c r="U258" s="138"/>
      <c r="V258" s="82"/>
      <c r="W258" s="77"/>
      <c r="X258" s="71" t="str">
        <f>IF(C258="Trả lại đơn vụ","",IF(C258="Trả lại đơn việc","",IF((NETWORKDAYS(F258,G258,'Danh sách ngày nghỉ lễ'!$B$5:$B$25)-1-3)&gt;0,"Quá hạn"&amp;" "&amp;(NETWORKDAYS(F258,G258,'Danh sách ngày nghỉ lễ'!$B$5:$B$25)-1-3)&amp;" "&amp;"ngày","")))</f>
        <v/>
      </c>
      <c r="Y258" s="72" t="str">
        <f>IF(S258=0,"",IF(P258="Chuyển","",IF(P258="Nhập vào vụ khác","",IF(P258="BA",IF((S258-R258)&gt;10,"Quá hạn"&amp;" "&amp;(S258-R258-10)&amp;" "&amp;"ngày",""),IF((NETWORKDAYS(R258,S258,'Danh sách ngày nghỉ lễ'!$B$5:$B$25)-VLOOKUP(P258,'Thời hạn'!$A$17:$B$23,2,0))&gt;1,"Quá hạn"&amp;" "&amp;(NETWORKDAYS(R258,S258,'Danh sách ngày nghỉ lễ'!$B$5:$B$25)-1-VLOOKUP(P258,'Thời hạn'!$A$17:$B$23,2,0))&amp;" "&amp;"ngày","")))))</f>
        <v/>
      </c>
      <c r="Z258" s="23">
        <v>1</v>
      </c>
    </row>
    <row r="259" spans="2:26" x14ac:dyDescent="0.3">
      <c r="B259" s="78"/>
      <c r="C259" s="33"/>
      <c r="D259" s="79"/>
      <c r="E259" s="79"/>
      <c r="F259" s="80"/>
      <c r="G259" s="80"/>
      <c r="H259" s="79"/>
      <c r="I259" s="70" t="str">
        <f>IF(C259="Trả lại đơn vụ","",IF(C259="Trả lại đơn việc","",IF(C259="Hòa giải thành","",IF(F259=0,"",EDATE(F259,VLOOKUP(C259,'Thời hạn'!$A$1:$B$10,2,0))+H259))))</f>
        <v/>
      </c>
      <c r="J259" s="59" t="str">
        <f t="shared" ca="1" si="4"/>
        <v/>
      </c>
      <c r="K259" s="79"/>
      <c r="L259" s="135"/>
      <c r="M259" s="136"/>
      <c r="N259" s="81"/>
      <c r="O259" s="80"/>
      <c r="P259" s="25"/>
      <c r="Q259" s="79"/>
      <c r="R259" s="80"/>
      <c r="S259" s="80"/>
      <c r="T259" s="138"/>
      <c r="U259" s="138"/>
      <c r="V259" s="82"/>
      <c r="W259" s="77"/>
      <c r="X259" s="71" t="str">
        <f>IF(C259="Trả lại đơn vụ","",IF(C259="Trả lại đơn việc","",IF((NETWORKDAYS(F259,G259,'Danh sách ngày nghỉ lễ'!$B$5:$B$25)-1-3)&gt;0,"Quá hạn"&amp;" "&amp;(NETWORKDAYS(F259,G259,'Danh sách ngày nghỉ lễ'!$B$5:$B$25)-1-3)&amp;" "&amp;"ngày","")))</f>
        <v/>
      </c>
      <c r="Y259" s="72" t="str">
        <f>IF(S259=0,"",IF(P259="Chuyển","",IF(P259="Nhập vào vụ khác","",IF(P259="BA",IF((S259-R259)&gt;10,"Quá hạn"&amp;" "&amp;(S259-R259-10)&amp;" "&amp;"ngày",""),IF((NETWORKDAYS(R259,S259,'Danh sách ngày nghỉ lễ'!$B$5:$B$25)-VLOOKUP(P259,'Thời hạn'!$A$17:$B$23,2,0))&gt;1,"Quá hạn"&amp;" "&amp;(NETWORKDAYS(R259,S259,'Danh sách ngày nghỉ lễ'!$B$5:$B$25)-1-VLOOKUP(P259,'Thời hạn'!$A$17:$B$23,2,0))&amp;" "&amp;"ngày","")))))</f>
        <v/>
      </c>
      <c r="Z259" s="23">
        <v>1</v>
      </c>
    </row>
    <row r="260" spans="2:26" x14ac:dyDescent="0.3">
      <c r="B260" s="78"/>
      <c r="C260" s="33"/>
      <c r="D260" s="79"/>
      <c r="E260" s="79"/>
      <c r="F260" s="80"/>
      <c r="G260" s="80"/>
      <c r="H260" s="79"/>
      <c r="I260" s="70" t="str">
        <f>IF(C260="Trả lại đơn vụ","",IF(C260="Trả lại đơn việc","",IF(C260="Hòa giải thành","",IF(F260=0,"",EDATE(F260,VLOOKUP(C260,'Thời hạn'!$A$1:$B$10,2,0))+H260))))</f>
        <v/>
      </c>
      <c r="J260" s="59" t="str">
        <f t="shared" ca="1" si="4"/>
        <v/>
      </c>
      <c r="K260" s="79"/>
      <c r="L260" s="135"/>
      <c r="M260" s="136"/>
      <c r="N260" s="81"/>
      <c r="O260" s="80"/>
      <c r="P260" s="25"/>
      <c r="Q260" s="79"/>
      <c r="R260" s="80"/>
      <c r="S260" s="80"/>
      <c r="T260" s="138"/>
      <c r="U260" s="138"/>
      <c r="V260" s="82"/>
      <c r="W260" s="77"/>
      <c r="X260" s="71" t="str">
        <f>IF(C260="Trả lại đơn vụ","",IF(C260="Trả lại đơn việc","",IF((NETWORKDAYS(F260,G260,'Danh sách ngày nghỉ lễ'!$B$5:$B$25)-1-3)&gt;0,"Quá hạn"&amp;" "&amp;(NETWORKDAYS(F260,G260,'Danh sách ngày nghỉ lễ'!$B$5:$B$25)-1-3)&amp;" "&amp;"ngày","")))</f>
        <v/>
      </c>
      <c r="Y260" s="72" t="str">
        <f>IF(S260=0,"",IF(P260="Chuyển","",IF(P260="Nhập vào vụ khác","",IF(P260="BA",IF((S260-R260)&gt;10,"Quá hạn"&amp;" "&amp;(S260-R260-10)&amp;" "&amp;"ngày",""),IF((NETWORKDAYS(R260,S260,'Danh sách ngày nghỉ lễ'!$B$5:$B$25)-VLOOKUP(P260,'Thời hạn'!$A$17:$B$23,2,0))&gt;1,"Quá hạn"&amp;" "&amp;(NETWORKDAYS(R260,S260,'Danh sách ngày nghỉ lễ'!$B$5:$B$25)-1-VLOOKUP(P260,'Thời hạn'!$A$17:$B$23,2,0))&amp;" "&amp;"ngày","")))))</f>
        <v/>
      </c>
      <c r="Z260" s="23">
        <v>1</v>
      </c>
    </row>
    <row r="261" spans="2:26" x14ac:dyDescent="0.3">
      <c r="B261" s="78"/>
      <c r="C261" s="33"/>
      <c r="D261" s="79"/>
      <c r="E261" s="79"/>
      <c r="F261" s="80"/>
      <c r="G261" s="80"/>
      <c r="H261" s="79"/>
      <c r="I261" s="70" t="str">
        <f>IF(C261="Trả lại đơn vụ","",IF(C261="Trả lại đơn việc","",IF(C261="Hòa giải thành","",IF(F261=0,"",EDATE(F261,VLOOKUP(C261,'Thời hạn'!$A$1:$B$10,2,0))+H261))))</f>
        <v/>
      </c>
      <c r="J261" s="59" t="str">
        <f t="shared" ca="1" si="4"/>
        <v/>
      </c>
      <c r="K261" s="79"/>
      <c r="L261" s="135"/>
      <c r="M261" s="136"/>
      <c r="N261" s="81"/>
      <c r="O261" s="80"/>
      <c r="P261" s="25"/>
      <c r="Q261" s="79"/>
      <c r="R261" s="80"/>
      <c r="S261" s="80"/>
      <c r="T261" s="138"/>
      <c r="U261" s="138"/>
      <c r="V261" s="82"/>
      <c r="W261" s="77"/>
      <c r="X261" s="71" t="str">
        <f>IF(C261="Trả lại đơn vụ","",IF(C261="Trả lại đơn việc","",IF((NETWORKDAYS(F261,G261,'Danh sách ngày nghỉ lễ'!$B$5:$B$25)-1-3)&gt;0,"Quá hạn"&amp;" "&amp;(NETWORKDAYS(F261,G261,'Danh sách ngày nghỉ lễ'!$B$5:$B$25)-1-3)&amp;" "&amp;"ngày","")))</f>
        <v/>
      </c>
      <c r="Y261" s="72" t="str">
        <f>IF(S261=0,"",IF(P261="Chuyển","",IF(P261="Nhập vào vụ khác","",IF(P261="BA",IF((S261-R261)&gt;10,"Quá hạn"&amp;" "&amp;(S261-R261-10)&amp;" "&amp;"ngày",""),IF((NETWORKDAYS(R261,S261,'Danh sách ngày nghỉ lễ'!$B$5:$B$25)-VLOOKUP(P261,'Thời hạn'!$A$17:$B$23,2,0))&gt;1,"Quá hạn"&amp;" "&amp;(NETWORKDAYS(R261,S261,'Danh sách ngày nghỉ lễ'!$B$5:$B$25)-1-VLOOKUP(P261,'Thời hạn'!$A$17:$B$23,2,0))&amp;" "&amp;"ngày","")))))</f>
        <v/>
      </c>
      <c r="Z261" s="23">
        <v>1</v>
      </c>
    </row>
    <row r="262" spans="2:26" x14ac:dyDescent="0.3">
      <c r="B262" s="78"/>
      <c r="C262" s="33"/>
      <c r="D262" s="79"/>
      <c r="E262" s="79"/>
      <c r="F262" s="80"/>
      <c r="G262" s="80"/>
      <c r="H262" s="79"/>
      <c r="I262" s="70" t="str">
        <f>IF(C262="Trả lại đơn vụ","",IF(C262="Trả lại đơn việc","",IF(C262="Hòa giải thành","",IF(F262=0,"",EDATE(F262,VLOOKUP(C262,'Thời hạn'!$A$1:$B$10,2,0))+H262))))</f>
        <v/>
      </c>
      <c r="J262" s="59" t="str">
        <f t="shared" ca="1" si="4"/>
        <v/>
      </c>
      <c r="K262" s="79"/>
      <c r="L262" s="135"/>
      <c r="M262" s="136"/>
      <c r="N262" s="81"/>
      <c r="O262" s="80"/>
      <c r="P262" s="25"/>
      <c r="Q262" s="79"/>
      <c r="R262" s="80"/>
      <c r="S262" s="80"/>
      <c r="T262" s="138"/>
      <c r="U262" s="138"/>
      <c r="V262" s="82"/>
      <c r="W262" s="77"/>
      <c r="X262" s="71" t="str">
        <f>IF(C262="Trả lại đơn vụ","",IF(C262="Trả lại đơn việc","",IF((NETWORKDAYS(F262,G262,'Danh sách ngày nghỉ lễ'!$B$5:$B$25)-1-3)&gt;0,"Quá hạn"&amp;" "&amp;(NETWORKDAYS(F262,G262,'Danh sách ngày nghỉ lễ'!$B$5:$B$25)-1-3)&amp;" "&amp;"ngày","")))</f>
        <v/>
      </c>
      <c r="Y262" s="72" t="str">
        <f>IF(S262=0,"",IF(P262="Chuyển","",IF(P262="Nhập vào vụ khác","",IF(P262="BA",IF((S262-R262)&gt;10,"Quá hạn"&amp;" "&amp;(S262-R262-10)&amp;" "&amp;"ngày",""),IF((NETWORKDAYS(R262,S262,'Danh sách ngày nghỉ lễ'!$B$5:$B$25)-VLOOKUP(P262,'Thời hạn'!$A$17:$B$23,2,0))&gt;1,"Quá hạn"&amp;" "&amp;(NETWORKDAYS(R262,S262,'Danh sách ngày nghỉ lễ'!$B$5:$B$25)-1-VLOOKUP(P262,'Thời hạn'!$A$17:$B$23,2,0))&amp;" "&amp;"ngày","")))))</f>
        <v/>
      </c>
      <c r="Z262" s="23">
        <v>1</v>
      </c>
    </row>
    <row r="263" spans="2:26" x14ac:dyDescent="0.3">
      <c r="B263" s="78"/>
      <c r="C263" s="33"/>
      <c r="D263" s="79"/>
      <c r="E263" s="79"/>
      <c r="F263" s="80"/>
      <c r="G263" s="80"/>
      <c r="H263" s="79"/>
      <c r="I263" s="70" t="str">
        <f>IF(C263="Trả lại đơn vụ","",IF(C263="Trả lại đơn việc","",IF(C263="Hòa giải thành","",IF(F263=0,"",EDATE(F263,VLOOKUP(C263,'Thời hạn'!$A$1:$B$10,2,0))+H263))))</f>
        <v/>
      </c>
      <c r="J263" s="59" t="str">
        <f t="shared" ca="1" si="4"/>
        <v/>
      </c>
      <c r="K263" s="79"/>
      <c r="L263" s="135"/>
      <c r="M263" s="136"/>
      <c r="N263" s="81"/>
      <c r="O263" s="80"/>
      <c r="P263" s="25"/>
      <c r="Q263" s="79"/>
      <c r="R263" s="80"/>
      <c r="S263" s="80"/>
      <c r="T263" s="138"/>
      <c r="U263" s="138"/>
      <c r="V263" s="82"/>
      <c r="W263" s="77"/>
      <c r="X263" s="71" t="str">
        <f>IF(C263="Trả lại đơn vụ","",IF(C263="Trả lại đơn việc","",IF((NETWORKDAYS(F263,G263,'Danh sách ngày nghỉ lễ'!$B$5:$B$25)-1-3)&gt;0,"Quá hạn"&amp;" "&amp;(NETWORKDAYS(F263,G263,'Danh sách ngày nghỉ lễ'!$B$5:$B$25)-1-3)&amp;" "&amp;"ngày","")))</f>
        <v/>
      </c>
      <c r="Y263" s="72" t="str">
        <f>IF(S263=0,"",IF(P263="Chuyển","",IF(P263="Nhập vào vụ khác","",IF(P263="BA",IF((S263-R263)&gt;10,"Quá hạn"&amp;" "&amp;(S263-R263-10)&amp;" "&amp;"ngày",""),IF((NETWORKDAYS(R263,S263,'Danh sách ngày nghỉ lễ'!$B$5:$B$25)-VLOOKUP(P263,'Thời hạn'!$A$17:$B$23,2,0))&gt;1,"Quá hạn"&amp;" "&amp;(NETWORKDAYS(R263,S263,'Danh sách ngày nghỉ lễ'!$B$5:$B$25)-1-VLOOKUP(P263,'Thời hạn'!$A$17:$B$23,2,0))&amp;" "&amp;"ngày","")))))</f>
        <v/>
      </c>
      <c r="Z263" s="23">
        <v>1</v>
      </c>
    </row>
    <row r="264" spans="2:26" x14ac:dyDescent="0.3">
      <c r="B264" s="78"/>
      <c r="C264" s="33"/>
      <c r="D264" s="79"/>
      <c r="E264" s="79"/>
      <c r="F264" s="80"/>
      <c r="G264" s="80"/>
      <c r="H264" s="79"/>
      <c r="I264" s="70" t="str">
        <f>IF(C264="Trả lại đơn vụ","",IF(C264="Trả lại đơn việc","",IF(C264="Hòa giải thành","",IF(F264=0,"",EDATE(F264,VLOOKUP(C264,'Thời hạn'!$A$1:$B$10,2,0))+H264))))</f>
        <v/>
      </c>
      <c r="J264" s="59" t="str">
        <f t="shared" ca="1" si="4"/>
        <v/>
      </c>
      <c r="K264" s="79"/>
      <c r="L264" s="135"/>
      <c r="M264" s="136"/>
      <c r="N264" s="81"/>
      <c r="O264" s="80"/>
      <c r="P264" s="25"/>
      <c r="Q264" s="79"/>
      <c r="R264" s="80"/>
      <c r="S264" s="80"/>
      <c r="T264" s="138"/>
      <c r="U264" s="138"/>
      <c r="V264" s="82"/>
      <c r="W264" s="77"/>
      <c r="X264" s="71" t="str">
        <f>IF(C264="Trả lại đơn vụ","",IF(C264="Trả lại đơn việc","",IF((NETWORKDAYS(F264,G264,'Danh sách ngày nghỉ lễ'!$B$5:$B$25)-1-3)&gt;0,"Quá hạn"&amp;" "&amp;(NETWORKDAYS(F264,G264,'Danh sách ngày nghỉ lễ'!$B$5:$B$25)-1-3)&amp;" "&amp;"ngày","")))</f>
        <v/>
      </c>
      <c r="Y264" s="72" t="str">
        <f>IF(S264=0,"",IF(P264="Chuyển","",IF(P264="Nhập vào vụ khác","",IF(P264="BA",IF((S264-R264)&gt;10,"Quá hạn"&amp;" "&amp;(S264-R264-10)&amp;" "&amp;"ngày",""),IF((NETWORKDAYS(R264,S264,'Danh sách ngày nghỉ lễ'!$B$5:$B$25)-VLOOKUP(P264,'Thời hạn'!$A$17:$B$23,2,0))&gt;1,"Quá hạn"&amp;" "&amp;(NETWORKDAYS(R264,S264,'Danh sách ngày nghỉ lễ'!$B$5:$B$25)-1-VLOOKUP(P264,'Thời hạn'!$A$17:$B$23,2,0))&amp;" "&amp;"ngày","")))))</f>
        <v/>
      </c>
      <c r="Z264" s="23">
        <v>1</v>
      </c>
    </row>
    <row r="265" spans="2:26" x14ac:dyDescent="0.3">
      <c r="B265" s="78"/>
      <c r="C265" s="33"/>
      <c r="D265" s="79"/>
      <c r="E265" s="79"/>
      <c r="F265" s="80"/>
      <c r="G265" s="80"/>
      <c r="H265" s="79"/>
      <c r="I265" s="70" t="str">
        <f>IF(C265="Trả lại đơn vụ","",IF(C265="Trả lại đơn việc","",IF(C265="Hòa giải thành","",IF(F265=0,"",EDATE(F265,VLOOKUP(C265,'Thời hạn'!$A$1:$B$10,2,0))+H265))))</f>
        <v/>
      </c>
      <c r="J265" s="59" t="str">
        <f t="shared" ca="1" si="4"/>
        <v/>
      </c>
      <c r="K265" s="79"/>
      <c r="L265" s="135"/>
      <c r="M265" s="136"/>
      <c r="N265" s="81"/>
      <c r="O265" s="80"/>
      <c r="P265" s="25"/>
      <c r="Q265" s="79"/>
      <c r="R265" s="80"/>
      <c r="S265" s="80"/>
      <c r="T265" s="138"/>
      <c r="U265" s="138"/>
      <c r="V265" s="82"/>
      <c r="W265" s="77"/>
      <c r="X265" s="71" t="str">
        <f>IF(C265="Trả lại đơn vụ","",IF(C265="Trả lại đơn việc","",IF((NETWORKDAYS(F265,G265,'Danh sách ngày nghỉ lễ'!$B$5:$B$25)-1-3)&gt;0,"Quá hạn"&amp;" "&amp;(NETWORKDAYS(F265,G265,'Danh sách ngày nghỉ lễ'!$B$5:$B$25)-1-3)&amp;" "&amp;"ngày","")))</f>
        <v/>
      </c>
      <c r="Y265" s="72" t="str">
        <f>IF(S265=0,"",IF(P265="Chuyển","",IF(P265="Nhập vào vụ khác","",IF(P265="BA",IF((S265-R265)&gt;10,"Quá hạn"&amp;" "&amp;(S265-R265-10)&amp;" "&amp;"ngày",""),IF((NETWORKDAYS(R265,S265,'Danh sách ngày nghỉ lễ'!$B$5:$B$25)-VLOOKUP(P265,'Thời hạn'!$A$17:$B$23,2,0))&gt;1,"Quá hạn"&amp;" "&amp;(NETWORKDAYS(R265,S265,'Danh sách ngày nghỉ lễ'!$B$5:$B$25)-1-VLOOKUP(P265,'Thời hạn'!$A$17:$B$23,2,0))&amp;" "&amp;"ngày","")))))</f>
        <v/>
      </c>
      <c r="Z265" s="23">
        <v>1</v>
      </c>
    </row>
    <row r="266" spans="2:26" x14ac:dyDescent="0.3">
      <c r="B266" s="78"/>
      <c r="C266" s="33"/>
      <c r="D266" s="79"/>
      <c r="E266" s="79"/>
      <c r="F266" s="80"/>
      <c r="G266" s="80"/>
      <c r="H266" s="79"/>
      <c r="I266" s="70" t="str">
        <f>IF(C266="Trả lại đơn vụ","",IF(C266="Trả lại đơn việc","",IF(C266="Hòa giải thành","",IF(F266=0,"",EDATE(F266,VLOOKUP(C266,'Thời hạn'!$A$1:$B$10,2,0))+H266))))</f>
        <v/>
      </c>
      <c r="J266" s="59" t="str">
        <f t="shared" ca="1" si="4"/>
        <v/>
      </c>
      <c r="K266" s="79"/>
      <c r="L266" s="135"/>
      <c r="M266" s="136"/>
      <c r="N266" s="81"/>
      <c r="O266" s="80"/>
      <c r="P266" s="25"/>
      <c r="Q266" s="79"/>
      <c r="R266" s="80"/>
      <c r="S266" s="80"/>
      <c r="T266" s="138"/>
      <c r="U266" s="138"/>
      <c r="V266" s="82"/>
      <c r="W266" s="77"/>
      <c r="X266" s="71" t="str">
        <f>IF(C266="Trả lại đơn vụ","",IF(C266="Trả lại đơn việc","",IF((NETWORKDAYS(F266,G266,'Danh sách ngày nghỉ lễ'!$B$5:$B$25)-1-3)&gt;0,"Quá hạn"&amp;" "&amp;(NETWORKDAYS(F266,G266,'Danh sách ngày nghỉ lễ'!$B$5:$B$25)-1-3)&amp;" "&amp;"ngày","")))</f>
        <v/>
      </c>
      <c r="Y266" s="72" t="str">
        <f>IF(S266=0,"",IF(P266="Chuyển","",IF(P266="Nhập vào vụ khác","",IF(P266="BA",IF((S266-R266)&gt;10,"Quá hạn"&amp;" "&amp;(S266-R266-10)&amp;" "&amp;"ngày",""),IF((NETWORKDAYS(R266,S266,'Danh sách ngày nghỉ lễ'!$B$5:$B$25)-VLOOKUP(P266,'Thời hạn'!$A$17:$B$23,2,0))&gt;1,"Quá hạn"&amp;" "&amp;(NETWORKDAYS(R266,S266,'Danh sách ngày nghỉ lễ'!$B$5:$B$25)-1-VLOOKUP(P266,'Thời hạn'!$A$17:$B$23,2,0))&amp;" "&amp;"ngày","")))))</f>
        <v/>
      </c>
      <c r="Z266" s="23">
        <v>1</v>
      </c>
    </row>
    <row r="267" spans="2:26" x14ac:dyDescent="0.3">
      <c r="B267" s="78"/>
      <c r="C267" s="33"/>
      <c r="D267" s="79"/>
      <c r="E267" s="79"/>
      <c r="F267" s="80"/>
      <c r="G267" s="80"/>
      <c r="H267" s="79"/>
      <c r="I267" s="70" t="str">
        <f>IF(C267="Trả lại đơn vụ","",IF(C267="Trả lại đơn việc","",IF(C267="Hòa giải thành","",IF(F267=0,"",EDATE(F267,VLOOKUP(C267,'Thời hạn'!$A$1:$B$10,2,0))+H267))))</f>
        <v/>
      </c>
      <c r="J267" s="59" t="str">
        <f t="shared" ca="1" si="4"/>
        <v/>
      </c>
      <c r="K267" s="79"/>
      <c r="L267" s="135"/>
      <c r="M267" s="136"/>
      <c r="N267" s="81"/>
      <c r="O267" s="80"/>
      <c r="P267" s="25"/>
      <c r="Q267" s="79"/>
      <c r="R267" s="80"/>
      <c r="S267" s="80"/>
      <c r="T267" s="138"/>
      <c r="U267" s="138"/>
      <c r="V267" s="82"/>
      <c r="W267" s="77"/>
      <c r="X267" s="71" t="str">
        <f>IF(C267="Trả lại đơn vụ","",IF(C267="Trả lại đơn việc","",IF((NETWORKDAYS(F267,G267,'Danh sách ngày nghỉ lễ'!$B$5:$B$25)-1-3)&gt;0,"Quá hạn"&amp;" "&amp;(NETWORKDAYS(F267,G267,'Danh sách ngày nghỉ lễ'!$B$5:$B$25)-1-3)&amp;" "&amp;"ngày","")))</f>
        <v/>
      </c>
      <c r="Y267" s="72" t="str">
        <f>IF(S267=0,"",IF(P267="Chuyển","",IF(P267="Nhập vào vụ khác","",IF(P267="BA",IF((S267-R267)&gt;10,"Quá hạn"&amp;" "&amp;(S267-R267-10)&amp;" "&amp;"ngày",""),IF((NETWORKDAYS(R267,S267,'Danh sách ngày nghỉ lễ'!$B$5:$B$25)-VLOOKUP(P267,'Thời hạn'!$A$17:$B$23,2,0))&gt;1,"Quá hạn"&amp;" "&amp;(NETWORKDAYS(R267,S267,'Danh sách ngày nghỉ lễ'!$B$5:$B$25)-1-VLOOKUP(P267,'Thời hạn'!$A$17:$B$23,2,0))&amp;" "&amp;"ngày","")))))</f>
        <v/>
      </c>
      <c r="Z267" s="23">
        <v>1</v>
      </c>
    </row>
    <row r="268" spans="2:26" x14ac:dyDescent="0.3">
      <c r="B268" s="78"/>
      <c r="C268" s="33"/>
      <c r="D268" s="79"/>
      <c r="E268" s="79"/>
      <c r="F268" s="80"/>
      <c r="G268" s="80"/>
      <c r="H268" s="79"/>
      <c r="I268" s="70" t="str">
        <f>IF(C268="Trả lại đơn vụ","",IF(C268="Trả lại đơn việc","",IF(C268="Hòa giải thành","",IF(F268=0,"",EDATE(F268,VLOOKUP(C268,'Thời hạn'!$A$1:$B$10,2,0))+H268))))</f>
        <v/>
      </c>
      <c r="J268" s="59" t="str">
        <f t="shared" ca="1" si="4"/>
        <v/>
      </c>
      <c r="K268" s="79"/>
      <c r="L268" s="135"/>
      <c r="M268" s="136"/>
      <c r="N268" s="81"/>
      <c r="O268" s="80"/>
      <c r="P268" s="25"/>
      <c r="Q268" s="79"/>
      <c r="R268" s="80"/>
      <c r="S268" s="80"/>
      <c r="T268" s="138"/>
      <c r="U268" s="138"/>
      <c r="V268" s="82"/>
      <c r="W268" s="77"/>
      <c r="X268" s="71" t="str">
        <f>IF(C268="Trả lại đơn vụ","",IF(C268="Trả lại đơn việc","",IF((NETWORKDAYS(F268,G268,'Danh sách ngày nghỉ lễ'!$B$5:$B$25)-1-3)&gt;0,"Quá hạn"&amp;" "&amp;(NETWORKDAYS(F268,G268,'Danh sách ngày nghỉ lễ'!$B$5:$B$25)-1-3)&amp;" "&amp;"ngày","")))</f>
        <v/>
      </c>
      <c r="Y268" s="72" t="str">
        <f>IF(S268=0,"",IF(P268="Chuyển","",IF(P268="Nhập vào vụ khác","",IF(P268="BA",IF((S268-R268)&gt;10,"Quá hạn"&amp;" "&amp;(S268-R268-10)&amp;" "&amp;"ngày",""),IF((NETWORKDAYS(R268,S268,'Danh sách ngày nghỉ lễ'!$B$5:$B$25)-VLOOKUP(P268,'Thời hạn'!$A$17:$B$23,2,0))&gt;1,"Quá hạn"&amp;" "&amp;(NETWORKDAYS(R268,S268,'Danh sách ngày nghỉ lễ'!$B$5:$B$25)-1-VLOOKUP(P268,'Thời hạn'!$A$17:$B$23,2,0))&amp;" "&amp;"ngày","")))))</f>
        <v/>
      </c>
      <c r="Z268" s="23">
        <v>1</v>
      </c>
    </row>
    <row r="269" spans="2:26" x14ac:dyDescent="0.3">
      <c r="B269" s="78"/>
      <c r="C269" s="33"/>
      <c r="D269" s="79"/>
      <c r="E269" s="79"/>
      <c r="F269" s="80"/>
      <c r="G269" s="80"/>
      <c r="H269" s="79"/>
      <c r="I269" s="70" t="str">
        <f>IF(C269="Trả lại đơn vụ","",IF(C269="Trả lại đơn việc","",IF(C269="Hòa giải thành","",IF(F269=0,"",EDATE(F269,VLOOKUP(C269,'Thời hạn'!$A$1:$B$10,2,0))+H269))))</f>
        <v/>
      </c>
      <c r="J269" s="59" t="str">
        <f t="shared" ca="1" si="4"/>
        <v/>
      </c>
      <c r="K269" s="79"/>
      <c r="L269" s="135"/>
      <c r="M269" s="136"/>
      <c r="N269" s="81"/>
      <c r="O269" s="80"/>
      <c r="P269" s="25"/>
      <c r="Q269" s="79"/>
      <c r="R269" s="80"/>
      <c r="S269" s="80"/>
      <c r="T269" s="138"/>
      <c r="U269" s="138"/>
      <c r="V269" s="82"/>
      <c r="W269" s="77"/>
      <c r="X269" s="71" t="str">
        <f>IF(C269="Trả lại đơn vụ","",IF(C269="Trả lại đơn việc","",IF((NETWORKDAYS(F269,G269,'Danh sách ngày nghỉ lễ'!$B$5:$B$25)-1-3)&gt;0,"Quá hạn"&amp;" "&amp;(NETWORKDAYS(F269,G269,'Danh sách ngày nghỉ lễ'!$B$5:$B$25)-1-3)&amp;" "&amp;"ngày","")))</f>
        <v/>
      </c>
      <c r="Y269" s="72" t="str">
        <f>IF(S269=0,"",IF(P269="Chuyển","",IF(P269="Nhập vào vụ khác","",IF(P269="BA",IF((S269-R269)&gt;10,"Quá hạn"&amp;" "&amp;(S269-R269-10)&amp;" "&amp;"ngày",""),IF((NETWORKDAYS(R269,S269,'Danh sách ngày nghỉ lễ'!$B$5:$B$25)-VLOOKUP(P269,'Thời hạn'!$A$17:$B$23,2,0))&gt;1,"Quá hạn"&amp;" "&amp;(NETWORKDAYS(R269,S269,'Danh sách ngày nghỉ lễ'!$B$5:$B$25)-1-VLOOKUP(P269,'Thời hạn'!$A$17:$B$23,2,0))&amp;" "&amp;"ngày","")))))</f>
        <v/>
      </c>
      <c r="Z269" s="23">
        <v>1</v>
      </c>
    </row>
    <row r="270" spans="2:26" x14ac:dyDescent="0.3">
      <c r="B270" s="78"/>
      <c r="C270" s="33"/>
      <c r="D270" s="79"/>
      <c r="E270" s="79"/>
      <c r="F270" s="80"/>
      <c r="G270" s="80"/>
      <c r="H270" s="79"/>
      <c r="I270" s="70" t="str">
        <f>IF(C270="Trả lại đơn vụ","",IF(C270="Trả lại đơn việc","",IF(C270="Hòa giải thành","",IF(F270=0,"",EDATE(F270,VLOOKUP(C270,'Thời hạn'!$A$1:$B$10,2,0))+H270))))</f>
        <v/>
      </c>
      <c r="J270" s="59" t="str">
        <f t="shared" ca="1" si="4"/>
        <v/>
      </c>
      <c r="K270" s="79"/>
      <c r="L270" s="135"/>
      <c r="M270" s="136"/>
      <c r="N270" s="81"/>
      <c r="O270" s="80"/>
      <c r="P270" s="25"/>
      <c r="Q270" s="79"/>
      <c r="R270" s="80"/>
      <c r="S270" s="80"/>
      <c r="T270" s="138"/>
      <c r="U270" s="138"/>
      <c r="V270" s="82"/>
      <c r="W270" s="77"/>
      <c r="X270" s="71" t="str">
        <f>IF(C270="Trả lại đơn vụ","",IF(C270="Trả lại đơn việc","",IF((NETWORKDAYS(F270,G270,'Danh sách ngày nghỉ lễ'!$B$5:$B$25)-1-3)&gt;0,"Quá hạn"&amp;" "&amp;(NETWORKDAYS(F270,G270,'Danh sách ngày nghỉ lễ'!$B$5:$B$25)-1-3)&amp;" "&amp;"ngày","")))</f>
        <v/>
      </c>
      <c r="Y270" s="72" t="str">
        <f>IF(S270=0,"",IF(P270="Chuyển","",IF(P270="Nhập vào vụ khác","",IF(P270="BA",IF((S270-R270)&gt;10,"Quá hạn"&amp;" "&amp;(S270-R270-10)&amp;" "&amp;"ngày",""),IF((NETWORKDAYS(R270,S270,'Danh sách ngày nghỉ lễ'!$B$5:$B$25)-VLOOKUP(P270,'Thời hạn'!$A$17:$B$23,2,0))&gt;1,"Quá hạn"&amp;" "&amp;(NETWORKDAYS(R270,S270,'Danh sách ngày nghỉ lễ'!$B$5:$B$25)-1-VLOOKUP(P270,'Thời hạn'!$A$17:$B$23,2,0))&amp;" "&amp;"ngày","")))))</f>
        <v/>
      </c>
      <c r="Z270" s="23">
        <v>1</v>
      </c>
    </row>
    <row r="271" spans="2:26" x14ac:dyDescent="0.3">
      <c r="B271" s="78"/>
      <c r="C271" s="33"/>
      <c r="D271" s="79"/>
      <c r="E271" s="79"/>
      <c r="F271" s="80"/>
      <c r="G271" s="80"/>
      <c r="H271" s="79"/>
      <c r="I271" s="70" t="str">
        <f>IF(C271="Trả lại đơn vụ","",IF(C271="Trả lại đơn việc","",IF(C271="Hòa giải thành","",IF(F271=0,"",EDATE(F271,VLOOKUP(C271,'Thời hạn'!$A$1:$B$10,2,0))+H271))))</f>
        <v/>
      </c>
      <c r="J271" s="59" t="str">
        <f t="shared" ca="1" si="4"/>
        <v/>
      </c>
      <c r="K271" s="79"/>
      <c r="L271" s="135"/>
      <c r="M271" s="136"/>
      <c r="N271" s="81"/>
      <c r="O271" s="80"/>
      <c r="P271" s="25"/>
      <c r="Q271" s="79"/>
      <c r="R271" s="80"/>
      <c r="S271" s="80"/>
      <c r="T271" s="138"/>
      <c r="U271" s="138"/>
      <c r="V271" s="82"/>
      <c r="W271" s="77"/>
      <c r="X271" s="71" t="str">
        <f>IF(C271="Trả lại đơn vụ","",IF(C271="Trả lại đơn việc","",IF((NETWORKDAYS(F271,G271,'Danh sách ngày nghỉ lễ'!$B$5:$B$25)-1-3)&gt;0,"Quá hạn"&amp;" "&amp;(NETWORKDAYS(F271,G271,'Danh sách ngày nghỉ lễ'!$B$5:$B$25)-1-3)&amp;" "&amp;"ngày","")))</f>
        <v/>
      </c>
      <c r="Y271" s="72" t="str">
        <f>IF(S271=0,"",IF(P271="Chuyển","",IF(P271="Nhập vào vụ khác","",IF(P271="BA",IF((S271-R271)&gt;10,"Quá hạn"&amp;" "&amp;(S271-R271-10)&amp;" "&amp;"ngày",""),IF((NETWORKDAYS(R271,S271,'Danh sách ngày nghỉ lễ'!$B$5:$B$25)-VLOOKUP(P271,'Thời hạn'!$A$17:$B$23,2,0))&gt;1,"Quá hạn"&amp;" "&amp;(NETWORKDAYS(R271,S271,'Danh sách ngày nghỉ lễ'!$B$5:$B$25)-1-VLOOKUP(P271,'Thời hạn'!$A$17:$B$23,2,0))&amp;" "&amp;"ngày","")))))</f>
        <v/>
      </c>
      <c r="Z271" s="23">
        <v>1</v>
      </c>
    </row>
    <row r="272" spans="2:26" x14ac:dyDescent="0.3">
      <c r="B272" s="78"/>
      <c r="C272" s="33"/>
      <c r="D272" s="79"/>
      <c r="E272" s="79"/>
      <c r="F272" s="80"/>
      <c r="G272" s="80"/>
      <c r="H272" s="79"/>
      <c r="I272" s="70" t="str">
        <f>IF(C272="Trả lại đơn vụ","",IF(C272="Trả lại đơn việc","",IF(C272="Hòa giải thành","",IF(F272=0,"",EDATE(F272,VLOOKUP(C272,'Thời hạn'!$A$1:$B$10,2,0))+H272))))</f>
        <v/>
      </c>
      <c r="J272" s="59" t="str">
        <f t="shared" ca="1" si="4"/>
        <v/>
      </c>
      <c r="K272" s="79"/>
      <c r="L272" s="135"/>
      <c r="M272" s="136"/>
      <c r="N272" s="81"/>
      <c r="O272" s="80"/>
      <c r="P272" s="25"/>
      <c r="Q272" s="79"/>
      <c r="R272" s="80"/>
      <c r="S272" s="80"/>
      <c r="T272" s="138"/>
      <c r="U272" s="138"/>
      <c r="V272" s="82"/>
      <c r="W272" s="77"/>
      <c r="X272" s="71" t="str">
        <f>IF(C272="Trả lại đơn vụ","",IF(C272="Trả lại đơn việc","",IF((NETWORKDAYS(F272,G272,'Danh sách ngày nghỉ lễ'!$B$5:$B$25)-1-3)&gt;0,"Quá hạn"&amp;" "&amp;(NETWORKDAYS(F272,G272,'Danh sách ngày nghỉ lễ'!$B$5:$B$25)-1-3)&amp;" "&amp;"ngày","")))</f>
        <v/>
      </c>
      <c r="Y272" s="72" t="str">
        <f>IF(S272=0,"",IF(P272="Chuyển","",IF(P272="Nhập vào vụ khác","",IF(P272="BA",IF((S272-R272)&gt;10,"Quá hạn"&amp;" "&amp;(S272-R272-10)&amp;" "&amp;"ngày",""),IF((NETWORKDAYS(R272,S272,'Danh sách ngày nghỉ lễ'!$B$5:$B$25)-VLOOKUP(P272,'Thời hạn'!$A$17:$B$23,2,0))&gt;1,"Quá hạn"&amp;" "&amp;(NETWORKDAYS(R272,S272,'Danh sách ngày nghỉ lễ'!$B$5:$B$25)-1-VLOOKUP(P272,'Thời hạn'!$A$17:$B$23,2,0))&amp;" "&amp;"ngày","")))))</f>
        <v/>
      </c>
      <c r="Z272" s="23">
        <v>1</v>
      </c>
    </row>
    <row r="273" spans="2:26" x14ac:dyDescent="0.3">
      <c r="B273" s="78"/>
      <c r="C273" s="33"/>
      <c r="D273" s="79"/>
      <c r="E273" s="79"/>
      <c r="F273" s="80"/>
      <c r="G273" s="80"/>
      <c r="H273" s="79"/>
      <c r="I273" s="70" t="str">
        <f>IF(C273="Trả lại đơn vụ","",IF(C273="Trả lại đơn việc","",IF(C273="Hòa giải thành","",IF(F273=0,"",EDATE(F273,VLOOKUP(C273,'Thời hạn'!$A$1:$B$10,2,0))+H273))))</f>
        <v/>
      </c>
      <c r="J273" s="59" t="str">
        <f t="shared" ca="1" si="4"/>
        <v/>
      </c>
      <c r="K273" s="79"/>
      <c r="L273" s="135"/>
      <c r="M273" s="136"/>
      <c r="N273" s="81"/>
      <c r="O273" s="80"/>
      <c r="P273" s="25"/>
      <c r="Q273" s="79"/>
      <c r="R273" s="80"/>
      <c r="S273" s="80"/>
      <c r="T273" s="138"/>
      <c r="U273" s="138"/>
      <c r="V273" s="82"/>
      <c r="W273" s="77"/>
      <c r="X273" s="71" t="str">
        <f>IF(C273="Trả lại đơn vụ","",IF(C273="Trả lại đơn việc","",IF((NETWORKDAYS(F273,G273,'Danh sách ngày nghỉ lễ'!$B$5:$B$25)-1-3)&gt;0,"Quá hạn"&amp;" "&amp;(NETWORKDAYS(F273,G273,'Danh sách ngày nghỉ lễ'!$B$5:$B$25)-1-3)&amp;" "&amp;"ngày","")))</f>
        <v/>
      </c>
      <c r="Y273" s="72" t="str">
        <f>IF(S273=0,"",IF(P273="Chuyển","",IF(P273="Nhập vào vụ khác","",IF(P273="BA",IF((S273-R273)&gt;10,"Quá hạn"&amp;" "&amp;(S273-R273-10)&amp;" "&amp;"ngày",""),IF((NETWORKDAYS(R273,S273,'Danh sách ngày nghỉ lễ'!$B$5:$B$25)-VLOOKUP(P273,'Thời hạn'!$A$17:$B$23,2,0))&gt;1,"Quá hạn"&amp;" "&amp;(NETWORKDAYS(R273,S273,'Danh sách ngày nghỉ lễ'!$B$5:$B$25)-1-VLOOKUP(P273,'Thời hạn'!$A$17:$B$23,2,0))&amp;" "&amp;"ngày","")))))</f>
        <v/>
      </c>
      <c r="Z273" s="23">
        <v>1</v>
      </c>
    </row>
    <row r="274" spans="2:26" x14ac:dyDescent="0.3">
      <c r="B274" s="78"/>
      <c r="C274" s="33"/>
      <c r="D274" s="79"/>
      <c r="E274" s="79"/>
      <c r="F274" s="80"/>
      <c r="G274" s="80"/>
      <c r="H274" s="79"/>
      <c r="I274" s="70" t="str">
        <f>IF(C274="Trả lại đơn vụ","",IF(C274="Trả lại đơn việc","",IF(C274="Hòa giải thành","",IF(F274=0,"",EDATE(F274,VLOOKUP(C274,'Thời hạn'!$A$1:$B$10,2,0))+H274))))</f>
        <v/>
      </c>
      <c r="J274" s="59" t="str">
        <f t="shared" ca="1" si="4"/>
        <v/>
      </c>
      <c r="K274" s="79"/>
      <c r="L274" s="135"/>
      <c r="M274" s="136"/>
      <c r="N274" s="81"/>
      <c r="O274" s="80"/>
      <c r="P274" s="25"/>
      <c r="Q274" s="79"/>
      <c r="R274" s="80"/>
      <c r="S274" s="80"/>
      <c r="T274" s="138"/>
      <c r="U274" s="138"/>
      <c r="V274" s="82"/>
      <c r="W274" s="77"/>
      <c r="X274" s="71" t="str">
        <f>IF(C274="Trả lại đơn vụ","",IF(C274="Trả lại đơn việc","",IF((NETWORKDAYS(F274,G274,'Danh sách ngày nghỉ lễ'!$B$5:$B$25)-1-3)&gt;0,"Quá hạn"&amp;" "&amp;(NETWORKDAYS(F274,G274,'Danh sách ngày nghỉ lễ'!$B$5:$B$25)-1-3)&amp;" "&amp;"ngày","")))</f>
        <v/>
      </c>
      <c r="Y274" s="72" t="str">
        <f>IF(S274=0,"",IF(P274="Chuyển","",IF(P274="Nhập vào vụ khác","",IF(P274="BA",IF((S274-R274)&gt;10,"Quá hạn"&amp;" "&amp;(S274-R274-10)&amp;" "&amp;"ngày",""),IF((NETWORKDAYS(R274,S274,'Danh sách ngày nghỉ lễ'!$B$5:$B$25)-VLOOKUP(P274,'Thời hạn'!$A$17:$B$23,2,0))&gt;1,"Quá hạn"&amp;" "&amp;(NETWORKDAYS(R274,S274,'Danh sách ngày nghỉ lễ'!$B$5:$B$25)-1-VLOOKUP(P274,'Thời hạn'!$A$17:$B$23,2,0))&amp;" "&amp;"ngày","")))))</f>
        <v/>
      </c>
      <c r="Z274" s="23">
        <v>1</v>
      </c>
    </row>
    <row r="275" spans="2:26" x14ac:dyDescent="0.3">
      <c r="B275" s="78"/>
      <c r="C275" s="33"/>
      <c r="D275" s="79"/>
      <c r="E275" s="79"/>
      <c r="F275" s="80"/>
      <c r="G275" s="80"/>
      <c r="H275" s="79"/>
      <c r="I275" s="70" t="str">
        <f>IF(C275="Trả lại đơn vụ","",IF(C275="Trả lại đơn việc","",IF(C275="Hòa giải thành","",IF(F275=0,"",EDATE(F275,VLOOKUP(C275,'Thời hạn'!$A$1:$B$10,2,0))+H275))))</f>
        <v/>
      </c>
      <c r="J275" s="59" t="str">
        <f t="shared" ca="1" si="4"/>
        <v/>
      </c>
      <c r="K275" s="79"/>
      <c r="L275" s="135"/>
      <c r="M275" s="136"/>
      <c r="N275" s="81"/>
      <c r="O275" s="80"/>
      <c r="P275" s="25"/>
      <c r="Q275" s="79"/>
      <c r="R275" s="80"/>
      <c r="S275" s="80"/>
      <c r="T275" s="138"/>
      <c r="U275" s="138"/>
      <c r="V275" s="82"/>
      <c r="W275" s="77"/>
      <c r="X275" s="71" t="str">
        <f>IF(C275="Trả lại đơn vụ","",IF(C275="Trả lại đơn việc","",IF((NETWORKDAYS(F275,G275,'Danh sách ngày nghỉ lễ'!$B$5:$B$25)-1-3)&gt;0,"Quá hạn"&amp;" "&amp;(NETWORKDAYS(F275,G275,'Danh sách ngày nghỉ lễ'!$B$5:$B$25)-1-3)&amp;" "&amp;"ngày","")))</f>
        <v/>
      </c>
      <c r="Y275" s="72" t="str">
        <f>IF(S275=0,"",IF(P275="Chuyển","",IF(P275="Nhập vào vụ khác","",IF(P275="BA",IF((S275-R275)&gt;10,"Quá hạn"&amp;" "&amp;(S275-R275-10)&amp;" "&amp;"ngày",""),IF((NETWORKDAYS(R275,S275,'Danh sách ngày nghỉ lễ'!$B$5:$B$25)-VLOOKUP(P275,'Thời hạn'!$A$17:$B$23,2,0))&gt;1,"Quá hạn"&amp;" "&amp;(NETWORKDAYS(R275,S275,'Danh sách ngày nghỉ lễ'!$B$5:$B$25)-1-VLOOKUP(P275,'Thời hạn'!$A$17:$B$23,2,0))&amp;" "&amp;"ngày","")))))</f>
        <v/>
      </c>
      <c r="Z275" s="23">
        <v>1</v>
      </c>
    </row>
    <row r="276" spans="2:26" x14ac:dyDescent="0.3">
      <c r="B276" s="78"/>
      <c r="C276" s="33"/>
      <c r="D276" s="79"/>
      <c r="E276" s="79"/>
      <c r="F276" s="80"/>
      <c r="G276" s="80"/>
      <c r="H276" s="79"/>
      <c r="I276" s="70" t="str">
        <f>IF(C276="Trả lại đơn vụ","",IF(C276="Trả lại đơn việc","",IF(C276="Hòa giải thành","",IF(F276=0,"",EDATE(F276,VLOOKUP(C276,'Thời hạn'!$A$1:$B$10,2,0))+H276))))</f>
        <v/>
      </c>
      <c r="J276" s="59" t="str">
        <f t="shared" ca="1" si="4"/>
        <v/>
      </c>
      <c r="K276" s="79"/>
      <c r="L276" s="135"/>
      <c r="M276" s="136"/>
      <c r="N276" s="81"/>
      <c r="O276" s="80"/>
      <c r="P276" s="25"/>
      <c r="Q276" s="79"/>
      <c r="R276" s="80"/>
      <c r="S276" s="80"/>
      <c r="T276" s="138"/>
      <c r="U276" s="138"/>
      <c r="V276" s="82"/>
      <c r="W276" s="77"/>
      <c r="X276" s="71" t="str">
        <f>IF(C276="Trả lại đơn vụ","",IF(C276="Trả lại đơn việc","",IF((NETWORKDAYS(F276,G276,'Danh sách ngày nghỉ lễ'!$B$5:$B$25)-1-3)&gt;0,"Quá hạn"&amp;" "&amp;(NETWORKDAYS(F276,G276,'Danh sách ngày nghỉ lễ'!$B$5:$B$25)-1-3)&amp;" "&amp;"ngày","")))</f>
        <v/>
      </c>
      <c r="Y276" s="72" t="str">
        <f>IF(S276=0,"",IF(P276="Chuyển","",IF(P276="Nhập vào vụ khác","",IF(P276="BA",IF((S276-R276)&gt;10,"Quá hạn"&amp;" "&amp;(S276-R276-10)&amp;" "&amp;"ngày",""),IF((NETWORKDAYS(R276,S276,'Danh sách ngày nghỉ lễ'!$B$5:$B$25)-VLOOKUP(P276,'Thời hạn'!$A$17:$B$23,2,0))&gt;1,"Quá hạn"&amp;" "&amp;(NETWORKDAYS(R276,S276,'Danh sách ngày nghỉ lễ'!$B$5:$B$25)-1-VLOOKUP(P276,'Thời hạn'!$A$17:$B$23,2,0))&amp;" "&amp;"ngày","")))))</f>
        <v/>
      </c>
      <c r="Z276" s="23">
        <v>1</v>
      </c>
    </row>
    <row r="277" spans="2:26" x14ac:dyDescent="0.3">
      <c r="B277" s="78"/>
      <c r="C277" s="33"/>
      <c r="D277" s="79"/>
      <c r="E277" s="79"/>
      <c r="F277" s="80"/>
      <c r="G277" s="80"/>
      <c r="H277" s="79"/>
      <c r="I277" s="70" t="str">
        <f>IF(C277="Trả lại đơn vụ","",IF(C277="Trả lại đơn việc","",IF(C277="Hòa giải thành","",IF(F277=0,"",EDATE(F277,VLOOKUP(C277,'Thời hạn'!$A$1:$B$10,2,0))+H277))))</f>
        <v/>
      </c>
      <c r="J277" s="59" t="str">
        <f t="shared" ca="1" si="4"/>
        <v/>
      </c>
      <c r="K277" s="79"/>
      <c r="L277" s="135"/>
      <c r="M277" s="136"/>
      <c r="N277" s="81"/>
      <c r="O277" s="80"/>
      <c r="P277" s="25"/>
      <c r="Q277" s="79"/>
      <c r="R277" s="80"/>
      <c r="S277" s="80"/>
      <c r="T277" s="138"/>
      <c r="U277" s="138"/>
      <c r="V277" s="82"/>
      <c r="W277" s="77"/>
      <c r="X277" s="71" t="str">
        <f>IF(C277="Trả lại đơn vụ","",IF(C277="Trả lại đơn việc","",IF((NETWORKDAYS(F277,G277,'Danh sách ngày nghỉ lễ'!$B$5:$B$25)-1-3)&gt;0,"Quá hạn"&amp;" "&amp;(NETWORKDAYS(F277,G277,'Danh sách ngày nghỉ lễ'!$B$5:$B$25)-1-3)&amp;" "&amp;"ngày","")))</f>
        <v/>
      </c>
      <c r="Y277" s="72" t="str">
        <f>IF(S277=0,"",IF(P277="Chuyển","",IF(P277="Nhập vào vụ khác","",IF(P277="BA",IF((S277-R277)&gt;10,"Quá hạn"&amp;" "&amp;(S277-R277-10)&amp;" "&amp;"ngày",""),IF((NETWORKDAYS(R277,S277,'Danh sách ngày nghỉ lễ'!$B$5:$B$25)-VLOOKUP(P277,'Thời hạn'!$A$17:$B$23,2,0))&gt;1,"Quá hạn"&amp;" "&amp;(NETWORKDAYS(R277,S277,'Danh sách ngày nghỉ lễ'!$B$5:$B$25)-1-VLOOKUP(P277,'Thời hạn'!$A$17:$B$23,2,0))&amp;" "&amp;"ngày","")))))</f>
        <v/>
      </c>
      <c r="Z277" s="23">
        <v>1</v>
      </c>
    </row>
    <row r="278" spans="2:26" x14ac:dyDescent="0.3">
      <c r="B278" s="85"/>
      <c r="C278" s="25"/>
      <c r="D278" s="25"/>
      <c r="E278" s="25"/>
      <c r="F278" s="34"/>
      <c r="G278" s="34"/>
      <c r="H278" s="25"/>
      <c r="I278" s="70" t="str">
        <f>IF(C278="Trả lại đơn vụ","",IF(C278="Trả lại đơn việc","",IF(C278="Hòa giải thành","",IF(F278=0,"",EDATE(F278,VLOOKUP(C278,'Thời hạn'!$A$1:$B$10,2,0))+H278))))</f>
        <v/>
      </c>
      <c r="J278" s="59" t="str">
        <f t="shared" ca="1" si="4"/>
        <v/>
      </c>
      <c r="K278" s="25"/>
      <c r="L278" s="137"/>
      <c r="M278" s="136"/>
      <c r="N278" s="25"/>
      <c r="O278" s="34"/>
      <c r="P278" s="25"/>
      <c r="Q278" s="25"/>
      <c r="R278" s="34"/>
      <c r="S278" s="34"/>
      <c r="T278" s="137"/>
      <c r="U278" s="137"/>
      <c r="V278" s="36"/>
      <c r="W278" s="86"/>
      <c r="X278" s="87" t="str">
        <f>IF(C278="Trả lại đơn vụ","",IF(C278="Trả lại đơn việc","",IF((NETWORKDAYS(F278,G278,'Danh sách ngày nghỉ lễ'!$B$5:$B$25)-1-3)&gt;0,"Quá hạn"&amp;" "&amp;(NETWORKDAYS(F278,G278,'Danh sách ngày nghỉ lễ'!$B$5:$B$25)-1-3)&amp;" "&amp;"ngày","")))</f>
        <v/>
      </c>
      <c r="Y278" s="72" t="str">
        <f>IF(S278=0,"",IF(P278="Chuyển","",IF(P278="Nhập vào vụ khác","",IF(P278="BA",IF((S278-R278)&gt;10,"Quá hạn"&amp;" "&amp;(S278-R278-10)&amp;" "&amp;"ngày",""),IF((NETWORKDAYS(R278,S278,'Danh sách ngày nghỉ lễ'!$B$5:$B$25)-VLOOKUP(P278,'Thời hạn'!$A$17:$B$23,2,0))&gt;1,"Quá hạn"&amp;" "&amp;(NETWORKDAYS(R278,S278,'Danh sách ngày nghỉ lễ'!$B$5:$B$25)-1-VLOOKUP(P278,'Thời hạn'!$A$17:$B$23,2,0))&amp;" "&amp;"ngày","")))))</f>
        <v/>
      </c>
      <c r="Z278" s="23">
        <v>1</v>
      </c>
    </row>
  </sheetData>
  <sheetProtection algorithmName="SHA-512" hashValue="joo1plR8K+ZU2JXRQHs62cDx2Vor8iQgrGS359D4FBHjXCZFCesdomhfxq0cqkeFekVnYnU2X2SWcujoLw6m7Q==" saltValue="I77QWcbnDP/wI6i6GJgvUg==" spinCount="100000" sheet="1" autoFilter="0"/>
  <autoFilter ref="B9:W278" xr:uid="{F3B98572-788C-40A1-AAEA-7118BF668EDF}"/>
  <mergeCells count="12">
    <mergeCell ref="B2:K2"/>
    <mergeCell ref="X8:Y8"/>
    <mergeCell ref="N8:W8"/>
    <mergeCell ref="B8:M8"/>
    <mergeCell ref="O4:O6"/>
    <mergeCell ref="V7:W7"/>
    <mergeCell ref="S7:T7"/>
    <mergeCell ref="P4:R4"/>
    <mergeCell ref="S4:V4"/>
    <mergeCell ref="X4:Y4"/>
    <mergeCell ref="L4:M4"/>
    <mergeCell ref="L6:M6"/>
  </mergeCells>
  <conditionalFormatting sqref="C10:D10 D11:D17 C11:C278">
    <cfRule type="expression" dxfId="632" priority="7">
      <formula>"$P7:$P13=""Phục hồi"""</formula>
    </cfRule>
    <cfRule type="expression" dxfId="631" priority="8">
      <formula>"$P7:$P13=""Phục hồi"""</formula>
    </cfRule>
  </conditionalFormatting>
  <conditionalFormatting sqref="D60:D203 D25:D30 D33:D45 D48:D57">
    <cfRule type="expression" dxfId="630" priority="16">
      <formula>$P25:$P244&lt;&gt;0</formula>
    </cfRule>
  </conditionalFormatting>
  <conditionalFormatting sqref="D12:D24">
    <cfRule type="expression" dxfId="629" priority="42">
      <formula>$P12:$P228&lt;&gt;0</formula>
    </cfRule>
  </conditionalFormatting>
  <conditionalFormatting sqref="J10:J278">
    <cfRule type="cellIs" dxfId="628" priority="2" operator="lessThan">
      <formula>10</formula>
    </cfRule>
  </conditionalFormatting>
  <conditionalFormatting sqref="J10:J278">
    <cfRule type="cellIs" dxfId="627" priority="1" operator="lessThan">
      <formula>10</formula>
    </cfRule>
  </conditionalFormatting>
  <conditionalFormatting sqref="D58 D31 D46">
    <cfRule type="expression" dxfId="626" priority="62">
      <formula>$P32:$P251&lt;&gt;0</formula>
    </cfRule>
  </conditionalFormatting>
  <dataValidations count="7">
    <dataValidation type="list" allowBlank="1" showInputMessage="1" showErrorMessage="1" sqref="K279:K1048576" xr:uid="{8F085363-7833-4E26-A6EA-C824356D9765}">
      <formula1>"VD Ninh, N Dũng,B Dũng,T Dũng, TD Khánh,Thúy"</formula1>
    </dataValidation>
    <dataValidation type="list" allowBlank="1" showInputMessage="1" showErrorMessage="1" sqref="P279:P1048576" xr:uid="{AA702AD9-E2D8-49D9-BA86-F1D8C9B630AF}">
      <formula1>"CNTT,ĐC,TĐC,BA,CN tại tòa,ĐC tại tòa"</formula1>
    </dataValidation>
    <dataValidation type="list" allowBlank="1" showInputMessage="1" showErrorMessage="1" sqref="V10:V278" xr:uid="{64C89AE8-5851-4068-BDB1-C11724524437}">
      <formula1>"Đã ĐK,Đã XX"</formula1>
    </dataValidation>
    <dataValidation type="list" allowBlank="1" showInputMessage="1" showErrorMessage="1" sqref="W10:W278" xr:uid="{B38CCC63-07FB-410A-8F95-E37E887899F0}">
      <formula1>"đang TĐC,ĐC do rút đơn"</formula1>
    </dataValidation>
    <dataValidation type="list" allowBlank="1" showInputMessage="1" showErrorMessage="1" sqref="P10:P278" xr:uid="{E8BD22FF-F075-425D-BA50-268F06EBA8E4}">
      <formula1>"CNTT,ĐC,TĐC,BA,QĐ giải quyết việc,CN tại tòa,ĐC tại tòa,Chuyển,Nhập vào vụ khác"</formula1>
    </dataValidation>
    <dataValidation type="list" allowBlank="1" showInputMessage="1" showErrorMessage="1" sqref="C10:C278" xr:uid="{97E008A7-2F2C-45A3-ADA1-E489B54D11E7}">
      <formula1>"Vụ cũ,Việc cũ,Vụ,Việc,Hòa giải thành,Phục hồi vụ TĐC kỳ trước,Trả lại đơn vụ,Trả lại đơn việc,Phục hồi,Chuyển đến vụ,Chuyển đến việc,TL phản tố,TL YC độc lập"</formula1>
    </dataValidation>
    <dataValidation type="list" allowBlank="1" showInputMessage="1" showErrorMessage="1" sqref="K10:K278" xr:uid="{50C7C327-40D4-4568-B09B-584FE0691A33}">
      <formula1>"VD Ninh, N Dũng,T Dũng,Doan,Hợp,Uy,M Dung,Lành,Hồng,Đức,Việt,P Huyền,Đ Huyền,Chinh,Quý,V Anh,Hà"</formula1>
    </dataValidation>
  </dataValidations>
  <pageMargins left="1" right="1" top="1" bottom="1" header="0.5" footer="0.5"/>
  <pageSetup paperSize="9" scale="30" fitToHeight="0" orientation="landscape" verticalDpi="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C75FF-7021-44D9-A938-D289A678A5DC}">
  <sheetPr codeName="Sheet4"/>
  <dimension ref="A1:Z235"/>
  <sheetViews>
    <sheetView showGridLines="0" showRowColHeaders="0" topLeftCell="B1" zoomScale="55" zoomScaleNormal="55" workbookViewId="0">
      <pane xSplit="3" ySplit="9" topLeftCell="E10" activePane="bottomRight" state="frozen"/>
      <selection activeCell="B1" sqref="B1"/>
      <selection pane="topRight" activeCell="E1" sqref="E1"/>
      <selection pane="bottomLeft" activeCell="B10" sqref="B10"/>
      <selection pane="bottomRight" activeCell="N11" sqref="N11:P17"/>
    </sheetView>
  </sheetViews>
  <sheetFormatPr defaultColWidth="9.21875" defaultRowHeight="14.4" x14ac:dyDescent="0.3"/>
  <cols>
    <col min="1" max="1" width="3.21875" style="23" hidden="1" customWidth="1"/>
    <col min="2" max="2" width="9.77734375" style="23" customWidth="1"/>
    <col min="3" max="3" width="15.44140625" style="23" customWidth="1"/>
    <col min="4" max="4" width="25.21875" style="23" customWidth="1"/>
    <col min="5" max="5" width="9.77734375" style="23" bestFit="1" customWidth="1"/>
    <col min="6" max="6" width="16.5546875" style="23" customWidth="1"/>
    <col min="7" max="7" width="12.77734375" style="23" customWidth="1"/>
    <col min="8" max="8" width="13.77734375" style="23" customWidth="1"/>
    <col min="9" max="9" width="10.77734375" style="23" customWidth="1"/>
    <col min="10" max="10" width="11.21875" style="23" customWidth="1"/>
    <col min="11" max="11" width="13.5546875" style="23" customWidth="1"/>
    <col min="12" max="13" width="8" style="23" customWidth="1"/>
    <col min="14" max="16" width="11.21875" style="23" customWidth="1"/>
    <col min="17" max="17" width="7.77734375" style="23" customWidth="1"/>
    <col min="18" max="18" width="12.77734375" style="23" customWidth="1"/>
    <col min="19" max="19" width="11.21875" style="23" customWidth="1"/>
    <col min="20" max="20" width="12" style="23" customWidth="1"/>
    <col min="21" max="21" width="11.77734375" style="23" customWidth="1"/>
    <col min="22" max="22" width="11.77734375" style="23" bestFit="1" customWidth="1"/>
    <col min="23" max="23" width="10.77734375" style="23" customWidth="1"/>
    <col min="24" max="24" width="20.21875" style="23" customWidth="1"/>
    <col min="25" max="25" width="17.77734375" style="23" customWidth="1"/>
    <col min="26" max="26" width="3.21875" style="23" hidden="1" customWidth="1"/>
    <col min="27" max="16384" width="9.21875" style="23"/>
  </cols>
  <sheetData>
    <row r="1" spans="1:26" ht="42.75" customHeight="1" x14ac:dyDescent="0.3">
      <c r="C1" s="40"/>
      <c r="D1" s="40"/>
      <c r="E1" s="40"/>
      <c r="F1" s="40"/>
      <c r="G1" s="40"/>
      <c r="H1" s="40"/>
      <c r="I1" s="40"/>
      <c r="J1" s="40"/>
      <c r="K1" s="40"/>
      <c r="L1" s="40"/>
      <c r="M1" s="40"/>
      <c r="N1" s="40"/>
      <c r="O1" s="40"/>
      <c r="P1" s="40"/>
      <c r="Q1" s="40"/>
      <c r="R1" s="40"/>
      <c r="S1" s="40"/>
      <c r="T1" s="40"/>
      <c r="U1" s="40"/>
      <c r="V1" s="40"/>
      <c r="W1" s="40"/>
      <c r="X1" s="40"/>
      <c r="Y1" s="40"/>
    </row>
    <row r="2" spans="1:26" ht="42.75" customHeight="1" x14ac:dyDescent="0.3">
      <c r="B2" s="152" t="s">
        <v>118</v>
      </c>
      <c r="C2" s="152"/>
      <c r="D2" s="152"/>
      <c r="E2" s="152"/>
      <c r="F2" s="152"/>
      <c r="G2" s="152"/>
      <c r="H2" s="152"/>
      <c r="I2" s="152"/>
      <c r="J2" s="152"/>
      <c r="K2" s="152"/>
      <c r="L2" s="40"/>
      <c r="M2" s="40"/>
      <c r="N2" s="40"/>
      <c r="O2" s="40"/>
      <c r="P2" s="40"/>
      <c r="Q2" s="40"/>
      <c r="R2" s="40"/>
      <c r="S2" s="40"/>
      <c r="T2" s="40"/>
      <c r="U2" s="40"/>
      <c r="V2" s="40"/>
      <c r="W2" s="40"/>
      <c r="X2" s="40"/>
      <c r="Y2" s="40"/>
    </row>
    <row r="3" spans="1:26" s="24" customFormat="1" ht="42.75" customHeight="1" thickBot="1" x14ac:dyDescent="0.35">
      <c r="B3" s="41"/>
      <c r="C3" s="42"/>
      <c r="D3" s="42"/>
      <c r="E3" s="42"/>
      <c r="F3" s="42"/>
      <c r="G3" s="42"/>
      <c r="H3" s="42"/>
      <c r="I3" s="42"/>
      <c r="J3" s="42"/>
      <c r="K3" s="42"/>
      <c r="L3" s="42"/>
      <c r="M3" s="42"/>
      <c r="N3" s="42"/>
      <c r="O3" s="42"/>
      <c r="P3" s="42"/>
      <c r="Q3" s="42"/>
      <c r="R3" s="42"/>
      <c r="S3" s="42"/>
      <c r="T3" s="42"/>
      <c r="U3" s="42"/>
      <c r="V3" s="42"/>
      <c r="W3" s="42"/>
      <c r="X3" s="41"/>
      <c r="Y3" s="41"/>
    </row>
    <row r="4" spans="1:26" s="24" customFormat="1" ht="36" customHeight="1" x14ac:dyDescent="0.3">
      <c r="B4" s="43" t="s">
        <v>85</v>
      </c>
      <c r="C4" s="44">
        <f>COUNTIF(C10:C178,"Trả lại đơn vụ")</f>
        <v>0</v>
      </c>
      <c r="D4" s="45" t="s">
        <v>25</v>
      </c>
      <c r="E4" s="44">
        <f>COUNTIF(C10:C236,"Vụ cũ")</f>
        <v>0</v>
      </c>
      <c r="F4" s="45" t="s">
        <v>47</v>
      </c>
      <c r="G4" s="44">
        <f>SUM(E4:E5)</f>
        <v>0</v>
      </c>
      <c r="H4" s="45" t="s">
        <v>82</v>
      </c>
      <c r="I4" s="46">
        <f>COUNTIF(P10:P237,"Chuyển")</f>
        <v>0</v>
      </c>
      <c r="J4" s="45" t="s">
        <v>24</v>
      </c>
      <c r="K4" s="46">
        <f>SUM(G4:G6)-I4-I5+SUM(I6:I7)</f>
        <v>0</v>
      </c>
      <c r="L4" s="153" t="s">
        <v>23</v>
      </c>
      <c r="M4" s="153"/>
      <c r="N4" s="46">
        <f>SUM(P6:V6)</f>
        <v>0</v>
      </c>
      <c r="O4" s="169" t="s">
        <v>20</v>
      </c>
      <c r="P4" s="157" t="s">
        <v>37</v>
      </c>
      <c r="Q4" s="157"/>
      <c r="R4" s="157"/>
      <c r="S4" s="158" t="s">
        <v>36</v>
      </c>
      <c r="T4" s="158"/>
      <c r="U4" s="158"/>
      <c r="V4" s="158"/>
      <c r="W4" s="47"/>
      <c r="X4" s="153" t="s">
        <v>87</v>
      </c>
      <c r="Y4" s="154"/>
    </row>
    <row r="5" spans="1:26" s="24" customFormat="1" ht="50.25" customHeight="1" x14ac:dyDescent="0.3">
      <c r="B5" s="48" t="s">
        <v>86</v>
      </c>
      <c r="C5" s="41">
        <f>COUNTIF(C10:C178,"Trả lại đơn việc")</f>
        <v>0</v>
      </c>
      <c r="D5" s="49" t="s">
        <v>26</v>
      </c>
      <c r="E5" s="41">
        <f>COUNTIF(C10:C236,"Việc cũ")</f>
        <v>0</v>
      </c>
      <c r="F5" s="49" t="s">
        <v>48</v>
      </c>
      <c r="G5" s="41">
        <f>SUM(E6:E7)</f>
        <v>0</v>
      </c>
      <c r="H5" s="49" t="s">
        <v>83</v>
      </c>
      <c r="I5" s="50">
        <f>COUNTIF(P10:P237,"Nhập vào vụ khác")</f>
        <v>0</v>
      </c>
      <c r="J5" s="50"/>
      <c r="K5" s="51"/>
      <c r="L5" s="51"/>
      <c r="M5" s="51" t="s">
        <v>22</v>
      </c>
      <c r="N5" s="52" t="e">
        <f>N4/K4</f>
        <v>#DIV/0!</v>
      </c>
      <c r="O5" s="170"/>
      <c r="P5" s="53" t="s">
        <v>8</v>
      </c>
      <c r="Q5" s="54" t="s">
        <v>11</v>
      </c>
      <c r="R5" s="54" t="s">
        <v>10</v>
      </c>
      <c r="S5" s="53" t="s">
        <v>2</v>
      </c>
      <c r="T5" s="55" t="s">
        <v>34</v>
      </c>
      <c r="U5" s="53" t="s">
        <v>33</v>
      </c>
      <c r="V5" s="53" t="s">
        <v>68</v>
      </c>
      <c r="W5" s="56"/>
      <c r="X5" s="49" t="s">
        <v>1</v>
      </c>
      <c r="Y5" s="57" t="s">
        <v>44</v>
      </c>
    </row>
    <row r="6" spans="1:26" s="24" customFormat="1" ht="57" customHeight="1" x14ac:dyDescent="0.3">
      <c r="B6" s="48" t="s">
        <v>4</v>
      </c>
      <c r="C6" s="41">
        <f>COUNTIF(C10:C178,"Hòa giải thành")</f>
        <v>0</v>
      </c>
      <c r="D6" s="49" t="s">
        <v>27</v>
      </c>
      <c r="E6" s="41">
        <f>COUNTIF(C10:C197,"Vụ")</f>
        <v>0</v>
      </c>
      <c r="F6" s="49" t="s">
        <v>41</v>
      </c>
      <c r="G6" s="41">
        <f>COUNTIF(C10:C227,"Phục hồi vụ TĐC kỳ trước")</f>
        <v>0</v>
      </c>
      <c r="H6" s="49" t="s">
        <v>111</v>
      </c>
      <c r="I6" s="50">
        <f>COUNTIF(P10:P237,"Chuyển đến vụ")</f>
        <v>0</v>
      </c>
      <c r="J6" s="50"/>
      <c r="K6" s="41"/>
      <c r="L6" s="159" t="s">
        <v>21</v>
      </c>
      <c r="M6" s="159"/>
      <c r="N6" s="50">
        <f>K4-N4</f>
        <v>0</v>
      </c>
      <c r="O6" s="170"/>
      <c r="P6" s="58">
        <f>COUNTIF(P10:P251,"CNTT")</f>
        <v>0</v>
      </c>
      <c r="Q6" s="59">
        <f>COUNTIF(P10:P251,"ĐC")</f>
        <v>0</v>
      </c>
      <c r="R6" s="59">
        <f>COUNTIF(P10:P251,"TĐC")-COUNTIF(C10:C234,"Phục hồi")</f>
        <v>0</v>
      </c>
      <c r="S6" s="58">
        <f>COUNTIF(P10:P251,"BA")</f>
        <v>0</v>
      </c>
      <c r="T6" s="60">
        <f>COUNTIF(P10:P251,"CN tại tòa")</f>
        <v>0</v>
      </c>
      <c r="U6" s="58">
        <f>COUNTIF(P10:P251,"ĐC tại tòa")</f>
        <v>0</v>
      </c>
      <c r="V6" s="58">
        <f>COUNTIF(P10:P251,"QĐ giải quyết việc")</f>
        <v>0</v>
      </c>
      <c r="W6" s="56"/>
      <c r="X6" s="41">
        <f>N6-Y6</f>
        <v>0</v>
      </c>
      <c r="Y6" s="61">
        <f>COUNTIFS(C10:C228,"Việc",P10:P228,"")+COUNTIFS(C10:C228,"Việc cũ",P10:P228,"")+COUNTIFS(C10:C228,"Chuyển đến việc",P10:P228,"")</f>
        <v>0</v>
      </c>
    </row>
    <row r="7" spans="1:26" s="24" customFormat="1" ht="37.5" customHeight="1" thickBot="1" x14ac:dyDescent="0.35">
      <c r="B7" s="62"/>
      <c r="C7" s="63"/>
      <c r="D7" s="64" t="s">
        <v>28</v>
      </c>
      <c r="E7" s="63">
        <f>COUNTIF(C10:C197,"Việc")</f>
        <v>0</v>
      </c>
      <c r="F7" s="64"/>
      <c r="G7" s="63"/>
      <c r="H7" s="64" t="s">
        <v>112</v>
      </c>
      <c r="I7" s="65">
        <f>COUNTIF(P10:P237,"Chuyển đến việc")</f>
        <v>0</v>
      </c>
      <c r="J7" s="65"/>
      <c r="K7" s="66"/>
      <c r="L7" s="66"/>
      <c r="M7" s="66" t="s">
        <v>22</v>
      </c>
      <c r="N7" s="67" t="e">
        <f>100%-N5</f>
        <v>#DIV/0!</v>
      </c>
      <c r="O7" s="68"/>
      <c r="P7" s="68"/>
      <c r="Q7" s="63"/>
      <c r="R7" s="63"/>
      <c r="S7" s="162" t="s">
        <v>69</v>
      </c>
      <c r="T7" s="162"/>
      <c r="U7" s="65">
        <f>SUM(S6:V6)</f>
        <v>0</v>
      </c>
      <c r="V7" s="162"/>
      <c r="W7" s="162"/>
      <c r="X7" s="63"/>
      <c r="Y7" s="69"/>
    </row>
    <row r="8" spans="1:26" s="24" customFormat="1" ht="30" customHeight="1" thickBot="1" x14ac:dyDescent="0.35">
      <c r="B8" s="171" t="s">
        <v>13</v>
      </c>
      <c r="C8" s="172"/>
      <c r="D8" s="172"/>
      <c r="E8" s="172"/>
      <c r="F8" s="172"/>
      <c r="G8" s="172"/>
      <c r="H8" s="172"/>
      <c r="I8" s="172"/>
      <c r="J8" s="172"/>
      <c r="K8" s="172"/>
      <c r="L8" s="172"/>
      <c r="M8" s="173"/>
      <c r="N8" s="167" t="s">
        <v>7</v>
      </c>
      <c r="O8" s="167"/>
      <c r="P8" s="167"/>
      <c r="Q8" s="167"/>
      <c r="R8" s="167"/>
      <c r="S8" s="167"/>
      <c r="T8" s="167"/>
      <c r="U8" s="167"/>
      <c r="V8" s="167"/>
      <c r="W8" s="168"/>
      <c r="X8" s="160" t="s">
        <v>74</v>
      </c>
      <c r="Y8" s="161"/>
    </row>
    <row r="9" spans="1:26" s="24" customFormat="1" ht="47.25" customHeight="1" x14ac:dyDescent="0.3">
      <c r="A9" s="24" t="s">
        <v>88</v>
      </c>
      <c r="B9" s="88" t="s">
        <v>67</v>
      </c>
      <c r="C9" s="89" t="s">
        <v>0</v>
      </c>
      <c r="D9" s="89" t="s">
        <v>6</v>
      </c>
      <c r="E9" s="89" t="s">
        <v>3</v>
      </c>
      <c r="F9" s="90" t="s">
        <v>29</v>
      </c>
      <c r="G9" s="90" t="s">
        <v>30</v>
      </c>
      <c r="H9" s="89" t="s">
        <v>39</v>
      </c>
      <c r="I9" s="90" t="s">
        <v>15</v>
      </c>
      <c r="J9" s="89" t="s">
        <v>14</v>
      </c>
      <c r="K9" s="89" t="s">
        <v>12</v>
      </c>
      <c r="L9" s="89" t="s">
        <v>31</v>
      </c>
      <c r="M9" s="91" t="s">
        <v>32</v>
      </c>
      <c r="N9" s="92" t="s">
        <v>46</v>
      </c>
      <c r="O9" s="28" t="s">
        <v>19</v>
      </c>
      <c r="P9" s="27" t="s">
        <v>16</v>
      </c>
      <c r="Q9" s="27" t="s">
        <v>3</v>
      </c>
      <c r="R9" s="28" t="s">
        <v>29</v>
      </c>
      <c r="S9" s="28" t="s">
        <v>30</v>
      </c>
      <c r="T9" s="27" t="s">
        <v>31</v>
      </c>
      <c r="U9" s="27" t="s">
        <v>32</v>
      </c>
      <c r="V9" s="27" t="s">
        <v>43</v>
      </c>
      <c r="W9" s="29" t="s">
        <v>9</v>
      </c>
      <c r="X9" s="31" t="s">
        <v>75</v>
      </c>
      <c r="Y9" s="32" t="s">
        <v>76</v>
      </c>
      <c r="Z9" s="24" t="s">
        <v>88</v>
      </c>
    </row>
    <row r="10" spans="1:26" s="24" customFormat="1" ht="15.6" x14ac:dyDescent="0.3">
      <c r="A10" s="24">
        <v>1</v>
      </c>
      <c r="B10" s="78"/>
      <c r="C10" s="33"/>
      <c r="D10" s="33"/>
      <c r="E10" s="25"/>
      <c r="F10" s="34"/>
      <c r="G10" s="34"/>
      <c r="H10" s="25"/>
      <c r="I10" s="70" t="str">
        <f>IF(C10="Trả lại đơn vụ","",IF(C10="Trả lại đơn việc","",IF(C10="Hòa giải thành","",IF(F10=0,"",EDATE(F10,VLOOKUP(C10,'Thời hạn'!$D$1:$E$10,2,0))+H10))))</f>
        <v/>
      </c>
      <c r="J10" s="59" t="str">
        <f ca="1">IF(C10="Trả lại đơn vụ","",IF(C10="Trả lại đơn việc","",IF(C10="Hòa giải thành","",IF(N10=0,IF(P10=0,IF(F10=0,"",I10-TODAY()+1),""),""))))</f>
        <v/>
      </c>
      <c r="K10" s="25"/>
      <c r="L10" s="129"/>
      <c r="M10" s="130"/>
      <c r="N10" s="33"/>
      <c r="O10" s="34"/>
      <c r="P10" s="25"/>
      <c r="Q10" s="25"/>
      <c r="R10" s="34"/>
      <c r="S10" s="34"/>
      <c r="T10" s="137"/>
      <c r="U10" s="137"/>
      <c r="V10" s="36"/>
      <c r="W10" s="37"/>
      <c r="X10" s="71" t="str">
        <f>IF(C10="Trả lại đơn vụ","",IF(C10="Trả lại đơn việc","",IF((NETWORKDAYS(F10,G10,'Danh sách ngày nghỉ lễ'!$B$5:$B$25)-1-3)&gt;0,"Quá hạn"&amp;" "&amp;(NETWORKDAYS(F10,G10,'Danh sách ngày nghỉ lễ'!$B$5:$B$25)-1-3)&amp;" "&amp;"ngày","")))</f>
        <v/>
      </c>
      <c r="Y10" s="72" t="str">
        <f>IF(S10=0,"",IF(P10="Chuyển","",IF(P10="Nhập vào vụ khác","",IF(P10="BA",IF((S10-R10)&gt;10,"Quá hạn"&amp;" "&amp;(S10-R10-10)&amp;" "&amp;"ngày",""),IF((NETWORKDAYS(R10,S10,'Danh sách ngày nghỉ lễ'!$B$5:$B$25)-VLOOKUP(P10,'Thời hạn'!$A$17:$B$23,2,0))&gt;1,"Quá hạn"&amp;" "&amp;(NETWORKDAYS(R10,S10,'Danh sách ngày nghỉ lễ'!$B$5:$B$25)-1-VLOOKUP(P10,'Thời hạn'!$A$17:$B$23,2,0))&amp;" "&amp;"ngày","")))))</f>
        <v/>
      </c>
      <c r="Z10" s="23">
        <v>1</v>
      </c>
    </row>
    <row r="11" spans="1:26" s="24" customFormat="1" ht="15.6" x14ac:dyDescent="0.3">
      <c r="A11" s="24">
        <v>1</v>
      </c>
      <c r="B11" s="39"/>
      <c r="C11" s="33"/>
      <c r="D11" s="25"/>
      <c r="E11" s="25"/>
      <c r="F11" s="34"/>
      <c r="G11" s="34"/>
      <c r="H11" s="25"/>
      <c r="I11" s="70" t="str">
        <f>IF(C11="Trả lại đơn vụ","",IF(C11="Trả lại đơn việc","",IF(C11="Hòa giải thành","",IF(F11=0,"",EDATE(F11,VLOOKUP(C11,'Thời hạn'!$D$1:$E$10,2,0))+H11))))</f>
        <v/>
      </c>
      <c r="J11" s="59" t="str">
        <f t="shared" ref="J11:J74" ca="1" si="0">IF(C11="Trả lại đơn vụ","",IF(C11="Trả lại đơn việc","",IF(C11="Hòa giải thành","",IF(N11=0,IF(P11=0,IF(F11=0,"",I11-TODAY()+1),""),""))))</f>
        <v/>
      </c>
      <c r="K11" s="25"/>
      <c r="L11" s="129"/>
      <c r="M11" s="130"/>
      <c r="N11" s="33"/>
      <c r="O11" s="34"/>
      <c r="P11" s="25"/>
      <c r="Q11" s="25"/>
      <c r="R11" s="34"/>
      <c r="S11" s="34"/>
      <c r="T11" s="137"/>
      <c r="U11" s="137"/>
      <c r="V11" s="36"/>
      <c r="W11" s="37"/>
      <c r="X11" s="71" t="str">
        <f>IF(C11="Trả lại đơn vụ","",IF(C11="Trả lại đơn việc","",IF((NETWORKDAYS(F11,G11,'Danh sách ngày nghỉ lễ'!$B$5:$B$25)-1-3)&gt;0,"Quá hạn"&amp;" "&amp;(NETWORKDAYS(F11,G11,'Danh sách ngày nghỉ lễ'!$B$5:$B$25)-1-3)&amp;" "&amp;"ngày","")))</f>
        <v/>
      </c>
      <c r="Y11" s="72" t="str">
        <f>IF(S11=0,"",IF(P11="Chuyển","",IF(P11="Nhập vào vụ khác","",IF(P11="BA",IF((S11-R11)&gt;10,"Quá hạn"&amp;" "&amp;(S11-R11-10)&amp;" "&amp;"ngày",""),IF((NETWORKDAYS(R11,S11,'Danh sách ngày nghỉ lễ'!$B$5:$B$25)-VLOOKUP(P11,'Thời hạn'!$A$17:$B$23,2,0))&gt;1,"Quá hạn"&amp;" "&amp;(NETWORKDAYS(R11,S11,'Danh sách ngày nghỉ lễ'!$B$5:$B$25)-1-VLOOKUP(P11,'Thời hạn'!$A$17:$B$23,2,0))&amp;" "&amp;"ngày","")))))</f>
        <v/>
      </c>
      <c r="Z11" s="23">
        <v>1</v>
      </c>
    </row>
    <row r="12" spans="1:26" s="24" customFormat="1" ht="15.6" x14ac:dyDescent="0.3">
      <c r="A12" s="24">
        <v>1</v>
      </c>
      <c r="B12" s="39"/>
      <c r="C12" s="33"/>
      <c r="D12" s="25"/>
      <c r="E12" s="25"/>
      <c r="F12" s="34"/>
      <c r="G12" s="34"/>
      <c r="H12" s="25"/>
      <c r="I12" s="70" t="str">
        <f>IF(C12="Trả lại đơn vụ","",IF(C12="Trả lại đơn việc","",IF(C12="Hòa giải thành","",IF(F12=0,"",EDATE(F12,VLOOKUP(C12,'Thời hạn'!$D$1:$E$10,2,0))+H12))))</f>
        <v/>
      </c>
      <c r="J12" s="59" t="str">
        <f t="shared" ca="1" si="0"/>
        <v/>
      </c>
      <c r="K12" s="25"/>
      <c r="L12" s="129"/>
      <c r="M12" s="130"/>
      <c r="N12" s="33"/>
      <c r="O12" s="34"/>
      <c r="P12" s="25"/>
      <c r="Q12" s="25"/>
      <c r="R12" s="34"/>
      <c r="S12" s="34"/>
      <c r="T12" s="137"/>
      <c r="U12" s="137"/>
      <c r="V12" s="36"/>
      <c r="W12" s="37"/>
      <c r="X12" s="71" t="str">
        <f>IF(C12="Trả lại đơn vụ","",IF(C12="Trả lại đơn việc","",IF((NETWORKDAYS(F12,G12,'Danh sách ngày nghỉ lễ'!$B$5:$B$25)-1-3)&gt;0,"Quá hạn"&amp;" "&amp;(NETWORKDAYS(F12,G12,'Danh sách ngày nghỉ lễ'!$B$5:$B$25)-1-3)&amp;" "&amp;"ngày","")))</f>
        <v/>
      </c>
      <c r="Y12" s="72" t="str">
        <f>IF(S12=0,"",IF(P12="Chuyển","",IF(P12="Nhập vào vụ khác","",IF(P12="BA",IF((S12-R12)&gt;10,"Quá hạn"&amp;" "&amp;(S12-R12-10)&amp;" "&amp;"ngày",""),IF((NETWORKDAYS(R12,S12,'Danh sách ngày nghỉ lễ'!$B$5:$B$25)-VLOOKUP(P12,'Thời hạn'!$A$17:$B$23,2,0))&gt;1,"Quá hạn"&amp;" "&amp;(NETWORKDAYS(R12,S12,'Danh sách ngày nghỉ lễ'!$B$5:$B$25)-1-VLOOKUP(P12,'Thời hạn'!$A$17:$B$23,2,0))&amp;" "&amp;"ngày","")))))</f>
        <v/>
      </c>
      <c r="Z12" s="23">
        <v>1</v>
      </c>
    </row>
    <row r="13" spans="1:26" s="24" customFormat="1" ht="15.6" x14ac:dyDescent="0.3">
      <c r="A13" s="24">
        <v>1</v>
      </c>
      <c r="B13" s="39"/>
      <c r="C13" s="33"/>
      <c r="D13" s="25"/>
      <c r="E13" s="25"/>
      <c r="F13" s="34"/>
      <c r="G13" s="34"/>
      <c r="H13" s="25"/>
      <c r="I13" s="70" t="str">
        <f>IF(C13="Trả lại đơn vụ","",IF(C13="Trả lại đơn việc","",IF(C13="Hòa giải thành","",IF(F13=0,"",EDATE(F13,VLOOKUP(C13,'Thời hạn'!$D$1:$E$10,2,0))+H13))))</f>
        <v/>
      </c>
      <c r="J13" s="59" t="str">
        <f t="shared" ca="1" si="0"/>
        <v/>
      </c>
      <c r="K13" s="25"/>
      <c r="L13" s="129"/>
      <c r="M13" s="130"/>
      <c r="N13" s="33"/>
      <c r="O13" s="34"/>
      <c r="P13" s="25"/>
      <c r="Q13" s="25"/>
      <c r="R13" s="34"/>
      <c r="S13" s="34"/>
      <c r="T13" s="137"/>
      <c r="U13" s="137"/>
      <c r="V13" s="36"/>
      <c r="W13" s="37"/>
      <c r="X13" s="71" t="str">
        <f>IF(C13="Trả lại đơn vụ","",IF(C13="Trả lại đơn việc","",IF((NETWORKDAYS(F13,G13,'Danh sách ngày nghỉ lễ'!$B$5:$B$25)-1-3)&gt;0,"Quá hạn"&amp;" "&amp;(NETWORKDAYS(F13,G13,'Danh sách ngày nghỉ lễ'!$B$5:$B$25)-1-3)&amp;" "&amp;"ngày","")))</f>
        <v/>
      </c>
      <c r="Y13" s="72" t="str">
        <f>IF(S13=0,"",IF(P13="Chuyển","",IF(P13="Nhập vào vụ khác","",IF(P13="BA",IF((S13-R13)&gt;10,"Quá hạn"&amp;" "&amp;(S13-R13-10)&amp;" "&amp;"ngày",""),IF((NETWORKDAYS(R13,S13,'Danh sách ngày nghỉ lễ'!$B$5:$B$25)-VLOOKUP(P13,'Thời hạn'!$A$17:$B$23,2,0))&gt;1,"Quá hạn"&amp;" "&amp;(NETWORKDAYS(R13,S13,'Danh sách ngày nghỉ lễ'!$B$5:$B$25)-1-VLOOKUP(P13,'Thời hạn'!$A$17:$B$23,2,0))&amp;" "&amp;"ngày","")))))</f>
        <v/>
      </c>
      <c r="Z13" s="23">
        <v>1</v>
      </c>
    </row>
    <row r="14" spans="1:26" s="24" customFormat="1" ht="15.6" x14ac:dyDescent="0.3">
      <c r="A14" s="24">
        <v>1</v>
      </c>
      <c r="B14" s="39"/>
      <c r="C14" s="33"/>
      <c r="D14" s="25"/>
      <c r="E14" s="25"/>
      <c r="F14" s="34"/>
      <c r="G14" s="34"/>
      <c r="H14" s="25"/>
      <c r="I14" s="70" t="str">
        <f>IF(C14="Trả lại đơn vụ","",IF(C14="Trả lại đơn việc","",IF(C14="Hòa giải thành","",IF(F14=0,"",EDATE(F14,VLOOKUP(C14,'Thời hạn'!$D$1:$E$10,2,0))+H14))))</f>
        <v/>
      </c>
      <c r="J14" s="59" t="str">
        <f t="shared" ca="1" si="0"/>
        <v/>
      </c>
      <c r="K14" s="25"/>
      <c r="L14" s="129"/>
      <c r="M14" s="130"/>
      <c r="N14" s="33"/>
      <c r="O14" s="34"/>
      <c r="P14" s="25"/>
      <c r="Q14" s="25"/>
      <c r="R14" s="34"/>
      <c r="S14" s="34"/>
      <c r="T14" s="137"/>
      <c r="U14" s="137"/>
      <c r="V14" s="36"/>
      <c r="W14" s="37"/>
      <c r="X14" s="71" t="str">
        <f>IF(C14="Trả lại đơn vụ","",IF(C14="Trả lại đơn việc","",IF((NETWORKDAYS(F14,G14,'Danh sách ngày nghỉ lễ'!$B$5:$B$25)-1-3)&gt;0,"Quá hạn"&amp;" "&amp;(NETWORKDAYS(F14,G14,'Danh sách ngày nghỉ lễ'!$B$5:$B$25)-1-3)&amp;" "&amp;"ngày","")))</f>
        <v/>
      </c>
      <c r="Y14" s="72" t="str">
        <f>IF(S14=0,"",IF(P14="Chuyển","",IF(P14="Nhập vào vụ khác","",IF(P14="BA",IF((S14-R14)&gt;10,"Quá hạn"&amp;" "&amp;(S14-R14-10)&amp;" "&amp;"ngày",""),IF((NETWORKDAYS(R14,S14,'Danh sách ngày nghỉ lễ'!$B$5:$B$25)-VLOOKUP(P14,'Thời hạn'!$A$17:$B$23,2,0))&gt;1,"Quá hạn"&amp;" "&amp;(NETWORKDAYS(R14,S14,'Danh sách ngày nghỉ lễ'!$B$5:$B$25)-1-VLOOKUP(P14,'Thời hạn'!$A$17:$B$23,2,0))&amp;" "&amp;"ngày","")))))</f>
        <v/>
      </c>
      <c r="Z14" s="23">
        <v>1</v>
      </c>
    </row>
    <row r="15" spans="1:26" s="24" customFormat="1" ht="15.6" x14ac:dyDescent="0.3">
      <c r="A15" s="24">
        <v>1</v>
      </c>
      <c r="B15" s="39"/>
      <c r="C15" s="33"/>
      <c r="D15" s="25"/>
      <c r="E15" s="25"/>
      <c r="F15" s="34"/>
      <c r="G15" s="34"/>
      <c r="H15" s="25"/>
      <c r="I15" s="70" t="str">
        <f>IF(C15="Trả lại đơn vụ","",IF(C15="Trả lại đơn việc","",IF(C15="Hòa giải thành","",IF(F15=0,"",EDATE(F15,VLOOKUP(C15,'Thời hạn'!$D$1:$E$10,2,0))+H15))))</f>
        <v/>
      </c>
      <c r="J15" s="59" t="str">
        <f t="shared" ca="1" si="0"/>
        <v/>
      </c>
      <c r="K15" s="25"/>
      <c r="L15" s="129"/>
      <c r="M15" s="130"/>
      <c r="N15" s="33"/>
      <c r="O15" s="34"/>
      <c r="P15" s="25"/>
      <c r="Q15" s="25"/>
      <c r="R15" s="34"/>
      <c r="S15" s="34"/>
      <c r="T15" s="137"/>
      <c r="U15" s="137"/>
      <c r="V15" s="36"/>
      <c r="W15" s="37"/>
      <c r="X15" s="71" t="str">
        <f>IF(C15="Trả lại đơn vụ","",IF(C15="Trả lại đơn việc","",IF((NETWORKDAYS(F15,G15,'Danh sách ngày nghỉ lễ'!$B$5:$B$25)-1-3)&gt;0,"Quá hạn"&amp;" "&amp;(NETWORKDAYS(F15,G15,'Danh sách ngày nghỉ lễ'!$B$5:$B$25)-1-3)&amp;" "&amp;"ngày","")))</f>
        <v/>
      </c>
      <c r="Y15" s="72" t="str">
        <f>IF(S15=0,"",IF(P15="Chuyển","",IF(P15="Nhập vào vụ khác","",IF(P15="BA",IF((S15-R15)&gt;10,"Quá hạn"&amp;" "&amp;(S15-R15-10)&amp;" "&amp;"ngày",""),IF((NETWORKDAYS(R15,S15,'Danh sách ngày nghỉ lễ'!$B$5:$B$25)-VLOOKUP(P15,'Thời hạn'!$A$17:$B$23,2,0))&gt;1,"Quá hạn"&amp;" "&amp;(NETWORKDAYS(R15,S15,'Danh sách ngày nghỉ lễ'!$B$5:$B$25)-1-VLOOKUP(P15,'Thời hạn'!$A$17:$B$23,2,0))&amp;" "&amp;"ngày","")))))</f>
        <v/>
      </c>
      <c r="Z15" s="23">
        <v>1</v>
      </c>
    </row>
    <row r="16" spans="1:26" s="24" customFormat="1" ht="15.6" x14ac:dyDescent="0.3">
      <c r="A16" s="24">
        <v>1</v>
      </c>
      <c r="B16" s="39"/>
      <c r="C16" s="33"/>
      <c r="D16" s="25"/>
      <c r="E16" s="25"/>
      <c r="F16" s="34"/>
      <c r="G16" s="34"/>
      <c r="H16" s="25"/>
      <c r="I16" s="70" t="str">
        <f>IF(C16="Trả lại đơn vụ","",IF(C16="Trả lại đơn việc","",IF(C16="Hòa giải thành","",IF(F16=0,"",EDATE(F16,VLOOKUP(C16,'Thời hạn'!$D$1:$E$10,2,0))+H16))))</f>
        <v/>
      </c>
      <c r="J16" s="59" t="str">
        <f t="shared" ca="1" si="0"/>
        <v/>
      </c>
      <c r="K16" s="25"/>
      <c r="L16" s="129"/>
      <c r="M16" s="130"/>
      <c r="N16" s="33"/>
      <c r="O16" s="34"/>
      <c r="P16" s="25"/>
      <c r="Q16" s="25"/>
      <c r="R16" s="34"/>
      <c r="S16" s="34"/>
      <c r="T16" s="137"/>
      <c r="U16" s="137"/>
      <c r="V16" s="36"/>
      <c r="W16" s="37"/>
      <c r="X16" s="71" t="str">
        <f>IF(C16="Trả lại đơn vụ","",IF(C16="Trả lại đơn việc","",IF((NETWORKDAYS(F16,G16,'Danh sách ngày nghỉ lễ'!$B$5:$B$25)-1-3)&gt;0,"Quá hạn"&amp;" "&amp;(NETWORKDAYS(F16,G16,'Danh sách ngày nghỉ lễ'!$B$5:$B$25)-1-3)&amp;" "&amp;"ngày","")))</f>
        <v/>
      </c>
      <c r="Y16" s="72" t="str">
        <f>IF(S16=0,"",IF(P16="Chuyển","",IF(P16="Nhập vào vụ khác","",IF(P16="BA",IF((S16-R16)&gt;10,"Quá hạn"&amp;" "&amp;(S16-R16-10)&amp;" "&amp;"ngày",""),IF((NETWORKDAYS(R16,S16,'Danh sách ngày nghỉ lễ'!$B$5:$B$25)-VLOOKUP(P16,'Thời hạn'!$A$17:$B$23,2,0))&gt;1,"Quá hạn"&amp;" "&amp;(NETWORKDAYS(R16,S16,'Danh sách ngày nghỉ lễ'!$B$5:$B$25)-1-VLOOKUP(P16,'Thời hạn'!$A$17:$B$23,2,0))&amp;" "&amp;"ngày","")))))</f>
        <v/>
      </c>
      <c r="Z16" s="23">
        <v>1</v>
      </c>
    </row>
    <row r="17" spans="1:26" s="24" customFormat="1" ht="15.6" x14ac:dyDescent="0.3">
      <c r="A17" s="24">
        <v>1</v>
      </c>
      <c r="B17" s="39"/>
      <c r="C17" s="33"/>
      <c r="D17" s="25"/>
      <c r="E17" s="25"/>
      <c r="F17" s="34"/>
      <c r="G17" s="34"/>
      <c r="H17" s="25"/>
      <c r="I17" s="70" t="str">
        <f>IF(C17="Trả lại đơn vụ","",IF(C17="Trả lại đơn việc","",IF(C17="Hòa giải thành","",IF(F17=0,"",EDATE(F17,VLOOKUP(C17,'Thời hạn'!$D$1:$E$10,2,0))+H17))))</f>
        <v/>
      </c>
      <c r="J17" s="59" t="str">
        <f t="shared" ca="1" si="0"/>
        <v/>
      </c>
      <c r="K17" s="25"/>
      <c r="L17" s="129"/>
      <c r="M17" s="130"/>
      <c r="N17" s="33"/>
      <c r="O17" s="34"/>
      <c r="P17" s="25"/>
      <c r="Q17" s="25"/>
      <c r="R17" s="34"/>
      <c r="S17" s="34"/>
      <c r="T17" s="137"/>
      <c r="U17" s="137"/>
      <c r="V17" s="36"/>
      <c r="W17" s="37"/>
      <c r="X17" s="71" t="str">
        <f>IF(C17="Trả lại đơn vụ","",IF(C17="Trả lại đơn việc","",IF((NETWORKDAYS(F17,G17,'Danh sách ngày nghỉ lễ'!$B$5:$B$25)-1-3)&gt;0,"Quá hạn"&amp;" "&amp;(NETWORKDAYS(F17,G17,'Danh sách ngày nghỉ lễ'!$B$5:$B$25)-1-3)&amp;" "&amp;"ngày","")))</f>
        <v/>
      </c>
      <c r="Y17" s="72" t="str">
        <f>IF(S17=0,"",IF(P17="Chuyển","",IF(P17="Nhập vào vụ khác","",IF(P17="BA",IF((S17-R17)&gt;10,"Quá hạn"&amp;" "&amp;(S17-R17-10)&amp;" "&amp;"ngày",""),IF((NETWORKDAYS(R17,S17,'Danh sách ngày nghỉ lễ'!$B$5:$B$25)-VLOOKUP(P17,'Thời hạn'!$A$17:$B$23,2,0))&gt;1,"Quá hạn"&amp;" "&amp;(NETWORKDAYS(R17,S17,'Danh sách ngày nghỉ lễ'!$B$5:$B$25)-1-VLOOKUP(P17,'Thời hạn'!$A$17:$B$23,2,0))&amp;" "&amp;"ngày","")))))</f>
        <v/>
      </c>
      <c r="Z17" s="23">
        <v>1</v>
      </c>
    </row>
    <row r="18" spans="1:26" s="24" customFormat="1" ht="15.6" x14ac:dyDescent="0.3">
      <c r="A18" s="24">
        <v>1</v>
      </c>
      <c r="B18" s="39"/>
      <c r="C18" s="33"/>
      <c r="D18" s="25"/>
      <c r="E18" s="25"/>
      <c r="F18" s="34"/>
      <c r="G18" s="34"/>
      <c r="H18" s="25"/>
      <c r="I18" s="70" t="str">
        <f>IF(C18="Trả lại đơn vụ","",IF(C18="Trả lại đơn việc","",IF(C18="Hòa giải thành","",IF(F18=0,"",EDATE(F18,VLOOKUP(C18,'Thời hạn'!$D$1:$E$10,2,0))+H18))))</f>
        <v/>
      </c>
      <c r="J18" s="59" t="str">
        <f t="shared" ca="1" si="0"/>
        <v/>
      </c>
      <c r="K18" s="25"/>
      <c r="L18" s="129"/>
      <c r="M18" s="130"/>
      <c r="N18" s="33"/>
      <c r="O18" s="34"/>
      <c r="P18" s="25"/>
      <c r="Q18" s="25"/>
      <c r="R18" s="34"/>
      <c r="S18" s="34"/>
      <c r="T18" s="137"/>
      <c r="U18" s="137"/>
      <c r="V18" s="36"/>
      <c r="W18" s="37"/>
      <c r="X18" s="71" t="str">
        <f>IF(C18="Trả lại đơn vụ","",IF(C18="Trả lại đơn việc","",IF((NETWORKDAYS(F18,G18,'Danh sách ngày nghỉ lễ'!$B$5:$B$25)-1-3)&gt;0,"Quá hạn"&amp;" "&amp;(NETWORKDAYS(F18,G18,'Danh sách ngày nghỉ lễ'!$B$5:$B$25)-1-3)&amp;" "&amp;"ngày","")))</f>
        <v/>
      </c>
      <c r="Y18" s="72" t="str">
        <f>IF(S18=0,"",IF(P18="Chuyển","",IF(P18="Nhập vào vụ khác","",IF(P18="BA",IF((S18-R18)&gt;10,"Quá hạn"&amp;" "&amp;(S18-R18-10)&amp;" "&amp;"ngày",""),IF((NETWORKDAYS(R18,S18,'Danh sách ngày nghỉ lễ'!$B$5:$B$25)-VLOOKUP(P18,'Thời hạn'!$A$17:$B$23,2,0))&gt;1,"Quá hạn"&amp;" "&amp;(NETWORKDAYS(R18,S18,'Danh sách ngày nghỉ lễ'!$B$5:$B$25)-1-VLOOKUP(P18,'Thời hạn'!$A$17:$B$23,2,0))&amp;" "&amp;"ngày","")))))</f>
        <v/>
      </c>
      <c r="Z18" s="23">
        <v>1</v>
      </c>
    </row>
    <row r="19" spans="1:26" s="24" customFormat="1" ht="15.6" x14ac:dyDescent="0.3">
      <c r="A19" s="24">
        <v>1</v>
      </c>
      <c r="B19" s="39"/>
      <c r="C19" s="33"/>
      <c r="D19" s="25"/>
      <c r="E19" s="25"/>
      <c r="F19" s="34"/>
      <c r="G19" s="34"/>
      <c r="H19" s="25"/>
      <c r="I19" s="70" t="str">
        <f>IF(C19="Trả lại đơn vụ","",IF(C19="Trả lại đơn việc","",IF(C19="Hòa giải thành","",IF(F19=0,"",EDATE(F19,VLOOKUP(C19,'Thời hạn'!$D$1:$E$10,2,0))+H19))))</f>
        <v/>
      </c>
      <c r="J19" s="59" t="str">
        <f t="shared" ca="1" si="0"/>
        <v/>
      </c>
      <c r="K19" s="25"/>
      <c r="L19" s="129"/>
      <c r="M19" s="130"/>
      <c r="N19" s="33"/>
      <c r="O19" s="34"/>
      <c r="P19" s="25"/>
      <c r="Q19" s="25"/>
      <c r="R19" s="34"/>
      <c r="S19" s="34"/>
      <c r="T19" s="137"/>
      <c r="U19" s="137"/>
      <c r="V19" s="36"/>
      <c r="W19" s="37"/>
      <c r="X19" s="71" t="str">
        <f>IF(C19="Trả lại đơn vụ","",IF(C19="Trả lại đơn việc","",IF((NETWORKDAYS(F19,G19,'Danh sách ngày nghỉ lễ'!$B$5:$B$25)-1-3)&gt;0,"Quá hạn"&amp;" "&amp;(NETWORKDAYS(F19,G19,'Danh sách ngày nghỉ lễ'!$B$5:$B$25)-1-3)&amp;" "&amp;"ngày","")))</f>
        <v/>
      </c>
      <c r="Y19" s="72" t="str">
        <f>IF(S19=0,"",IF(P19="Chuyển","",IF(P19="Nhập vào vụ khác","",IF(P19="BA",IF((S19-R19)&gt;10,"Quá hạn"&amp;" "&amp;(S19-R19-10)&amp;" "&amp;"ngày",""),IF((NETWORKDAYS(R19,S19,'Danh sách ngày nghỉ lễ'!$B$5:$B$25)-VLOOKUP(P19,'Thời hạn'!$A$17:$B$23,2,0))&gt;1,"Quá hạn"&amp;" "&amp;(NETWORKDAYS(R19,S19,'Danh sách ngày nghỉ lễ'!$B$5:$B$25)-1-VLOOKUP(P19,'Thời hạn'!$A$17:$B$23,2,0))&amp;" "&amp;"ngày","")))))</f>
        <v/>
      </c>
      <c r="Z19" s="23">
        <v>1</v>
      </c>
    </row>
    <row r="20" spans="1:26" s="24" customFormat="1" ht="15.6" x14ac:dyDescent="0.3">
      <c r="A20" s="24">
        <v>1</v>
      </c>
      <c r="B20" s="39"/>
      <c r="C20" s="33"/>
      <c r="D20" s="25"/>
      <c r="E20" s="25"/>
      <c r="F20" s="34"/>
      <c r="G20" s="34"/>
      <c r="H20" s="25"/>
      <c r="I20" s="70" t="str">
        <f>IF(C20="Trả lại đơn vụ","",IF(C20="Trả lại đơn việc","",IF(C20="Hòa giải thành","",IF(F20=0,"",EDATE(F20,VLOOKUP(C20,'Thời hạn'!$D$1:$E$10,2,0))+H20))))</f>
        <v/>
      </c>
      <c r="J20" s="59" t="str">
        <f t="shared" ca="1" si="0"/>
        <v/>
      </c>
      <c r="K20" s="25"/>
      <c r="L20" s="129"/>
      <c r="M20" s="130"/>
      <c r="N20" s="33"/>
      <c r="O20" s="34"/>
      <c r="P20" s="25"/>
      <c r="Q20" s="25"/>
      <c r="R20" s="34"/>
      <c r="S20" s="34"/>
      <c r="T20" s="137"/>
      <c r="U20" s="137"/>
      <c r="V20" s="36"/>
      <c r="W20" s="37"/>
      <c r="X20" s="71" t="str">
        <f>IF(C20="Trả lại đơn vụ","",IF(C20="Trả lại đơn việc","",IF((NETWORKDAYS(F20,G20,'Danh sách ngày nghỉ lễ'!$B$5:$B$25)-1-3)&gt;0,"Quá hạn"&amp;" "&amp;(NETWORKDAYS(F20,G20,'Danh sách ngày nghỉ lễ'!$B$5:$B$25)-1-3)&amp;" "&amp;"ngày","")))</f>
        <v/>
      </c>
      <c r="Y20" s="72" t="str">
        <f>IF(S20=0,"",IF(P20="Chuyển","",IF(P20="Nhập vào vụ khác","",IF(P20="BA",IF((S20-R20)&gt;10,"Quá hạn"&amp;" "&amp;(S20-R20-10)&amp;" "&amp;"ngày",""),IF((NETWORKDAYS(R20,S20,'Danh sách ngày nghỉ lễ'!$B$5:$B$25)-VLOOKUP(P20,'Thời hạn'!$A$17:$B$23,2,0))&gt;1,"Quá hạn"&amp;" "&amp;(NETWORKDAYS(R20,S20,'Danh sách ngày nghỉ lễ'!$B$5:$B$25)-1-VLOOKUP(P20,'Thời hạn'!$A$17:$B$23,2,0))&amp;" "&amp;"ngày","")))))</f>
        <v/>
      </c>
      <c r="Z20" s="23">
        <v>1</v>
      </c>
    </row>
    <row r="21" spans="1:26" s="24" customFormat="1" ht="15.6" x14ac:dyDescent="0.3">
      <c r="A21" s="24">
        <v>1</v>
      </c>
      <c r="B21" s="39"/>
      <c r="C21" s="33"/>
      <c r="D21" s="25"/>
      <c r="E21" s="25"/>
      <c r="F21" s="34"/>
      <c r="G21" s="34"/>
      <c r="H21" s="25"/>
      <c r="I21" s="70" t="str">
        <f>IF(C21="Trả lại đơn vụ","",IF(C21="Trả lại đơn việc","",IF(C21="Hòa giải thành","",IF(F21=0,"",EDATE(F21,VLOOKUP(C21,'Thời hạn'!$D$1:$E$10,2,0))+H21))))</f>
        <v/>
      </c>
      <c r="J21" s="59" t="str">
        <f t="shared" ca="1" si="0"/>
        <v/>
      </c>
      <c r="K21" s="25"/>
      <c r="L21" s="129"/>
      <c r="M21" s="130"/>
      <c r="N21" s="33"/>
      <c r="O21" s="34"/>
      <c r="P21" s="25"/>
      <c r="Q21" s="25"/>
      <c r="R21" s="34"/>
      <c r="S21" s="34"/>
      <c r="T21" s="137"/>
      <c r="U21" s="137"/>
      <c r="V21" s="36"/>
      <c r="W21" s="37"/>
      <c r="X21" s="71" t="str">
        <f>IF(C21="Trả lại đơn vụ","",IF(C21="Trả lại đơn việc","",IF((NETWORKDAYS(F21,G21,'Danh sách ngày nghỉ lễ'!$B$5:$B$25)-1-3)&gt;0,"Quá hạn"&amp;" "&amp;(NETWORKDAYS(F21,G21,'Danh sách ngày nghỉ lễ'!$B$5:$B$25)-1-3)&amp;" "&amp;"ngày","")))</f>
        <v/>
      </c>
      <c r="Y21" s="72" t="str">
        <f>IF(S21=0,"",IF(P21="Chuyển","",IF(P21="Nhập vào vụ khác","",IF(P21="BA",IF((S21-R21)&gt;10,"Quá hạn"&amp;" "&amp;(S21-R21-10)&amp;" "&amp;"ngày",""),IF((NETWORKDAYS(R21,S21,'Danh sách ngày nghỉ lễ'!$B$5:$B$25)-VLOOKUP(P21,'Thời hạn'!$A$17:$B$23,2,0))&gt;1,"Quá hạn"&amp;" "&amp;(NETWORKDAYS(R21,S21,'Danh sách ngày nghỉ lễ'!$B$5:$B$25)-1-VLOOKUP(P21,'Thời hạn'!$A$17:$B$23,2,0))&amp;" "&amp;"ngày","")))))</f>
        <v/>
      </c>
      <c r="Z21" s="23">
        <v>1</v>
      </c>
    </row>
    <row r="22" spans="1:26" s="24" customFormat="1" ht="15.6" x14ac:dyDescent="0.3">
      <c r="A22" s="24">
        <v>1</v>
      </c>
      <c r="B22" s="39"/>
      <c r="C22" s="33"/>
      <c r="D22" s="25"/>
      <c r="E22" s="25"/>
      <c r="F22" s="34"/>
      <c r="G22" s="34"/>
      <c r="H22" s="25"/>
      <c r="I22" s="70" t="str">
        <f>IF(C22="Trả lại đơn vụ","",IF(C22="Trả lại đơn việc","",IF(C22="Hòa giải thành","",IF(F22=0,"",EDATE(F22,VLOOKUP(C22,'Thời hạn'!$D$1:$E$10,2,0))+H22))))</f>
        <v/>
      </c>
      <c r="J22" s="59" t="str">
        <f t="shared" ca="1" si="0"/>
        <v/>
      </c>
      <c r="K22" s="25"/>
      <c r="L22" s="129"/>
      <c r="M22" s="130"/>
      <c r="N22" s="33"/>
      <c r="O22" s="34"/>
      <c r="P22" s="25"/>
      <c r="Q22" s="25"/>
      <c r="R22" s="34"/>
      <c r="S22" s="34"/>
      <c r="T22" s="137"/>
      <c r="U22" s="137"/>
      <c r="V22" s="36"/>
      <c r="W22" s="37"/>
      <c r="X22" s="71" t="str">
        <f>IF(C22="Trả lại đơn vụ","",IF(C22="Trả lại đơn việc","",IF((NETWORKDAYS(F22,G22,'Danh sách ngày nghỉ lễ'!$B$5:$B$25)-1-3)&gt;0,"Quá hạn"&amp;" "&amp;(NETWORKDAYS(F22,G22,'Danh sách ngày nghỉ lễ'!$B$5:$B$25)-1-3)&amp;" "&amp;"ngày","")))</f>
        <v/>
      </c>
      <c r="Y22" s="72" t="str">
        <f>IF(S22=0,"",IF(P22="Chuyển","",IF(P22="Nhập vào vụ khác","",IF(P22="BA",IF((S22-R22)&gt;10,"Quá hạn"&amp;" "&amp;(S22-R22-10)&amp;" "&amp;"ngày",""),IF((NETWORKDAYS(R22,S22,'Danh sách ngày nghỉ lễ'!$B$5:$B$25)-VLOOKUP(P22,'Thời hạn'!$A$17:$B$23,2,0))&gt;1,"Quá hạn"&amp;" "&amp;(NETWORKDAYS(R22,S22,'Danh sách ngày nghỉ lễ'!$B$5:$B$25)-1-VLOOKUP(P22,'Thời hạn'!$A$17:$B$23,2,0))&amp;" "&amp;"ngày","")))))</f>
        <v/>
      </c>
      <c r="Z22" s="23">
        <v>1</v>
      </c>
    </row>
    <row r="23" spans="1:26" s="24" customFormat="1" ht="15.6" x14ac:dyDescent="0.3">
      <c r="A23" s="24">
        <v>1</v>
      </c>
      <c r="B23" s="39"/>
      <c r="C23" s="33"/>
      <c r="D23" s="25"/>
      <c r="E23" s="25"/>
      <c r="F23" s="34"/>
      <c r="G23" s="34"/>
      <c r="H23" s="25"/>
      <c r="I23" s="70" t="str">
        <f>IF(C23="Trả lại đơn vụ","",IF(C23="Trả lại đơn việc","",IF(C23="Hòa giải thành","",IF(F23=0,"",EDATE(F23,VLOOKUP(C23,'Thời hạn'!$D$1:$E$10,2,0))+H23))))</f>
        <v/>
      </c>
      <c r="J23" s="59" t="str">
        <f t="shared" ca="1" si="0"/>
        <v/>
      </c>
      <c r="K23" s="25"/>
      <c r="L23" s="129"/>
      <c r="M23" s="130"/>
      <c r="N23" s="33"/>
      <c r="O23" s="34"/>
      <c r="P23" s="25"/>
      <c r="Q23" s="25"/>
      <c r="R23" s="34"/>
      <c r="S23" s="34"/>
      <c r="T23" s="137"/>
      <c r="U23" s="137"/>
      <c r="V23" s="36"/>
      <c r="W23" s="37"/>
      <c r="X23" s="71" t="str">
        <f>IF(C23="Trả lại đơn vụ","",IF(C23="Trả lại đơn việc","",IF((NETWORKDAYS(F23,G23,'Danh sách ngày nghỉ lễ'!$B$5:$B$25)-1-3)&gt;0,"Quá hạn"&amp;" "&amp;(NETWORKDAYS(F23,G23,'Danh sách ngày nghỉ lễ'!$B$5:$B$25)-1-3)&amp;" "&amp;"ngày","")))</f>
        <v/>
      </c>
      <c r="Y23" s="72" t="str">
        <f>IF(S23=0,"",IF(P23="Chuyển","",IF(P23="Nhập vào vụ khác","",IF(P23="BA",IF((S23-R23)&gt;10,"Quá hạn"&amp;" "&amp;(S23-R23-10)&amp;" "&amp;"ngày",""),IF((NETWORKDAYS(R23,S23,'Danh sách ngày nghỉ lễ'!$B$5:$B$25)-VLOOKUP(P23,'Thời hạn'!$A$17:$B$23,2,0))&gt;1,"Quá hạn"&amp;" "&amp;(NETWORKDAYS(R23,S23,'Danh sách ngày nghỉ lễ'!$B$5:$B$25)-1-VLOOKUP(P23,'Thời hạn'!$A$17:$B$23,2,0))&amp;" "&amp;"ngày","")))))</f>
        <v/>
      </c>
      <c r="Z23" s="23">
        <v>1</v>
      </c>
    </row>
    <row r="24" spans="1:26" s="24" customFormat="1" ht="15.6" x14ac:dyDescent="0.3">
      <c r="A24" s="24">
        <v>1</v>
      </c>
      <c r="B24" s="39"/>
      <c r="C24" s="33"/>
      <c r="D24" s="25"/>
      <c r="E24" s="25"/>
      <c r="F24" s="34"/>
      <c r="G24" s="34"/>
      <c r="H24" s="25"/>
      <c r="I24" s="70" t="str">
        <f>IF(C24="Trả lại đơn vụ","",IF(C24="Trả lại đơn việc","",IF(C24="Hòa giải thành","",IF(F24=0,"",EDATE(F24,VLOOKUP(C24,'Thời hạn'!$D$1:$E$10,2,0))+H24))))</f>
        <v/>
      </c>
      <c r="J24" s="59" t="str">
        <f t="shared" ca="1" si="0"/>
        <v/>
      </c>
      <c r="K24" s="25"/>
      <c r="L24" s="129"/>
      <c r="M24" s="130"/>
      <c r="N24" s="33"/>
      <c r="O24" s="34"/>
      <c r="P24" s="25"/>
      <c r="Q24" s="25"/>
      <c r="R24" s="34"/>
      <c r="S24" s="34"/>
      <c r="T24" s="137"/>
      <c r="U24" s="137"/>
      <c r="V24" s="36"/>
      <c r="W24" s="37"/>
      <c r="X24" s="71" t="str">
        <f>IF(C24="Trả lại đơn vụ","",IF(C24="Trả lại đơn việc","",IF((NETWORKDAYS(F24,G24,'Danh sách ngày nghỉ lễ'!$B$5:$B$25)-1-3)&gt;0,"Quá hạn"&amp;" "&amp;(NETWORKDAYS(F24,G24,'Danh sách ngày nghỉ lễ'!$B$5:$B$25)-1-3)&amp;" "&amp;"ngày","")))</f>
        <v/>
      </c>
      <c r="Y24" s="72" t="str">
        <f>IF(S24=0,"",IF(P24="Chuyển","",IF(P24="Nhập vào vụ khác","",IF(P24="BA",IF((S24-R24)&gt;10,"Quá hạn"&amp;" "&amp;(S24-R24-10)&amp;" "&amp;"ngày",""),IF((NETWORKDAYS(R24,S24,'Danh sách ngày nghỉ lễ'!$B$5:$B$25)-VLOOKUP(P24,'Thời hạn'!$A$17:$B$23,2,0))&gt;1,"Quá hạn"&amp;" "&amp;(NETWORKDAYS(R24,S24,'Danh sách ngày nghỉ lễ'!$B$5:$B$25)-1-VLOOKUP(P24,'Thời hạn'!$A$17:$B$23,2,0))&amp;" "&amp;"ngày","")))))</f>
        <v/>
      </c>
      <c r="Z24" s="23">
        <v>1</v>
      </c>
    </row>
    <row r="25" spans="1:26" s="24" customFormat="1" ht="15.6" x14ac:dyDescent="0.3">
      <c r="A25" s="24">
        <v>1</v>
      </c>
      <c r="B25" s="39"/>
      <c r="C25" s="33"/>
      <c r="D25" s="25"/>
      <c r="E25" s="25"/>
      <c r="F25" s="34"/>
      <c r="G25" s="34"/>
      <c r="H25" s="25"/>
      <c r="I25" s="70" t="str">
        <f>IF(C25="Trả lại đơn vụ","",IF(C25="Trả lại đơn việc","",IF(C25="Hòa giải thành","",IF(F25=0,"",EDATE(F25,VLOOKUP(C25,'Thời hạn'!$D$1:$E$10,2,0))+H25))))</f>
        <v/>
      </c>
      <c r="J25" s="59" t="str">
        <f t="shared" ca="1" si="0"/>
        <v/>
      </c>
      <c r="K25" s="25"/>
      <c r="L25" s="129"/>
      <c r="M25" s="130"/>
      <c r="N25" s="33"/>
      <c r="O25" s="34"/>
      <c r="P25" s="25"/>
      <c r="Q25" s="25"/>
      <c r="R25" s="34"/>
      <c r="S25" s="34"/>
      <c r="T25" s="137"/>
      <c r="U25" s="137"/>
      <c r="V25" s="36"/>
      <c r="W25" s="37"/>
      <c r="X25" s="71" t="str">
        <f>IF(C25="Trả lại đơn vụ","",IF(C25="Trả lại đơn việc","",IF((NETWORKDAYS(F25,G25,'Danh sách ngày nghỉ lễ'!$B$5:$B$25)-1-3)&gt;0,"Quá hạn"&amp;" "&amp;(NETWORKDAYS(F25,G25,'Danh sách ngày nghỉ lễ'!$B$5:$B$25)-1-3)&amp;" "&amp;"ngày","")))</f>
        <v/>
      </c>
      <c r="Y25" s="72" t="str">
        <f>IF(S25=0,"",IF(P25="Chuyển","",IF(P25="Nhập vào vụ khác","",IF(P25="BA",IF((S25-R25)&gt;10,"Quá hạn"&amp;" "&amp;(S25-R25-10)&amp;" "&amp;"ngày",""),IF((NETWORKDAYS(R25,S25,'Danh sách ngày nghỉ lễ'!$B$5:$B$25)-VLOOKUP(P25,'Thời hạn'!$A$17:$B$23,2,0))&gt;1,"Quá hạn"&amp;" "&amp;(NETWORKDAYS(R25,S25,'Danh sách ngày nghỉ lễ'!$B$5:$B$25)-1-VLOOKUP(P25,'Thời hạn'!$A$17:$B$23,2,0))&amp;" "&amp;"ngày","")))))</f>
        <v/>
      </c>
      <c r="Z25" s="23">
        <v>1</v>
      </c>
    </row>
    <row r="26" spans="1:26" s="24" customFormat="1" ht="15.6" x14ac:dyDescent="0.3">
      <c r="A26" s="24">
        <v>1</v>
      </c>
      <c r="B26" s="39"/>
      <c r="C26" s="33"/>
      <c r="D26" s="25"/>
      <c r="E26" s="25"/>
      <c r="F26" s="34"/>
      <c r="G26" s="34"/>
      <c r="H26" s="25"/>
      <c r="I26" s="70" t="str">
        <f>IF(C26="Trả lại đơn vụ","",IF(C26="Trả lại đơn việc","",IF(C26="Hòa giải thành","",IF(F26=0,"",EDATE(F26,VLOOKUP(C26,'Thời hạn'!$D$1:$E$10,2,0))+H26))))</f>
        <v/>
      </c>
      <c r="J26" s="59" t="str">
        <f t="shared" ca="1" si="0"/>
        <v/>
      </c>
      <c r="K26" s="25"/>
      <c r="L26" s="129"/>
      <c r="M26" s="130"/>
      <c r="N26" s="33"/>
      <c r="O26" s="34"/>
      <c r="P26" s="25"/>
      <c r="Q26" s="25"/>
      <c r="R26" s="34"/>
      <c r="S26" s="34"/>
      <c r="T26" s="137"/>
      <c r="U26" s="137"/>
      <c r="V26" s="36"/>
      <c r="W26" s="37"/>
      <c r="X26" s="71" t="str">
        <f>IF(C26="Trả lại đơn vụ","",IF(C26="Trả lại đơn việc","",IF((NETWORKDAYS(F26,G26,'Danh sách ngày nghỉ lễ'!$B$5:$B$25)-1-3)&gt;0,"Quá hạn"&amp;" "&amp;(NETWORKDAYS(F26,G26,'Danh sách ngày nghỉ lễ'!$B$5:$B$25)-1-3)&amp;" "&amp;"ngày","")))</f>
        <v/>
      </c>
      <c r="Y26" s="72" t="str">
        <f>IF(S26=0,"",IF(P26="Chuyển","",IF(P26="Nhập vào vụ khác","",IF(P26="BA",IF((S26-R26)&gt;10,"Quá hạn"&amp;" "&amp;(S26-R26-10)&amp;" "&amp;"ngày",""),IF((NETWORKDAYS(R26,S26,'Danh sách ngày nghỉ lễ'!$B$5:$B$25)-VLOOKUP(P26,'Thời hạn'!$A$17:$B$23,2,0))&gt;1,"Quá hạn"&amp;" "&amp;(NETWORKDAYS(R26,S26,'Danh sách ngày nghỉ lễ'!$B$5:$B$25)-1-VLOOKUP(P26,'Thời hạn'!$A$17:$B$23,2,0))&amp;" "&amp;"ngày","")))))</f>
        <v/>
      </c>
      <c r="Z26" s="23">
        <v>1</v>
      </c>
    </row>
    <row r="27" spans="1:26" s="24" customFormat="1" ht="15.6" x14ac:dyDescent="0.3">
      <c r="A27" s="24">
        <v>1</v>
      </c>
      <c r="B27" s="39"/>
      <c r="C27" s="33"/>
      <c r="D27" s="25"/>
      <c r="E27" s="25"/>
      <c r="F27" s="34"/>
      <c r="G27" s="34"/>
      <c r="H27" s="25"/>
      <c r="I27" s="70" t="str">
        <f>IF(C27="Trả lại đơn vụ","",IF(C27="Trả lại đơn việc","",IF(C27="Hòa giải thành","",IF(F27=0,"",EDATE(F27,VLOOKUP(C27,'Thời hạn'!$D$1:$E$10,2,0))+H27))))</f>
        <v/>
      </c>
      <c r="J27" s="59" t="str">
        <f t="shared" ca="1" si="0"/>
        <v/>
      </c>
      <c r="K27" s="25"/>
      <c r="L27" s="129"/>
      <c r="M27" s="130"/>
      <c r="N27" s="33"/>
      <c r="O27" s="34"/>
      <c r="P27" s="25"/>
      <c r="Q27" s="25"/>
      <c r="R27" s="34"/>
      <c r="S27" s="34"/>
      <c r="T27" s="137"/>
      <c r="U27" s="137"/>
      <c r="V27" s="36"/>
      <c r="W27" s="37"/>
      <c r="X27" s="71" t="str">
        <f>IF(C27="Trả lại đơn vụ","",IF(C27="Trả lại đơn việc","",IF((NETWORKDAYS(F27,G27,'Danh sách ngày nghỉ lễ'!$B$5:$B$25)-1-3)&gt;0,"Quá hạn"&amp;" "&amp;(NETWORKDAYS(F27,G27,'Danh sách ngày nghỉ lễ'!$B$5:$B$25)-1-3)&amp;" "&amp;"ngày","")))</f>
        <v/>
      </c>
      <c r="Y27" s="72" t="str">
        <f>IF(S27=0,"",IF(P27="Chuyển","",IF(P27="Nhập vào vụ khác","",IF(P27="BA",IF((S27-R27)&gt;10,"Quá hạn"&amp;" "&amp;(S27-R27-10)&amp;" "&amp;"ngày",""),IF((NETWORKDAYS(R27,S27,'Danh sách ngày nghỉ lễ'!$B$5:$B$25)-VLOOKUP(P27,'Thời hạn'!$A$17:$B$23,2,0))&gt;1,"Quá hạn"&amp;" "&amp;(NETWORKDAYS(R27,S27,'Danh sách ngày nghỉ lễ'!$B$5:$B$25)-1-VLOOKUP(P27,'Thời hạn'!$A$17:$B$23,2,0))&amp;" "&amp;"ngày","")))))</f>
        <v/>
      </c>
      <c r="Z27" s="23">
        <v>1</v>
      </c>
    </row>
    <row r="28" spans="1:26" s="24" customFormat="1" ht="15.6" x14ac:dyDescent="0.3">
      <c r="A28" s="24">
        <v>1</v>
      </c>
      <c r="B28" s="39"/>
      <c r="C28" s="33"/>
      <c r="D28" s="25"/>
      <c r="E28" s="25"/>
      <c r="F28" s="34"/>
      <c r="G28" s="34"/>
      <c r="H28" s="25"/>
      <c r="I28" s="70" t="str">
        <f>IF(C28="Trả lại đơn vụ","",IF(C28="Trả lại đơn việc","",IF(C28="Hòa giải thành","",IF(F28=0,"",EDATE(F28,VLOOKUP(C28,'Thời hạn'!$D$1:$E$10,2,0))+H28))))</f>
        <v/>
      </c>
      <c r="J28" s="59" t="str">
        <f t="shared" ca="1" si="0"/>
        <v/>
      </c>
      <c r="K28" s="25"/>
      <c r="L28" s="129"/>
      <c r="M28" s="130"/>
      <c r="N28" s="33"/>
      <c r="O28" s="34"/>
      <c r="P28" s="25"/>
      <c r="Q28" s="25"/>
      <c r="R28" s="34"/>
      <c r="S28" s="34"/>
      <c r="T28" s="137"/>
      <c r="U28" s="137"/>
      <c r="V28" s="36"/>
      <c r="W28" s="37"/>
      <c r="X28" s="71" t="str">
        <f>IF(C28="Trả lại đơn vụ","",IF(C28="Trả lại đơn việc","",IF((NETWORKDAYS(F28,G28,'Danh sách ngày nghỉ lễ'!$B$5:$B$25)-1-3)&gt;0,"Quá hạn"&amp;" "&amp;(NETWORKDAYS(F28,G28,'Danh sách ngày nghỉ lễ'!$B$5:$B$25)-1-3)&amp;" "&amp;"ngày","")))</f>
        <v/>
      </c>
      <c r="Y28" s="72" t="str">
        <f>IF(S28=0,"",IF(P28="Chuyển","",IF(P28="Nhập vào vụ khác","",IF(P28="BA",IF((S28-R28)&gt;10,"Quá hạn"&amp;" "&amp;(S28-R28-10)&amp;" "&amp;"ngày",""),IF((NETWORKDAYS(R28,S28,'Danh sách ngày nghỉ lễ'!$B$5:$B$25)-VLOOKUP(P28,'Thời hạn'!$A$17:$B$23,2,0))&gt;1,"Quá hạn"&amp;" "&amp;(NETWORKDAYS(R28,S28,'Danh sách ngày nghỉ lễ'!$B$5:$B$25)-1-VLOOKUP(P28,'Thời hạn'!$A$17:$B$23,2,0))&amp;" "&amp;"ngày","")))))</f>
        <v/>
      </c>
      <c r="Z28" s="23">
        <v>1</v>
      </c>
    </row>
    <row r="29" spans="1:26" s="24" customFormat="1" ht="15.6" x14ac:dyDescent="0.3">
      <c r="A29" s="24">
        <v>1</v>
      </c>
      <c r="B29" s="39"/>
      <c r="C29" s="33"/>
      <c r="D29" s="25"/>
      <c r="E29" s="25"/>
      <c r="F29" s="34"/>
      <c r="G29" s="34"/>
      <c r="H29" s="25"/>
      <c r="I29" s="70" t="str">
        <f>IF(C29="Trả lại đơn vụ","",IF(C29="Trả lại đơn việc","",IF(C29="Hòa giải thành","",IF(F29=0,"",EDATE(F29,VLOOKUP(C29,'Thời hạn'!$D$1:$E$10,2,0))+H29))))</f>
        <v/>
      </c>
      <c r="J29" s="59" t="str">
        <f t="shared" ca="1" si="0"/>
        <v/>
      </c>
      <c r="K29" s="25"/>
      <c r="L29" s="129"/>
      <c r="M29" s="130"/>
      <c r="N29" s="33"/>
      <c r="O29" s="34"/>
      <c r="P29" s="25"/>
      <c r="Q29" s="25"/>
      <c r="R29" s="34"/>
      <c r="S29" s="34"/>
      <c r="T29" s="137"/>
      <c r="U29" s="137"/>
      <c r="V29" s="36"/>
      <c r="W29" s="37"/>
      <c r="X29" s="71" t="str">
        <f>IF(C29="Trả lại đơn vụ","",IF(C29="Trả lại đơn việc","",IF((NETWORKDAYS(F29,G29,'Danh sách ngày nghỉ lễ'!$B$5:$B$25)-1-3)&gt;0,"Quá hạn"&amp;" "&amp;(NETWORKDAYS(F29,G29,'Danh sách ngày nghỉ lễ'!$B$5:$B$25)-1-3)&amp;" "&amp;"ngày","")))</f>
        <v/>
      </c>
      <c r="Y29" s="72" t="str">
        <f>IF(S29=0,"",IF(P29="Chuyển","",IF(P29="Nhập vào vụ khác","",IF(P29="BA",IF((S29-R29)&gt;10,"Quá hạn"&amp;" "&amp;(S29-R29-10)&amp;" "&amp;"ngày",""),IF((NETWORKDAYS(R29,S29,'Danh sách ngày nghỉ lễ'!$B$5:$B$25)-VLOOKUP(P29,'Thời hạn'!$A$17:$B$23,2,0))&gt;1,"Quá hạn"&amp;" "&amp;(NETWORKDAYS(R29,S29,'Danh sách ngày nghỉ lễ'!$B$5:$B$25)-1-VLOOKUP(P29,'Thời hạn'!$A$17:$B$23,2,0))&amp;" "&amp;"ngày","")))))</f>
        <v/>
      </c>
      <c r="Z29" s="23">
        <v>1</v>
      </c>
    </row>
    <row r="30" spans="1:26" s="24" customFormat="1" ht="15.6" x14ac:dyDescent="0.3">
      <c r="A30" s="24">
        <v>1</v>
      </c>
      <c r="B30" s="39"/>
      <c r="C30" s="33"/>
      <c r="D30" s="25"/>
      <c r="E30" s="25"/>
      <c r="F30" s="34"/>
      <c r="G30" s="34"/>
      <c r="H30" s="25"/>
      <c r="I30" s="70" t="str">
        <f>IF(C30="Trả lại đơn vụ","",IF(C30="Trả lại đơn việc","",IF(C30="Hòa giải thành","",IF(F30=0,"",EDATE(F30,VLOOKUP(C30,'Thời hạn'!$D$1:$E$10,2,0))+H30))))</f>
        <v/>
      </c>
      <c r="J30" s="59" t="str">
        <f t="shared" ca="1" si="0"/>
        <v/>
      </c>
      <c r="K30" s="25"/>
      <c r="L30" s="129"/>
      <c r="M30" s="130"/>
      <c r="N30" s="33"/>
      <c r="O30" s="34"/>
      <c r="P30" s="25"/>
      <c r="Q30" s="25"/>
      <c r="R30" s="34"/>
      <c r="S30" s="34"/>
      <c r="T30" s="137"/>
      <c r="U30" s="137"/>
      <c r="V30" s="36"/>
      <c r="W30" s="37"/>
      <c r="X30" s="71" t="str">
        <f>IF(C30="Trả lại đơn vụ","",IF(C30="Trả lại đơn việc","",IF((NETWORKDAYS(F30,G30,'Danh sách ngày nghỉ lễ'!$B$5:$B$25)-1-3)&gt;0,"Quá hạn"&amp;" "&amp;(NETWORKDAYS(F30,G30,'Danh sách ngày nghỉ lễ'!$B$5:$B$25)-1-3)&amp;" "&amp;"ngày","")))</f>
        <v/>
      </c>
      <c r="Y30" s="72" t="str">
        <f>IF(S30=0,"",IF(P30="Chuyển","",IF(P30="Nhập vào vụ khác","",IF(P30="BA",IF((S30-R30)&gt;10,"Quá hạn"&amp;" "&amp;(S30-R30-10)&amp;" "&amp;"ngày",""),IF((NETWORKDAYS(R30,S30,'Danh sách ngày nghỉ lễ'!$B$5:$B$25)-VLOOKUP(P30,'Thời hạn'!$A$17:$B$23,2,0))&gt;1,"Quá hạn"&amp;" "&amp;(NETWORKDAYS(R30,S30,'Danh sách ngày nghỉ lễ'!$B$5:$B$25)-1-VLOOKUP(P30,'Thời hạn'!$A$17:$B$23,2,0))&amp;" "&amp;"ngày","")))))</f>
        <v/>
      </c>
      <c r="Z30" s="23">
        <v>1</v>
      </c>
    </row>
    <row r="31" spans="1:26" s="24" customFormat="1" ht="15.6" x14ac:dyDescent="0.3">
      <c r="A31" s="24">
        <v>1</v>
      </c>
      <c r="B31" s="39"/>
      <c r="C31" s="33"/>
      <c r="D31" s="25"/>
      <c r="E31" s="25"/>
      <c r="F31" s="34"/>
      <c r="G31" s="34"/>
      <c r="H31" s="25"/>
      <c r="I31" s="70" t="str">
        <f>IF(C31="Trả lại đơn vụ","",IF(C31="Trả lại đơn việc","",IF(C31="Hòa giải thành","",IF(F31=0,"",EDATE(F31,VLOOKUP(C31,'Thời hạn'!$D$1:$E$10,2,0))+H31))))</f>
        <v/>
      </c>
      <c r="J31" s="59" t="str">
        <f t="shared" ca="1" si="0"/>
        <v/>
      </c>
      <c r="K31" s="25"/>
      <c r="L31" s="129"/>
      <c r="M31" s="130"/>
      <c r="N31" s="33"/>
      <c r="O31" s="34"/>
      <c r="P31" s="25"/>
      <c r="Q31" s="25"/>
      <c r="R31" s="34"/>
      <c r="S31" s="34"/>
      <c r="T31" s="137"/>
      <c r="U31" s="137"/>
      <c r="V31" s="36"/>
      <c r="W31" s="37"/>
      <c r="X31" s="71" t="str">
        <f>IF(C31="Trả lại đơn vụ","",IF(C31="Trả lại đơn việc","",IF((NETWORKDAYS(F31,G31,'Danh sách ngày nghỉ lễ'!$B$5:$B$25)-1-3)&gt;0,"Quá hạn"&amp;" "&amp;(NETWORKDAYS(F31,G31,'Danh sách ngày nghỉ lễ'!$B$5:$B$25)-1-3)&amp;" "&amp;"ngày","")))</f>
        <v/>
      </c>
      <c r="Y31" s="72" t="str">
        <f>IF(S31=0,"",IF(P31="Chuyển","",IF(P31="Nhập vào vụ khác","",IF(P31="BA",IF((S31-R31)&gt;10,"Quá hạn"&amp;" "&amp;(S31-R31-10)&amp;" "&amp;"ngày",""),IF((NETWORKDAYS(R31,S31,'Danh sách ngày nghỉ lễ'!$B$5:$B$25)-VLOOKUP(P31,'Thời hạn'!$A$17:$B$23,2,0))&gt;1,"Quá hạn"&amp;" "&amp;(NETWORKDAYS(R31,S31,'Danh sách ngày nghỉ lễ'!$B$5:$B$25)-1-VLOOKUP(P31,'Thời hạn'!$A$17:$B$23,2,0))&amp;" "&amp;"ngày","")))))</f>
        <v/>
      </c>
      <c r="Z31" s="23">
        <v>1</v>
      </c>
    </row>
    <row r="32" spans="1:26" s="24" customFormat="1" ht="15.6" x14ac:dyDescent="0.3">
      <c r="A32" s="24">
        <v>1</v>
      </c>
      <c r="B32" s="39"/>
      <c r="C32" s="33"/>
      <c r="D32" s="25"/>
      <c r="E32" s="25"/>
      <c r="F32" s="34"/>
      <c r="G32" s="34"/>
      <c r="H32" s="25"/>
      <c r="I32" s="70" t="str">
        <f>IF(C32="Trả lại đơn vụ","",IF(C32="Trả lại đơn việc","",IF(C32="Hòa giải thành","",IF(F32=0,"",EDATE(F32,VLOOKUP(C32,'Thời hạn'!$D$1:$E$10,2,0))+H32))))</f>
        <v/>
      </c>
      <c r="J32" s="59" t="str">
        <f t="shared" ca="1" si="0"/>
        <v/>
      </c>
      <c r="K32" s="25"/>
      <c r="L32" s="129"/>
      <c r="M32" s="130"/>
      <c r="N32" s="33"/>
      <c r="O32" s="34"/>
      <c r="P32" s="25"/>
      <c r="Q32" s="25"/>
      <c r="R32" s="34"/>
      <c r="S32" s="34"/>
      <c r="T32" s="137"/>
      <c r="U32" s="137"/>
      <c r="V32" s="36"/>
      <c r="W32" s="37"/>
      <c r="X32" s="71" t="str">
        <f>IF(C32="Trả lại đơn vụ","",IF(C32="Trả lại đơn việc","",IF((NETWORKDAYS(F32,G32,'Danh sách ngày nghỉ lễ'!$B$5:$B$25)-1-3)&gt;0,"Quá hạn"&amp;" "&amp;(NETWORKDAYS(F32,G32,'Danh sách ngày nghỉ lễ'!$B$5:$B$25)-1-3)&amp;" "&amp;"ngày","")))</f>
        <v/>
      </c>
      <c r="Y32" s="72" t="str">
        <f>IF(S32=0,"",IF(P32="Chuyển","",IF(P32="Nhập vào vụ khác","",IF(P32="BA",IF((S32-R32)&gt;10,"Quá hạn"&amp;" "&amp;(S32-R32-10)&amp;" "&amp;"ngày",""),IF((NETWORKDAYS(R32,S32,'Danh sách ngày nghỉ lễ'!$B$5:$B$25)-VLOOKUP(P32,'Thời hạn'!$A$17:$B$23,2,0))&gt;1,"Quá hạn"&amp;" "&amp;(NETWORKDAYS(R32,S32,'Danh sách ngày nghỉ lễ'!$B$5:$B$25)-1-VLOOKUP(P32,'Thời hạn'!$A$17:$B$23,2,0))&amp;" "&amp;"ngày","")))))</f>
        <v/>
      </c>
      <c r="Z32" s="23">
        <v>1</v>
      </c>
    </row>
    <row r="33" spans="1:26" s="24" customFormat="1" ht="15.6" x14ac:dyDescent="0.3">
      <c r="A33" s="24">
        <v>1</v>
      </c>
      <c r="B33" s="39"/>
      <c r="C33" s="33"/>
      <c r="D33" s="25"/>
      <c r="E33" s="25"/>
      <c r="F33" s="34"/>
      <c r="G33" s="34"/>
      <c r="H33" s="25"/>
      <c r="I33" s="70" t="str">
        <f>IF(C33="Trả lại đơn vụ","",IF(C33="Trả lại đơn việc","",IF(C33="Hòa giải thành","",IF(F33=0,"",EDATE(F33,VLOOKUP(C33,'Thời hạn'!$D$1:$E$10,2,0))+H33))))</f>
        <v/>
      </c>
      <c r="J33" s="59" t="str">
        <f t="shared" ca="1" si="0"/>
        <v/>
      </c>
      <c r="K33" s="25"/>
      <c r="L33" s="129"/>
      <c r="M33" s="130"/>
      <c r="N33" s="33"/>
      <c r="O33" s="34"/>
      <c r="P33" s="25"/>
      <c r="Q33" s="25"/>
      <c r="R33" s="34"/>
      <c r="S33" s="34"/>
      <c r="T33" s="137"/>
      <c r="U33" s="137"/>
      <c r="V33" s="36"/>
      <c r="W33" s="37"/>
      <c r="X33" s="71" t="str">
        <f>IF(C33="Trả lại đơn vụ","",IF(C33="Trả lại đơn việc","",IF((NETWORKDAYS(F33,G33,'Danh sách ngày nghỉ lễ'!$B$5:$B$25)-1-3)&gt;0,"Quá hạn"&amp;" "&amp;(NETWORKDAYS(F33,G33,'Danh sách ngày nghỉ lễ'!$B$5:$B$25)-1-3)&amp;" "&amp;"ngày","")))</f>
        <v/>
      </c>
      <c r="Y33" s="72" t="str">
        <f>IF(S33=0,"",IF(P33="Chuyển","",IF(P33="Nhập vào vụ khác","",IF(P33="BA",IF((S33-R33)&gt;10,"Quá hạn"&amp;" "&amp;(S33-R33-10)&amp;" "&amp;"ngày",""),IF((NETWORKDAYS(R33,S33,'Danh sách ngày nghỉ lễ'!$B$5:$B$25)-VLOOKUP(P33,'Thời hạn'!$A$17:$B$23,2,0))&gt;1,"Quá hạn"&amp;" "&amp;(NETWORKDAYS(R33,S33,'Danh sách ngày nghỉ lễ'!$B$5:$B$25)-1-VLOOKUP(P33,'Thời hạn'!$A$17:$B$23,2,0))&amp;" "&amp;"ngày","")))))</f>
        <v/>
      </c>
      <c r="Z33" s="23">
        <v>1</v>
      </c>
    </row>
    <row r="34" spans="1:26" s="24" customFormat="1" ht="15.6" x14ac:dyDescent="0.3">
      <c r="A34" s="24">
        <v>1</v>
      </c>
      <c r="B34" s="39"/>
      <c r="C34" s="33"/>
      <c r="D34" s="25"/>
      <c r="E34" s="25"/>
      <c r="F34" s="34"/>
      <c r="G34" s="34"/>
      <c r="H34" s="25"/>
      <c r="I34" s="70" t="str">
        <f>IF(C34="Trả lại đơn vụ","",IF(C34="Trả lại đơn việc","",IF(C34="Hòa giải thành","",IF(F34=0,"",EDATE(F34,VLOOKUP(C34,'Thời hạn'!$D$1:$E$10,2,0))+H34))))</f>
        <v/>
      </c>
      <c r="J34" s="59" t="str">
        <f t="shared" ca="1" si="0"/>
        <v/>
      </c>
      <c r="K34" s="25"/>
      <c r="L34" s="129"/>
      <c r="M34" s="130"/>
      <c r="N34" s="33"/>
      <c r="O34" s="34"/>
      <c r="P34" s="25"/>
      <c r="Q34" s="25"/>
      <c r="R34" s="34"/>
      <c r="S34" s="34"/>
      <c r="T34" s="137"/>
      <c r="U34" s="137"/>
      <c r="V34" s="36"/>
      <c r="W34" s="37"/>
      <c r="X34" s="71" t="str">
        <f>IF(C34="Trả lại đơn vụ","",IF(C34="Trả lại đơn việc","",IF((NETWORKDAYS(F34,G34,'Danh sách ngày nghỉ lễ'!$B$5:$B$25)-1-3)&gt;0,"Quá hạn"&amp;" "&amp;(NETWORKDAYS(F34,G34,'Danh sách ngày nghỉ lễ'!$B$5:$B$25)-1-3)&amp;" "&amp;"ngày","")))</f>
        <v/>
      </c>
      <c r="Y34" s="72" t="str">
        <f>IF(S34=0,"",IF(P34="Chuyển","",IF(P34="Nhập vào vụ khác","",IF(P34="BA",IF((S34-R34)&gt;10,"Quá hạn"&amp;" "&amp;(S34-R34-10)&amp;" "&amp;"ngày",""),IF((NETWORKDAYS(R34,S34,'Danh sách ngày nghỉ lễ'!$B$5:$B$25)-VLOOKUP(P34,'Thời hạn'!$A$17:$B$23,2,0))&gt;1,"Quá hạn"&amp;" "&amp;(NETWORKDAYS(R34,S34,'Danh sách ngày nghỉ lễ'!$B$5:$B$25)-1-VLOOKUP(P34,'Thời hạn'!$A$17:$B$23,2,0))&amp;" "&amp;"ngày","")))))</f>
        <v/>
      </c>
      <c r="Z34" s="23">
        <v>1</v>
      </c>
    </row>
    <row r="35" spans="1:26" s="24" customFormat="1" ht="15.6" x14ac:dyDescent="0.3">
      <c r="A35" s="24">
        <v>1</v>
      </c>
      <c r="B35" s="39"/>
      <c r="C35" s="33"/>
      <c r="D35" s="25"/>
      <c r="E35" s="25"/>
      <c r="F35" s="34"/>
      <c r="G35" s="34"/>
      <c r="H35" s="25"/>
      <c r="I35" s="70" t="str">
        <f>IF(C35="Trả lại đơn vụ","",IF(C35="Trả lại đơn việc","",IF(C35="Hòa giải thành","",IF(F35=0,"",EDATE(F35,VLOOKUP(C35,'Thời hạn'!$D$1:$E$10,2,0))+H35))))</f>
        <v/>
      </c>
      <c r="J35" s="59" t="str">
        <f t="shared" ca="1" si="0"/>
        <v/>
      </c>
      <c r="K35" s="25"/>
      <c r="L35" s="129"/>
      <c r="M35" s="130"/>
      <c r="N35" s="33"/>
      <c r="O35" s="34"/>
      <c r="P35" s="25"/>
      <c r="Q35" s="25"/>
      <c r="R35" s="34"/>
      <c r="S35" s="34"/>
      <c r="T35" s="137"/>
      <c r="U35" s="137"/>
      <c r="V35" s="36"/>
      <c r="W35" s="37"/>
      <c r="X35" s="71" t="str">
        <f>IF(C35="Trả lại đơn vụ","",IF(C35="Trả lại đơn việc","",IF((NETWORKDAYS(F35,G35,'Danh sách ngày nghỉ lễ'!$B$5:$B$25)-1-3)&gt;0,"Quá hạn"&amp;" "&amp;(NETWORKDAYS(F35,G35,'Danh sách ngày nghỉ lễ'!$B$5:$B$25)-1-3)&amp;" "&amp;"ngày","")))</f>
        <v/>
      </c>
      <c r="Y35" s="72" t="str">
        <f>IF(S35=0,"",IF(P35="Chuyển","",IF(P35="Nhập vào vụ khác","",IF(P35="BA",IF((S35-R35)&gt;10,"Quá hạn"&amp;" "&amp;(S35-R35-10)&amp;" "&amp;"ngày",""),IF((NETWORKDAYS(R35,S35,'Danh sách ngày nghỉ lễ'!$B$5:$B$25)-VLOOKUP(P35,'Thời hạn'!$A$17:$B$23,2,0))&gt;1,"Quá hạn"&amp;" "&amp;(NETWORKDAYS(R35,S35,'Danh sách ngày nghỉ lễ'!$B$5:$B$25)-1-VLOOKUP(P35,'Thời hạn'!$A$17:$B$23,2,0))&amp;" "&amp;"ngày","")))))</f>
        <v/>
      </c>
      <c r="Z35" s="23">
        <v>1</v>
      </c>
    </row>
    <row r="36" spans="1:26" s="24" customFormat="1" ht="15.6" x14ac:dyDescent="0.3">
      <c r="A36" s="24">
        <v>1</v>
      </c>
      <c r="B36" s="39"/>
      <c r="C36" s="33"/>
      <c r="D36" s="25"/>
      <c r="E36" s="25"/>
      <c r="F36" s="34"/>
      <c r="G36" s="34"/>
      <c r="H36" s="25"/>
      <c r="I36" s="70" t="str">
        <f>IF(C36="Trả lại đơn vụ","",IF(C36="Trả lại đơn việc","",IF(C36="Hòa giải thành","",IF(F36=0,"",EDATE(F36,VLOOKUP(C36,'Thời hạn'!$D$1:$E$10,2,0))+H36))))</f>
        <v/>
      </c>
      <c r="J36" s="59" t="str">
        <f t="shared" ca="1" si="0"/>
        <v/>
      </c>
      <c r="K36" s="25"/>
      <c r="L36" s="129"/>
      <c r="M36" s="130"/>
      <c r="N36" s="33"/>
      <c r="O36" s="34"/>
      <c r="P36" s="25"/>
      <c r="Q36" s="25"/>
      <c r="R36" s="34"/>
      <c r="S36" s="34"/>
      <c r="T36" s="137"/>
      <c r="U36" s="137"/>
      <c r="V36" s="36"/>
      <c r="W36" s="37"/>
      <c r="X36" s="71" t="str">
        <f>IF(C36="Trả lại đơn vụ","",IF(C36="Trả lại đơn việc","",IF((NETWORKDAYS(F36,G36,'Danh sách ngày nghỉ lễ'!$B$5:$B$25)-1-3)&gt;0,"Quá hạn"&amp;" "&amp;(NETWORKDAYS(F36,G36,'Danh sách ngày nghỉ lễ'!$B$5:$B$25)-1-3)&amp;" "&amp;"ngày","")))</f>
        <v/>
      </c>
      <c r="Y36" s="72" t="str">
        <f>IF(S36=0,"",IF(P36="Chuyển","",IF(P36="Nhập vào vụ khác","",IF(P36="BA",IF((S36-R36)&gt;10,"Quá hạn"&amp;" "&amp;(S36-R36-10)&amp;" "&amp;"ngày",""),IF((NETWORKDAYS(R36,S36,'Danh sách ngày nghỉ lễ'!$B$5:$B$25)-VLOOKUP(P36,'Thời hạn'!$A$17:$B$23,2,0))&gt;1,"Quá hạn"&amp;" "&amp;(NETWORKDAYS(R36,S36,'Danh sách ngày nghỉ lễ'!$B$5:$B$25)-1-VLOOKUP(P36,'Thời hạn'!$A$17:$B$23,2,0))&amp;" "&amp;"ngày","")))))</f>
        <v/>
      </c>
      <c r="Z36" s="23">
        <v>1</v>
      </c>
    </row>
    <row r="37" spans="1:26" s="24" customFormat="1" ht="15.6" x14ac:dyDescent="0.3">
      <c r="A37" s="24">
        <v>1</v>
      </c>
      <c r="B37" s="39"/>
      <c r="C37" s="33"/>
      <c r="D37" s="25"/>
      <c r="E37" s="25"/>
      <c r="F37" s="34"/>
      <c r="G37" s="34"/>
      <c r="H37" s="25"/>
      <c r="I37" s="70" t="str">
        <f>IF(C37="Trả lại đơn vụ","",IF(C37="Trả lại đơn việc","",IF(C37="Hòa giải thành","",IF(F37=0,"",EDATE(F37,VLOOKUP(C37,'Thời hạn'!$D$1:$E$10,2,0))+H37))))</f>
        <v/>
      </c>
      <c r="J37" s="59" t="str">
        <f t="shared" ca="1" si="0"/>
        <v/>
      </c>
      <c r="K37" s="25"/>
      <c r="L37" s="129"/>
      <c r="M37" s="130"/>
      <c r="N37" s="33"/>
      <c r="O37" s="34"/>
      <c r="P37" s="25"/>
      <c r="Q37" s="25"/>
      <c r="R37" s="34"/>
      <c r="S37" s="34"/>
      <c r="T37" s="137"/>
      <c r="U37" s="137"/>
      <c r="V37" s="36"/>
      <c r="W37" s="37"/>
      <c r="X37" s="71" t="str">
        <f>IF(C37="Trả lại đơn vụ","",IF(C37="Trả lại đơn việc","",IF((NETWORKDAYS(F37,G37,'Danh sách ngày nghỉ lễ'!$B$5:$B$25)-1-3)&gt;0,"Quá hạn"&amp;" "&amp;(NETWORKDAYS(F37,G37,'Danh sách ngày nghỉ lễ'!$B$5:$B$25)-1-3)&amp;" "&amp;"ngày","")))</f>
        <v/>
      </c>
      <c r="Y37" s="72" t="str">
        <f>IF(S37=0,"",IF(P37="Chuyển","",IF(P37="Nhập vào vụ khác","",IF(P37="BA",IF((S37-R37)&gt;10,"Quá hạn"&amp;" "&amp;(S37-R37-10)&amp;" "&amp;"ngày",""),IF((NETWORKDAYS(R37,S37,'Danh sách ngày nghỉ lễ'!$B$5:$B$25)-VLOOKUP(P37,'Thời hạn'!$A$17:$B$23,2,0))&gt;1,"Quá hạn"&amp;" "&amp;(NETWORKDAYS(R37,S37,'Danh sách ngày nghỉ lễ'!$B$5:$B$25)-1-VLOOKUP(P37,'Thời hạn'!$A$17:$B$23,2,0))&amp;" "&amp;"ngày","")))))</f>
        <v/>
      </c>
      <c r="Z37" s="23">
        <v>1</v>
      </c>
    </row>
    <row r="38" spans="1:26" s="24" customFormat="1" ht="15.6" x14ac:dyDescent="0.3">
      <c r="A38" s="24">
        <v>1</v>
      </c>
      <c r="B38" s="39"/>
      <c r="C38" s="33"/>
      <c r="D38" s="25"/>
      <c r="E38" s="25"/>
      <c r="F38" s="34"/>
      <c r="G38" s="34"/>
      <c r="H38" s="25"/>
      <c r="I38" s="70" t="str">
        <f>IF(C38="Trả lại đơn vụ","",IF(C38="Trả lại đơn việc","",IF(C38="Hòa giải thành","",IF(F38=0,"",EDATE(F38,VLOOKUP(C38,'Thời hạn'!$D$1:$E$10,2,0))+H38))))</f>
        <v/>
      </c>
      <c r="J38" s="59" t="str">
        <f t="shared" ca="1" si="0"/>
        <v/>
      </c>
      <c r="K38" s="25"/>
      <c r="L38" s="129"/>
      <c r="M38" s="130"/>
      <c r="N38" s="33"/>
      <c r="O38" s="34"/>
      <c r="P38" s="25"/>
      <c r="Q38" s="25"/>
      <c r="R38" s="34"/>
      <c r="S38" s="34"/>
      <c r="T38" s="137"/>
      <c r="U38" s="137"/>
      <c r="V38" s="36"/>
      <c r="W38" s="37"/>
      <c r="X38" s="71" t="str">
        <f>IF(C38="Trả lại đơn vụ","",IF(C38="Trả lại đơn việc","",IF((NETWORKDAYS(F38,G38,'Danh sách ngày nghỉ lễ'!$B$5:$B$25)-1-3)&gt;0,"Quá hạn"&amp;" "&amp;(NETWORKDAYS(F38,G38,'Danh sách ngày nghỉ lễ'!$B$5:$B$25)-1-3)&amp;" "&amp;"ngày","")))</f>
        <v/>
      </c>
      <c r="Y38" s="72" t="str">
        <f>IF(S38=0,"",IF(P38="Chuyển","",IF(P38="Nhập vào vụ khác","",IF(P38="BA",IF((S38-R38)&gt;10,"Quá hạn"&amp;" "&amp;(S38-R38-10)&amp;" "&amp;"ngày",""),IF((NETWORKDAYS(R38,S38,'Danh sách ngày nghỉ lễ'!$B$5:$B$25)-VLOOKUP(P38,'Thời hạn'!$A$17:$B$23,2,0))&gt;1,"Quá hạn"&amp;" "&amp;(NETWORKDAYS(R38,S38,'Danh sách ngày nghỉ lễ'!$B$5:$B$25)-1-VLOOKUP(P38,'Thời hạn'!$A$17:$B$23,2,0))&amp;" "&amp;"ngày","")))))</f>
        <v/>
      </c>
      <c r="Z38" s="23">
        <v>1</v>
      </c>
    </row>
    <row r="39" spans="1:26" s="24" customFormat="1" ht="15.6" x14ac:dyDescent="0.3">
      <c r="A39" s="24">
        <v>1</v>
      </c>
      <c r="B39" s="39"/>
      <c r="C39" s="33"/>
      <c r="D39" s="25"/>
      <c r="E39" s="25"/>
      <c r="F39" s="34"/>
      <c r="G39" s="34"/>
      <c r="H39" s="25"/>
      <c r="I39" s="70" t="str">
        <f>IF(C39="Trả lại đơn vụ","",IF(C39="Trả lại đơn việc","",IF(C39="Hòa giải thành","",IF(F39=0,"",EDATE(F39,VLOOKUP(C39,'Thời hạn'!$D$1:$E$10,2,0))+H39))))</f>
        <v/>
      </c>
      <c r="J39" s="59" t="str">
        <f t="shared" ca="1" si="0"/>
        <v/>
      </c>
      <c r="K39" s="25"/>
      <c r="L39" s="129"/>
      <c r="M39" s="130"/>
      <c r="N39" s="33"/>
      <c r="O39" s="34"/>
      <c r="P39" s="25"/>
      <c r="Q39" s="25"/>
      <c r="R39" s="34"/>
      <c r="S39" s="34"/>
      <c r="T39" s="137"/>
      <c r="U39" s="137"/>
      <c r="V39" s="36"/>
      <c r="W39" s="37"/>
      <c r="X39" s="71" t="str">
        <f>IF(C39="Trả lại đơn vụ","",IF(C39="Trả lại đơn việc","",IF((NETWORKDAYS(F39,G39,'Danh sách ngày nghỉ lễ'!$B$5:$B$25)-1-3)&gt;0,"Quá hạn"&amp;" "&amp;(NETWORKDAYS(F39,G39,'Danh sách ngày nghỉ lễ'!$B$5:$B$25)-1-3)&amp;" "&amp;"ngày","")))</f>
        <v/>
      </c>
      <c r="Y39" s="72" t="str">
        <f>IF(S39=0,"",IF(P39="Chuyển","",IF(P39="Nhập vào vụ khác","",IF(P39="BA",IF((S39-R39)&gt;10,"Quá hạn"&amp;" "&amp;(S39-R39-10)&amp;" "&amp;"ngày",""),IF((NETWORKDAYS(R39,S39,'Danh sách ngày nghỉ lễ'!$B$5:$B$25)-VLOOKUP(P39,'Thời hạn'!$A$17:$B$23,2,0))&gt;1,"Quá hạn"&amp;" "&amp;(NETWORKDAYS(R39,S39,'Danh sách ngày nghỉ lễ'!$B$5:$B$25)-1-VLOOKUP(P39,'Thời hạn'!$A$17:$B$23,2,0))&amp;" "&amp;"ngày","")))))</f>
        <v/>
      </c>
      <c r="Z39" s="23">
        <v>1</v>
      </c>
    </row>
    <row r="40" spans="1:26" s="24" customFormat="1" ht="15.6" x14ac:dyDescent="0.3">
      <c r="A40" s="24">
        <v>1</v>
      </c>
      <c r="B40" s="39"/>
      <c r="C40" s="33"/>
      <c r="D40" s="25"/>
      <c r="E40" s="25"/>
      <c r="F40" s="34"/>
      <c r="G40" s="34"/>
      <c r="H40" s="25"/>
      <c r="I40" s="70" t="str">
        <f>IF(C40="Trả lại đơn vụ","",IF(C40="Trả lại đơn việc","",IF(C40="Hòa giải thành","",IF(F40=0,"",EDATE(F40,VLOOKUP(C40,'Thời hạn'!$D$1:$E$10,2,0))+H40))))</f>
        <v/>
      </c>
      <c r="J40" s="59" t="str">
        <f t="shared" ca="1" si="0"/>
        <v/>
      </c>
      <c r="K40" s="25"/>
      <c r="L40" s="129"/>
      <c r="M40" s="130"/>
      <c r="N40" s="33"/>
      <c r="O40" s="34"/>
      <c r="P40" s="25"/>
      <c r="Q40" s="25"/>
      <c r="R40" s="34"/>
      <c r="S40" s="34"/>
      <c r="T40" s="137"/>
      <c r="U40" s="137"/>
      <c r="V40" s="36"/>
      <c r="W40" s="37"/>
      <c r="X40" s="71" t="str">
        <f>IF(C40="Trả lại đơn vụ","",IF(C40="Trả lại đơn việc","",IF((NETWORKDAYS(F40,G40,'Danh sách ngày nghỉ lễ'!$B$5:$B$25)-1-3)&gt;0,"Quá hạn"&amp;" "&amp;(NETWORKDAYS(F40,G40,'Danh sách ngày nghỉ lễ'!$B$5:$B$25)-1-3)&amp;" "&amp;"ngày","")))</f>
        <v/>
      </c>
      <c r="Y40" s="72" t="str">
        <f>IF(S40=0,"",IF(P40="Chuyển","",IF(P40="Nhập vào vụ khác","",IF(P40="BA",IF((S40-R40)&gt;10,"Quá hạn"&amp;" "&amp;(S40-R40-10)&amp;" "&amp;"ngày",""),IF((NETWORKDAYS(R40,S40,'Danh sách ngày nghỉ lễ'!$B$5:$B$25)-VLOOKUP(P40,'Thời hạn'!$A$17:$B$23,2,0))&gt;1,"Quá hạn"&amp;" "&amp;(NETWORKDAYS(R40,S40,'Danh sách ngày nghỉ lễ'!$B$5:$B$25)-1-VLOOKUP(P40,'Thời hạn'!$A$17:$B$23,2,0))&amp;" "&amp;"ngày","")))))</f>
        <v/>
      </c>
      <c r="Z40" s="23">
        <v>1</v>
      </c>
    </row>
    <row r="41" spans="1:26" s="24" customFormat="1" ht="15.6" x14ac:dyDescent="0.3">
      <c r="A41" s="24">
        <v>1</v>
      </c>
      <c r="B41" s="39"/>
      <c r="C41" s="33"/>
      <c r="D41" s="25"/>
      <c r="E41" s="25"/>
      <c r="F41" s="34"/>
      <c r="G41" s="34"/>
      <c r="H41" s="25"/>
      <c r="I41" s="70" t="str">
        <f>IF(C41="Trả lại đơn vụ","",IF(C41="Trả lại đơn việc","",IF(C41="Hòa giải thành","",IF(F41=0,"",EDATE(F41,VLOOKUP(C41,'Thời hạn'!$D$1:$E$10,2,0))+H41))))</f>
        <v/>
      </c>
      <c r="J41" s="59" t="str">
        <f t="shared" ca="1" si="0"/>
        <v/>
      </c>
      <c r="K41" s="25"/>
      <c r="L41" s="129"/>
      <c r="M41" s="130"/>
      <c r="N41" s="33"/>
      <c r="O41" s="34"/>
      <c r="P41" s="25"/>
      <c r="Q41" s="25"/>
      <c r="R41" s="34"/>
      <c r="S41" s="34"/>
      <c r="T41" s="137"/>
      <c r="U41" s="137"/>
      <c r="V41" s="36"/>
      <c r="W41" s="37"/>
      <c r="X41" s="71" t="str">
        <f>IF(C41="Trả lại đơn vụ","",IF(C41="Trả lại đơn việc","",IF((NETWORKDAYS(F41,G41,'Danh sách ngày nghỉ lễ'!$B$5:$B$25)-1-3)&gt;0,"Quá hạn"&amp;" "&amp;(NETWORKDAYS(F41,G41,'Danh sách ngày nghỉ lễ'!$B$5:$B$25)-1-3)&amp;" "&amp;"ngày","")))</f>
        <v/>
      </c>
      <c r="Y41" s="72" t="str">
        <f>IF(S41=0,"",IF(P41="Chuyển","",IF(P41="Nhập vào vụ khác","",IF(P41="BA",IF((S41-R41)&gt;10,"Quá hạn"&amp;" "&amp;(S41-R41-10)&amp;" "&amp;"ngày",""),IF((NETWORKDAYS(R41,S41,'Danh sách ngày nghỉ lễ'!$B$5:$B$25)-VLOOKUP(P41,'Thời hạn'!$A$17:$B$23,2,0))&gt;1,"Quá hạn"&amp;" "&amp;(NETWORKDAYS(R41,S41,'Danh sách ngày nghỉ lễ'!$B$5:$B$25)-1-VLOOKUP(P41,'Thời hạn'!$A$17:$B$23,2,0))&amp;" "&amp;"ngày","")))))</f>
        <v/>
      </c>
      <c r="Z41" s="23">
        <v>1</v>
      </c>
    </row>
    <row r="42" spans="1:26" s="24" customFormat="1" ht="15.6" x14ac:dyDescent="0.3">
      <c r="A42" s="24">
        <v>1</v>
      </c>
      <c r="B42" s="39"/>
      <c r="C42" s="33"/>
      <c r="D42" s="25"/>
      <c r="E42" s="25"/>
      <c r="F42" s="34"/>
      <c r="G42" s="34"/>
      <c r="H42" s="25"/>
      <c r="I42" s="70" t="str">
        <f>IF(C42="Trả lại đơn vụ","",IF(C42="Trả lại đơn việc","",IF(C42="Hòa giải thành","",IF(F42=0,"",EDATE(F42,VLOOKUP(C42,'Thời hạn'!$D$1:$E$10,2,0))+H42))))</f>
        <v/>
      </c>
      <c r="J42" s="59" t="str">
        <f t="shared" ca="1" si="0"/>
        <v/>
      </c>
      <c r="K42" s="25"/>
      <c r="L42" s="129"/>
      <c r="M42" s="130"/>
      <c r="N42" s="33"/>
      <c r="O42" s="34"/>
      <c r="P42" s="25"/>
      <c r="Q42" s="25"/>
      <c r="R42" s="34"/>
      <c r="S42" s="34"/>
      <c r="T42" s="137"/>
      <c r="U42" s="137"/>
      <c r="V42" s="36"/>
      <c r="W42" s="37"/>
      <c r="X42" s="71" t="str">
        <f>IF(C42="Trả lại đơn vụ","",IF(C42="Trả lại đơn việc","",IF((NETWORKDAYS(F42,G42,'Danh sách ngày nghỉ lễ'!$B$5:$B$25)-1-3)&gt;0,"Quá hạn"&amp;" "&amp;(NETWORKDAYS(F42,G42,'Danh sách ngày nghỉ lễ'!$B$5:$B$25)-1-3)&amp;" "&amp;"ngày","")))</f>
        <v/>
      </c>
      <c r="Y42" s="72" t="str">
        <f>IF(S42=0,"",IF(P42="Chuyển","",IF(P42="Nhập vào vụ khác","",IF(P42="BA",IF((S42-R42)&gt;10,"Quá hạn"&amp;" "&amp;(S42-R42-10)&amp;" "&amp;"ngày",""),IF((NETWORKDAYS(R42,S42,'Danh sách ngày nghỉ lễ'!$B$5:$B$25)-VLOOKUP(P42,'Thời hạn'!$A$17:$B$23,2,0))&gt;1,"Quá hạn"&amp;" "&amp;(NETWORKDAYS(R42,S42,'Danh sách ngày nghỉ lễ'!$B$5:$B$25)-1-VLOOKUP(P42,'Thời hạn'!$A$17:$B$23,2,0))&amp;" "&amp;"ngày","")))))</f>
        <v/>
      </c>
      <c r="Z42" s="23">
        <v>1</v>
      </c>
    </row>
    <row r="43" spans="1:26" s="24" customFormat="1" ht="15.6" x14ac:dyDescent="0.3">
      <c r="A43" s="24">
        <v>1</v>
      </c>
      <c r="B43" s="39"/>
      <c r="C43" s="33"/>
      <c r="D43" s="25"/>
      <c r="E43" s="25"/>
      <c r="F43" s="34"/>
      <c r="G43" s="34"/>
      <c r="H43" s="25"/>
      <c r="I43" s="70" t="str">
        <f>IF(C43="Trả lại đơn vụ","",IF(C43="Trả lại đơn việc","",IF(C43="Hòa giải thành","",IF(F43=0,"",EDATE(F43,VLOOKUP(C43,'Thời hạn'!$D$1:$E$10,2,0))+H43))))</f>
        <v/>
      </c>
      <c r="J43" s="59" t="str">
        <f t="shared" ca="1" si="0"/>
        <v/>
      </c>
      <c r="K43" s="25"/>
      <c r="L43" s="129"/>
      <c r="M43" s="130"/>
      <c r="N43" s="33"/>
      <c r="O43" s="34"/>
      <c r="P43" s="25"/>
      <c r="Q43" s="25"/>
      <c r="R43" s="34"/>
      <c r="S43" s="34"/>
      <c r="T43" s="137"/>
      <c r="U43" s="137"/>
      <c r="V43" s="36"/>
      <c r="W43" s="37"/>
      <c r="X43" s="71" t="str">
        <f>IF(C43="Trả lại đơn vụ","",IF(C43="Trả lại đơn việc","",IF((NETWORKDAYS(F43,G43,'Danh sách ngày nghỉ lễ'!$B$5:$B$25)-1-3)&gt;0,"Quá hạn"&amp;" "&amp;(NETWORKDAYS(F43,G43,'Danh sách ngày nghỉ lễ'!$B$5:$B$25)-1-3)&amp;" "&amp;"ngày","")))</f>
        <v/>
      </c>
      <c r="Y43" s="72" t="str">
        <f>IF(S43=0,"",IF(P43="Chuyển","",IF(P43="Nhập vào vụ khác","",IF(P43="BA",IF((S43-R43)&gt;10,"Quá hạn"&amp;" "&amp;(S43-R43-10)&amp;" "&amp;"ngày",""),IF((NETWORKDAYS(R43,S43,'Danh sách ngày nghỉ lễ'!$B$5:$B$25)-VLOOKUP(P43,'Thời hạn'!$A$17:$B$23,2,0))&gt;1,"Quá hạn"&amp;" "&amp;(NETWORKDAYS(R43,S43,'Danh sách ngày nghỉ lễ'!$B$5:$B$25)-1-VLOOKUP(P43,'Thời hạn'!$A$17:$B$23,2,0))&amp;" "&amp;"ngày","")))))</f>
        <v/>
      </c>
      <c r="Z43" s="23">
        <v>1</v>
      </c>
    </row>
    <row r="44" spans="1:26" s="24" customFormat="1" ht="15.6" x14ac:dyDescent="0.3">
      <c r="A44" s="24">
        <v>1</v>
      </c>
      <c r="B44" s="39"/>
      <c r="C44" s="33"/>
      <c r="D44" s="25"/>
      <c r="E44" s="25"/>
      <c r="F44" s="34"/>
      <c r="G44" s="34"/>
      <c r="H44" s="25"/>
      <c r="I44" s="70" t="str">
        <f>IF(C44="Trả lại đơn vụ","",IF(C44="Trả lại đơn việc","",IF(C44="Hòa giải thành","",IF(F44=0,"",EDATE(F44,VLOOKUP(C44,'Thời hạn'!$D$1:$E$10,2,0))+H44))))</f>
        <v/>
      </c>
      <c r="J44" s="59" t="str">
        <f t="shared" ca="1" si="0"/>
        <v/>
      </c>
      <c r="K44" s="25"/>
      <c r="L44" s="129"/>
      <c r="M44" s="130"/>
      <c r="N44" s="33"/>
      <c r="O44" s="34"/>
      <c r="P44" s="25"/>
      <c r="Q44" s="25"/>
      <c r="R44" s="34"/>
      <c r="S44" s="34"/>
      <c r="T44" s="137"/>
      <c r="U44" s="137"/>
      <c r="V44" s="36"/>
      <c r="W44" s="37"/>
      <c r="X44" s="71" t="str">
        <f>IF(C44="Trả lại đơn vụ","",IF(C44="Trả lại đơn việc","",IF((NETWORKDAYS(F44,G44,'Danh sách ngày nghỉ lễ'!$B$5:$B$25)-1-3)&gt;0,"Quá hạn"&amp;" "&amp;(NETWORKDAYS(F44,G44,'Danh sách ngày nghỉ lễ'!$B$5:$B$25)-1-3)&amp;" "&amp;"ngày","")))</f>
        <v/>
      </c>
      <c r="Y44" s="72" t="str">
        <f>IF(S44=0,"",IF(P44="Chuyển","",IF(P44="Nhập vào vụ khác","",IF(P44="BA",IF((S44-R44)&gt;10,"Quá hạn"&amp;" "&amp;(S44-R44-10)&amp;" "&amp;"ngày",""),IF((NETWORKDAYS(R44,S44,'Danh sách ngày nghỉ lễ'!$B$5:$B$25)-VLOOKUP(P44,'Thời hạn'!$A$17:$B$23,2,0))&gt;1,"Quá hạn"&amp;" "&amp;(NETWORKDAYS(R44,S44,'Danh sách ngày nghỉ lễ'!$B$5:$B$25)-1-VLOOKUP(P44,'Thời hạn'!$A$17:$B$23,2,0))&amp;" "&amp;"ngày","")))))</f>
        <v/>
      </c>
      <c r="Z44" s="23">
        <v>1</v>
      </c>
    </row>
    <row r="45" spans="1:26" s="24" customFormat="1" ht="15.6" x14ac:dyDescent="0.3">
      <c r="A45" s="24">
        <v>1</v>
      </c>
      <c r="B45" s="39"/>
      <c r="C45" s="33"/>
      <c r="D45" s="25"/>
      <c r="E45" s="25"/>
      <c r="F45" s="34"/>
      <c r="G45" s="34"/>
      <c r="H45" s="25"/>
      <c r="I45" s="70" t="str">
        <f>IF(C45="Trả lại đơn vụ","",IF(C45="Trả lại đơn việc","",IF(C45="Hòa giải thành","",IF(F45=0,"",EDATE(F45,VLOOKUP(C45,'Thời hạn'!$D$1:$E$10,2,0))+H45))))</f>
        <v/>
      </c>
      <c r="J45" s="59" t="str">
        <f t="shared" ca="1" si="0"/>
        <v/>
      </c>
      <c r="K45" s="25"/>
      <c r="L45" s="129"/>
      <c r="M45" s="130"/>
      <c r="N45" s="33"/>
      <c r="O45" s="34"/>
      <c r="P45" s="25"/>
      <c r="Q45" s="25"/>
      <c r="R45" s="34"/>
      <c r="S45" s="34"/>
      <c r="T45" s="137"/>
      <c r="U45" s="137"/>
      <c r="V45" s="36"/>
      <c r="W45" s="37"/>
      <c r="X45" s="71" t="str">
        <f>IF(C45="Trả lại đơn vụ","",IF(C45="Trả lại đơn việc","",IF((NETWORKDAYS(F45,G45,'Danh sách ngày nghỉ lễ'!$B$5:$B$25)-1-3)&gt;0,"Quá hạn"&amp;" "&amp;(NETWORKDAYS(F45,G45,'Danh sách ngày nghỉ lễ'!$B$5:$B$25)-1-3)&amp;" "&amp;"ngày","")))</f>
        <v/>
      </c>
      <c r="Y45" s="72" t="str">
        <f>IF(S45=0,"",IF(P45="Chuyển","",IF(P45="Nhập vào vụ khác","",IF(P45="BA",IF((S45-R45)&gt;10,"Quá hạn"&amp;" "&amp;(S45-R45-10)&amp;" "&amp;"ngày",""),IF((NETWORKDAYS(R45,S45,'Danh sách ngày nghỉ lễ'!$B$5:$B$25)-VLOOKUP(P45,'Thời hạn'!$A$17:$B$23,2,0))&gt;1,"Quá hạn"&amp;" "&amp;(NETWORKDAYS(R45,S45,'Danh sách ngày nghỉ lễ'!$B$5:$B$25)-1-VLOOKUP(P45,'Thời hạn'!$A$17:$B$23,2,0))&amp;" "&amp;"ngày","")))))</f>
        <v/>
      </c>
      <c r="Z45" s="23">
        <v>1</v>
      </c>
    </row>
    <row r="46" spans="1:26" s="24" customFormat="1" ht="15.6" x14ac:dyDescent="0.3">
      <c r="A46" s="24">
        <v>1</v>
      </c>
      <c r="B46" s="39"/>
      <c r="C46" s="33"/>
      <c r="D46" s="25"/>
      <c r="E46" s="25"/>
      <c r="F46" s="34"/>
      <c r="G46" s="34"/>
      <c r="H46" s="25"/>
      <c r="I46" s="70" t="str">
        <f>IF(C46="Trả lại đơn vụ","",IF(C46="Trả lại đơn việc","",IF(C46="Hòa giải thành","",IF(F46=0,"",EDATE(F46,VLOOKUP(C46,'Thời hạn'!$D$1:$E$10,2,0))+H46))))</f>
        <v/>
      </c>
      <c r="J46" s="59" t="str">
        <f t="shared" ca="1" si="0"/>
        <v/>
      </c>
      <c r="K46" s="25"/>
      <c r="L46" s="129"/>
      <c r="M46" s="130"/>
      <c r="N46" s="33"/>
      <c r="O46" s="34"/>
      <c r="P46" s="25"/>
      <c r="Q46" s="25"/>
      <c r="R46" s="34"/>
      <c r="S46" s="34"/>
      <c r="T46" s="137"/>
      <c r="U46" s="137"/>
      <c r="V46" s="36"/>
      <c r="W46" s="37"/>
      <c r="X46" s="71" t="str">
        <f>IF(C46="Trả lại đơn vụ","",IF(C46="Trả lại đơn việc","",IF((NETWORKDAYS(F46,G46,'Danh sách ngày nghỉ lễ'!$B$5:$B$25)-1-3)&gt;0,"Quá hạn"&amp;" "&amp;(NETWORKDAYS(F46,G46,'Danh sách ngày nghỉ lễ'!$B$5:$B$25)-1-3)&amp;" "&amp;"ngày","")))</f>
        <v/>
      </c>
      <c r="Y46" s="72" t="str">
        <f>IF(S46=0,"",IF(P46="Chuyển","",IF(P46="Nhập vào vụ khác","",IF(P46="BA",IF((S46-R46)&gt;10,"Quá hạn"&amp;" "&amp;(S46-R46-10)&amp;" "&amp;"ngày",""),IF((NETWORKDAYS(R46,S46,'Danh sách ngày nghỉ lễ'!$B$5:$B$25)-VLOOKUP(P46,'Thời hạn'!$A$17:$B$23,2,0))&gt;1,"Quá hạn"&amp;" "&amp;(NETWORKDAYS(R46,S46,'Danh sách ngày nghỉ lễ'!$B$5:$B$25)-1-VLOOKUP(P46,'Thời hạn'!$A$17:$B$23,2,0))&amp;" "&amp;"ngày","")))))</f>
        <v/>
      </c>
      <c r="Z46" s="23">
        <v>1</v>
      </c>
    </row>
    <row r="47" spans="1:26" s="24" customFormat="1" ht="15.6" x14ac:dyDescent="0.3">
      <c r="A47" s="24">
        <v>1</v>
      </c>
      <c r="B47" s="39"/>
      <c r="C47" s="33"/>
      <c r="D47" s="25"/>
      <c r="E47" s="25"/>
      <c r="F47" s="34"/>
      <c r="G47" s="34"/>
      <c r="H47" s="25"/>
      <c r="I47" s="70" t="str">
        <f>IF(C47="Trả lại đơn vụ","",IF(C47="Trả lại đơn việc","",IF(C47="Hòa giải thành","",IF(F47=0,"",EDATE(F47,VLOOKUP(C47,'Thời hạn'!$D$1:$E$10,2,0))+H47))))</f>
        <v/>
      </c>
      <c r="J47" s="59" t="str">
        <f t="shared" ca="1" si="0"/>
        <v/>
      </c>
      <c r="K47" s="25"/>
      <c r="L47" s="129"/>
      <c r="M47" s="130"/>
      <c r="N47" s="33"/>
      <c r="O47" s="34"/>
      <c r="P47" s="25"/>
      <c r="Q47" s="25"/>
      <c r="R47" s="34"/>
      <c r="S47" s="34"/>
      <c r="T47" s="137"/>
      <c r="U47" s="137"/>
      <c r="V47" s="36"/>
      <c r="W47" s="37"/>
      <c r="X47" s="71" t="str">
        <f>IF(C47="Trả lại đơn vụ","",IF(C47="Trả lại đơn việc","",IF((NETWORKDAYS(F47,G47,'Danh sách ngày nghỉ lễ'!$B$5:$B$25)-1-3)&gt;0,"Quá hạn"&amp;" "&amp;(NETWORKDAYS(F47,G47,'Danh sách ngày nghỉ lễ'!$B$5:$B$25)-1-3)&amp;" "&amp;"ngày","")))</f>
        <v/>
      </c>
      <c r="Y47" s="72" t="str">
        <f>IF(S47=0,"",IF(P47="Chuyển","",IF(P47="Nhập vào vụ khác","",IF(P47="BA",IF((S47-R47)&gt;10,"Quá hạn"&amp;" "&amp;(S47-R47-10)&amp;" "&amp;"ngày",""),IF((NETWORKDAYS(R47,S47,'Danh sách ngày nghỉ lễ'!$B$5:$B$25)-VLOOKUP(P47,'Thời hạn'!$A$17:$B$23,2,0))&gt;1,"Quá hạn"&amp;" "&amp;(NETWORKDAYS(R47,S47,'Danh sách ngày nghỉ lễ'!$B$5:$B$25)-1-VLOOKUP(P47,'Thời hạn'!$A$17:$B$23,2,0))&amp;" "&amp;"ngày","")))))</f>
        <v/>
      </c>
      <c r="Z47" s="23">
        <v>1</v>
      </c>
    </row>
    <row r="48" spans="1:26" s="24" customFormat="1" ht="15.6" x14ac:dyDescent="0.3">
      <c r="A48" s="24">
        <v>1</v>
      </c>
      <c r="B48" s="39"/>
      <c r="C48" s="33"/>
      <c r="D48" s="25"/>
      <c r="E48" s="25"/>
      <c r="F48" s="34"/>
      <c r="G48" s="34"/>
      <c r="H48" s="25"/>
      <c r="I48" s="70" t="str">
        <f>IF(C48="Trả lại đơn vụ","",IF(C48="Trả lại đơn việc","",IF(C48="Hòa giải thành","",IF(F48=0,"",EDATE(F48,VLOOKUP(C48,'Thời hạn'!$D$1:$E$10,2,0))+H48))))</f>
        <v/>
      </c>
      <c r="J48" s="59" t="str">
        <f t="shared" ca="1" si="0"/>
        <v/>
      </c>
      <c r="K48" s="25"/>
      <c r="L48" s="129"/>
      <c r="M48" s="130"/>
      <c r="N48" s="33"/>
      <c r="O48" s="34"/>
      <c r="P48" s="25"/>
      <c r="Q48" s="25"/>
      <c r="R48" s="34"/>
      <c r="S48" s="34"/>
      <c r="T48" s="137"/>
      <c r="U48" s="137"/>
      <c r="V48" s="36"/>
      <c r="W48" s="37"/>
      <c r="X48" s="71" t="str">
        <f>IF(C48="Trả lại đơn vụ","",IF(C48="Trả lại đơn việc","",IF((NETWORKDAYS(F48,G48,'Danh sách ngày nghỉ lễ'!$B$5:$B$25)-1-3)&gt;0,"Quá hạn"&amp;" "&amp;(NETWORKDAYS(F48,G48,'Danh sách ngày nghỉ lễ'!$B$5:$B$25)-1-3)&amp;" "&amp;"ngày","")))</f>
        <v/>
      </c>
      <c r="Y48" s="72" t="str">
        <f>IF(S48=0,"",IF(P48="Chuyển","",IF(P48="Nhập vào vụ khác","",IF(P48="BA",IF((S48-R48)&gt;10,"Quá hạn"&amp;" "&amp;(S48-R48-10)&amp;" "&amp;"ngày",""),IF((NETWORKDAYS(R48,S48,'Danh sách ngày nghỉ lễ'!$B$5:$B$25)-VLOOKUP(P48,'Thời hạn'!$A$17:$B$23,2,0))&gt;1,"Quá hạn"&amp;" "&amp;(NETWORKDAYS(R48,S48,'Danh sách ngày nghỉ lễ'!$B$5:$B$25)-1-VLOOKUP(P48,'Thời hạn'!$A$17:$B$23,2,0))&amp;" "&amp;"ngày","")))))</f>
        <v/>
      </c>
      <c r="Z48" s="23">
        <v>1</v>
      </c>
    </row>
    <row r="49" spans="1:26" s="24" customFormat="1" ht="15.6" x14ac:dyDescent="0.3">
      <c r="A49" s="24">
        <v>1</v>
      </c>
      <c r="B49" s="39"/>
      <c r="C49" s="33"/>
      <c r="D49" s="25"/>
      <c r="E49" s="25"/>
      <c r="F49" s="34"/>
      <c r="G49" s="34"/>
      <c r="H49" s="25"/>
      <c r="I49" s="70" t="str">
        <f>IF(C49="Trả lại đơn vụ","",IF(C49="Trả lại đơn việc","",IF(C49="Hòa giải thành","",IF(F49=0,"",EDATE(F49,VLOOKUP(C49,'Thời hạn'!$D$1:$E$10,2,0))+H49))))</f>
        <v/>
      </c>
      <c r="J49" s="59" t="str">
        <f t="shared" ca="1" si="0"/>
        <v/>
      </c>
      <c r="K49" s="25"/>
      <c r="L49" s="129"/>
      <c r="M49" s="130"/>
      <c r="N49" s="33"/>
      <c r="O49" s="34"/>
      <c r="P49" s="25"/>
      <c r="Q49" s="25"/>
      <c r="R49" s="34"/>
      <c r="S49" s="34"/>
      <c r="T49" s="137"/>
      <c r="U49" s="137"/>
      <c r="V49" s="36"/>
      <c r="W49" s="37"/>
      <c r="X49" s="71" t="str">
        <f>IF(C49="Trả lại đơn vụ","",IF(C49="Trả lại đơn việc","",IF((NETWORKDAYS(F49,G49,'Danh sách ngày nghỉ lễ'!$B$5:$B$25)-1-3)&gt;0,"Quá hạn"&amp;" "&amp;(NETWORKDAYS(F49,G49,'Danh sách ngày nghỉ lễ'!$B$5:$B$25)-1-3)&amp;" "&amp;"ngày","")))</f>
        <v/>
      </c>
      <c r="Y49" s="72" t="str">
        <f>IF(S49=0,"",IF(P49="Chuyển","",IF(P49="Nhập vào vụ khác","",IF(P49="BA",IF((S49-R49)&gt;10,"Quá hạn"&amp;" "&amp;(S49-R49-10)&amp;" "&amp;"ngày",""),IF((NETWORKDAYS(R49,S49,'Danh sách ngày nghỉ lễ'!$B$5:$B$25)-VLOOKUP(P49,'Thời hạn'!$A$17:$B$23,2,0))&gt;1,"Quá hạn"&amp;" "&amp;(NETWORKDAYS(R49,S49,'Danh sách ngày nghỉ lễ'!$B$5:$B$25)-1-VLOOKUP(P49,'Thời hạn'!$A$17:$B$23,2,0))&amp;" "&amp;"ngày","")))))</f>
        <v/>
      </c>
      <c r="Z49" s="23">
        <v>1</v>
      </c>
    </row>
    <row r="50" spans="1:26" s="24" customFormat="1" ht="15.6" x14ac:dyDescent="0.3">
      <c r="A50" s="24">
        <v>1</v>
      </c>
      <c r="B50" s="39"/>
      <c r="C50" s="33"/>
      <c r="D50" s="25"/>
      <c r="E50" s="25"/>
      <c r="F50" s="34"/>
      <c r="G50" s="34"/>
      <c r="H50" s="25"/>
      <c r="I50" s="70" t="str">
        <f>IF(C50="Trả lại đơn vụ","",IF(C50="Trả lại đơn việc","",IF(C50="Hòa giải thành","",IF(F50=0,"",EDATE(F50,VLOOKUP(C50,'Thời hạn'!$D$1:$E$10,2,0))+H50))))</f>
        <v/>
      </c>
      <c r="J50" s="59" t="str">
        <f t="shared" ca="1" si="0"/>
        <v/>
      </c>
      <c r="K50" s="25"/>
      <c r="L50" s="129"/>
      <c r="M50" s="130"/>
      <c r="N50" s="33"/>
      <c r="O50" s="34"/>
      <c r="P50" s="25"/>
      <c r="Q50" s="25"/>
      <c r="R50" s="34"/>
      <c r="S50" s="34"/>
      <c r="T50" s="137"/>
      <c r="U50" s="137"/>
      <c r="V50" s="36"/>
      <c r="W50" s="37"/>
      <c r="X50" s="71" t="str">
        <f>IF(C50="Trả lại đơn vụ","",IF(C50="Trả lại đơn việc","",IF((NETWORKDAYS(F50,G50,'Danh sách ngày nghỉ lễ'!$B$5:$B$25)-1-3)&gt;0,"Quá hạn"&amp;" "&amp;(NETWORKDAYS(F50,G50,'Danh sách ngày nghỉ lễ'!$B$5:$B$25)-1-3)&amp;" "&amp;"ngày","")))</f>
        <v/>
      </c>
      <c r="Y50" s="72" t="str">
        <f>IF(S50=0,"",IF(P50="Chuyển","",IF(P50="Nhập vào vụ khác","",IF(P50="BA",IF((S50-R50)&gt;10,"Quá hạn"&amp;" "&amp;(S50-R50-10)&amp;" "&amp;"ngày",""),IF((NETWORKDAYS(R50,S50,'Danh sách ngày nghỉ lễ'!$B$5:$B$25)-VLOOKUP(P50,'Thời hạn'!$A$17:$B$23,2,0))&gt;1,"Quá hạn"&amp;" "&amp;(NETWORKDAYS(R50,S50,'Danh sách ngày nghỉ lễ'!$B$5:$B$25)-1-VLOOKUP(P50,'Thời hạn'!$A$17:$B$23,2,0))&amp;" "&amp;"ngày","")))))</f>
        <v/>
      </c>
      <c r="Z50" s="23">
        <v>1</v>
      </c>
    </row>
    <row r="51" spans="1:26" s="24" customFormat="1" ht="15.6" x14ac:dyDescent="0.3">
      <c r="A51" s="24">
        <v>1</v>
      </c>
      <c r="B51" s="39"/>
      <c r="C51" s="33"/>
      <c r="D51" s="25"/>
      <c r="E51" s="25"/>
      <c r="F51" s="34"/>
      <c r="G51" s="34"/>
      <c r="H51" s="25"/>
      <c r="I51" s="70" t="str">
        <f>IF(C51="Trả lại đơn vụ","",IF(C51="Trả lại đơn việc","",IF(C51="Hòa giải thành","",IF(F51=0,"",EDATE(F51,VLOOKUP(C51,'Thời hạn'!$D$1:$E$10,2,0))+H51))))</f>
        <v/>
      </c>
      <c r="J51" s="59" t="str">
        <f t="shared" ca="1" si="0"/>
        <v/>
      </c>
      <c r="K51" s="25"/>
      <c r="L51" s="129"/>
      <c r="M51" s="130"/>
      <c r="N51" s="33"/>
      <c r="O51" s="34"/>
      <c r="P51" s="25"/>
      <c r="Q51" s="25"/>
      <c r="R51" s="34"/>
      <c r="S51" s="34"/>
      <c r="T51" s="137"/>
      <c r="U51" s="137"/>
      <c r="V51" s="36"/>
      <c r="W51" s="37"/>
      <c r="X51" s="71" t="str">
        <f>IF(C51="Trả lại đơn vụ","",IF(C51="Trả lại đơn việc","",IF((NETWORKDAYS(F51,G51,'Danh sách ngày nghỉ lễ'!$B$5:$B$25)-1-3)&gt;0,"Quá hạn"&amp;" "&amp;(NETWORKDAYS(F51,G51,'Danh sách ngày nghỉ lễ'!$B$5:$B$25)-1-3)&amp;" "&amp;"ngày","")))</f>
        <v/>
      </c>
      <c r="Y51" s="72" t="str">
        <f>IF(S51=0,"",IF(P51="Chuyển","",IF(P51="Nhập vào vụ khác","",IF(P51="BA",IF((S51-R51)&gt;10,"Quá hạn"&amp;" "&amp;(S51-R51-10)&amp;" "&amp;"ngày",""),IF((NETWORKDAYS(R51,S51,'Danh sách ngày nghỉ lễ'!$B$5:$B$25)-VLOOKUP(P51,'Thời hạn'!$A$17:$B$23,2,0))&gt;1,"Quá hạn"&amp;" "&amp;(NETWORKDAYS(R51,S51,'Danh sách ngày nghỉ lễ'!$B$5:$B$25)-1-VLOOKUP(P51,'Thời hạn'!$A$17:$B$23,2,0))&amp;" "&amp;"ngày","")))))</f>
        <v/>
      </c>
      <c r="Z51" s="23">
        <v>1</v>
      </c>
    </row>
    <row r="52" spans="1:26" s="24" customFormat="1" ht="15.6" x14ac:dyDescent="0.3">
      <c r="A52" s="24">
        <v>1</v>
      </c>
      <c r="B52" s="39"/>
      <c r="C52" s="33"/>
      <c r="D52" s="25"/>
      <c r="E52" s="25"/>
      <c r="F52" s="34"/>
      <c r="G52" s="34"/>
      <c r="H52" s="25"/>
      <c r="I52" s="70" t="str">
        <f>IF(C52="Trả lại đơn vụ","",IF(C52="Trả lại đơn việc","",IF(C52="Hòa giải thành","",IF(F52=0,"",EDATE(F52,VLOOKUP(C52,'Thời hạn'!$D$1:$E$10,2,0))+H52))))</f>
        <v/>
      </c>
      <c r="J52" s="59" t="str">
        <f t="shared" ca="1" si="0"/>
        <v/>
      </c>
      <c r="K52" s="25"/>
      <c r="L52" s="129"/>
      <c r="M52" s="130"/>
      <c r="N52" s="33"/>
      <c r="O52" s="34"/>
      <c r="P52" s="25"/>
      <c r="Q52" s="25"/>
      <c r="R52" s="34"/>
      <c r="S52" s="34"/>
      <c r="T52" s="137"/>
      <c r="U52" s="137"/>
      <c r="V52" s="36"/>
      <c r="W52" s="37"/>
      <c r="X52" s="71" t="str">
        <f>IF(C52="Trả lại đơn vụ","",IF(C52="Trả lại đơn việc","",IF((NETWORKDAYS(F52,G52,'Danh sách ngày nghỉ lễ'!$B$5:$B$25)-1-3)&gt;0,"Quá hạn"&amp;" "&amp;(NETWORKDAYS(F52,G52,'Danh sách ngày nghỉ lễ'!$B$5:$B$25)-1-3)&amp;" "&amp;"ngày","")))</f>
        <v/>
      </c>
      <c r="Y52" s="72" t="str">
        <f>IF(S52=0,"",IF(P52="Chuyển","",IF(P52="Nhập vào vụ khác","",IF(P52="BA",IF((S52-R52)&gt;10,"Quá hạn"&amp;" "&amp;(S52-R52-10)&amp;" "&amp;"ngày",""),IF((NETWORKDAYS(R52,S52,'Danh sách ngày nghỉ lễ'!$B$5:$B$25)-VLOOKUP(P52,'Thời hạn'!$A$17:$B$23,2,0))&gt;1,"Quá hạn"&amp;" "&amp;(NETWORKDAYS(R52,S52,'Danh sách ngày nghỉ lễ'!$B$5:$B$25)-1-VLOOKUP(P52,'Thời hạn'!$A$17:$B$23,2,0))&amp;" "&amp;"ngày","")))))</f>
        <v/>
      </c>
      <c r="Z52" s="23">
        <v>1</v>
      </c>
    </row>
    <row r="53" spans="1:26" s="24" customFormat="1" ht="15.6" x14ac:dyDescent="0.3">
      <c r="A53" s="24">
        <v>1</v>
      </c>
      <c r="B53" s="39"/>
      <c r="C53" s="33"/>
      <c r="D53" s="25"/>
      <c r="E53" s="25"/>
      <c r="F53" s="34"/>
      <c r="G53" s="34"/>
      <c r="H53" s="25"/>
      <c r="I53" s="70" t="str">
        <f>IF(C53="Trả lại đơn vụ","",IF(C53="Trả lại đơn việc","",IF(C53="Hòa giải thành","",IF(F53=0,"",EDATE(F53,VLOOKUP(C53,'Thời hạn'!$D$1:$E$10,2,0))+H53))))</f>
        <v/>
      </c>
      <c r="J53" s="59" t="str">
        <f t="shared" ca="1" si="0"/>
        <v/>
      </c>
      <c r="K53" s="25"/>
      <c r="L53" s="129"/>
      <c r="M53" s="130"/>
      <c r="N53" s="33"/>
      <c r="O53" s="34"/>
      <c r="P53" s="25"/>
      <c r="Q53" s="25"/>
      <c r="R53" s="34"/>
      <c r="S53" s="34"/>
      <c r="T53" s="137"/>
      <c r="U53" s="137"/>
      <c r="V53" s="36"/>
      <c r="W53" s="37"/>
      <c r="X53" s="71" t="str">
        <f>IF(C53="Trả lại đơn vụ","",IF(C53="Trả lại đơn việc","",IF((NETWORKDAYS(F53,G53,'Danh sách ngày nghỉ lễ'!$B$5:$B$25)-1-3)&gt;0,"Quá hạn"&amp;" "&amp;(NETWORKDAYS(F53,G53,'Danh sách ngày nghỉ lễ'!$B$5:$B$25)-1-3)&amp;" "&amp;"ngày","")))</f>
        <v/>
      </c>
      <c r="Y53" s="72" t="str">
        <f>IF(S53=0,"",IF(P53="Chuyển","",IF(P53="Nhập vào vụ khác","",IF(P53="BA",IF((S53-R53)&gt;10,"Quá hạn"&amp;" "&amp;(S53-R53-10)&amp;" "&amp;"ngày",""),IF((NETWORKDAYS(R53,S53,'Danh sách ngày nghỉ lễ'!$B$5:$B$25)-VLOOKUP(P53,'Thời hạn'!$A$17:$B$23,2,0))&gt;1,"Quá hạn"&amp;" "&amp;(NETWORKDAYS(R53,S53,'Danh sách ngày nghỉ lễ'!$B$5:$B$25)-1-VLOOKUP(P53,'Thời hạn'!$A$17:$B$23,2,0))&amp;" "&amp;"ngày","")))))</f>
        <v/>
      </c>
      <c r="Z53" s="23">
        <v>1</v>
      </c>
    </row>
    <row r="54" spans="1:26" s="24" customFormat="1" ht="15.6" x14ac:dyDescent="0.3">
      <c r="A54" s="24">
        <v>1</v>
      </c>
      <c r="B54" s="39"/>
      <c r="C54" s="33"/>
      <c r="D54" s="25"/>
      <c r="E54" s="25"/>
      <c r="F54" s="34"/>
      <c r="G54" s="34"/>
      <c r="H54" s="25"/>
      <c r="I54" s="70" t="str">
        <f>IF(C54="Trả lại đơn vụ","",IF(C54="Trả lại đơn việc","",IF(C54="Hòa giải thành","",IF(F54=0,"",EDATE(F54,VLOOKUP(C54,'Thời hạn'!$D$1:$E$10,2,0))+H54))))</f>
        <v/>
      </c>
      <c r="J54" s="59" t="str">
        <f t="shared" ca="1" si="0"/>
        <v/>
      </c>
      <c r="K54" s="25"/>
      <c r="L54" s="129"/>
      <c r="M54" s="130"/>
      <c r="N54" s="33"/>
      <c r="O54" s="34"/>
      <c r="P54" s="25"/>
      <c r="Q54" s="25"/>
      <c r="R54" s="34"/>
      <c r="S54" s="34"/>
      <c r="T54" s="137"/>
      <c r="U54" s="137"/>
      <c r="V54" s="36"/>
      <c r="W54" s="37"/>
      <c r="X54" s="71" t="str">
        <f>IF(C54="Trả lại đơn vụ","",IF(C54="Trả lại đơn việc","",IF((NETWORKDAYS(F54,G54,'Danh sách ngày nghỉ lễ'!$B$5:$B$25)-1-3)&gt;0,"Quá hạn"&amp;" "&amp;(NETWORKDAYS(F54,G54,'Danh sách ngày nghỉ lễ'!$B$5:$B$25)-1-3)&amp;" "&amp;"ngày","")))</f>
        <v/>
      </c>
      <c r="Y54" s="72" t="str">
        <f>IF(S54=0,"",IF(P54="Chuyển","",IF(P54="Nhập vào vụ khác","",IF(P54="BA",IF((S54-R54)&gt;10,"Quá hạn"&amp;" "&amp;(S54-R54-10)&amp;" "&amp;"ngày",""),IF((NETWORKDAYS(R54,S54,'Danh sách ngày nghỉ lễ'!$B$5:$B$25)-VLOOKUP(P54,'Thời hạn'!$A$17:$B$23,2,0))&gt;1,"Quá hạn"&amp;" "&amp;(NETWORKDAYS(R54,S54,'Danh sách ngày nghỉ lễ'!$B$5:$B$25)-1-VLOOKUP(P54,'Thời hạn'!$A$17:$B$23,2,0))&amp;" "&amp;"ngày","")))))</f>
        <v/>
      </c>
      <c r="Z54" s="23">
        <v>1</v>
      </c>
    </row>
    <row r="55" spans="1:26" s="24" customFormat="1" ht="15.6" x14ac:dyDescent="0.3">
      <c r="A55" s="24">
        <v>1</v>
      </c>
      <c r="B55" s="39"/>
      <c r="C55" s="33"/>
      <c r="D55" s="25"/>
      <c r="E55" s="25"/>
      <c r="F55" s="34"/>
      <c r="G55" s="34"/>
      <c r="H55" s="25"/>
      <c r="I55" s="70" t="str">
        <f>IF(C55="Trả lại đơn vụ","",IF(C55="Trả lại đơn việc","",IF(C55="Hòa giải thành","",IF(F55=0,"",EDATE(F55,VLOOKUP(C55,'Thời hạn'!$D$1:$E$10,2,0))+H55))))</f>
        <v/>
      </c>
      <c r="J55" s="59" t="str">
        <f t="shared" ca="1" si="0"/>
        <v/>
      </c>
      <c r="K55" s="25"/>
      <c r="L55" s="129"/>
      <c r="M55" s="130"/>
      <c r="N55" s="33"/>
      <c r="O55" s="34"/>
      <c r="P55" s="25"/>
      <c r="Q55" s="25"/>
      <c r="R55" s="34"/>
      <c r="S55" s="34"/>
      <c r="T55" s="137"/>
      <c r="U55" s="137"/>
      <c r="V55" s="36"/>
      <c r="W55" s="37"/>
      <c r="X55" s="71" t="str">
        <f>IF(C55="Trả lại đơn vụ","",IF(C55="Trả lại đơn việc","",IF((NETWORKDAYS(F55,G55,'Danh sách ngày nghỉ lễ'!$B$5:$B$25)-1-3)&gt;0,"Quá hạn"&amp;" "&amp;(NETWORKDAYS(F55,G55,'Danh sách ngày nghỉ lễ'!$B$5:$B$25)-1-3)&amp;" "&amp;"ngày","")))</f>
        <v/>
      </c>
      <c r="Y55" s="72" t="str">
        <f>IF(S55=0,"",IF(P55="Chuyển","",IF(P55="Nhập vào vụ khác","",IF(P55="BA",IF((S55-R55)&gt;10,"Quá hạn"&amp;" "&amp;(S55-R55-10)&amp;" "&amp;"ngày",""),IF((NETWORKDAYS(R55,S55,'Danh sách ngày nghỉ lễ'!$B$5:$B$25)-VLOOKUP(P55,'Thời hạn'!$A$17:$B$23,2,0))&gt;1,"Quá hạn"&amp;" "&amp;(NETWORKDAYS(R55,S55,'Danh sách ngày nghỉ lễ'!$B$5:$B$25)-1-VLOOKUP(P55,'Thời hạn'!$A$17:$B$23,2,0))&amp;" "&amp;"ngày","")))))</f>
        <v/>
      </c>
      <c r="Z55" s="23">
        <v>1</v>
      </c>
    </row>
    <row r="56" spans="1:26" s="24" customFormat="1" ht="15.6" x14ac:dyDescent="0.3">
      <c r="A56" s="24">
        <v>1</v>
      </c>
      <c r="B56" s="39"/>
      <c r="C56" s="33"/>
      <c r="D56" s="25"/>
      <c r="E56" s="25"/>
      <c r="F56" s="34"/>
      <c r="G56" s="34"/>
      <c r="H56" s="25"/>
      <c r="I56" s="70" t="str">
        <f>IF(C56="Trả lại đơn vụ","",IF(C56="Trả lại đơn việc","",IF(C56="Hòa giải thành","",IF(F56=0,"",EDATE(F56,VLOOKUP(C56,'Thời hạn'!$D$1:$E$10,2,0))+H56))))</f>
        <v/>
      </c>
      <c r="J56" s="59" t="str">
        <f t="shared" ca="1" si="0"/>
        <v/>
      </c>
      <c r="K56" s="25"/>
      <c r="L56" s="129"/>
      <c r="M56" s="130"/>
      <c r="N56" s="33"/>
      <c r="O56" s="34"/>
      <c r="P56" s="25"/>
      <c r="Q56" s="25"/>
      <c r="R56" s="34"/>
      <c r="S56" s="34"/>
      <c r="T56" s="137"/>
      <c r="U56" s="137"/>
      <c r="V56" s="36"/>
      <c r="W56" s="37"/>
      <c r="X56" s="71" t="str">
        <f>IF(C56="Trả lại đơn vụ","",IF(C56="Trả lại đơn việc","",IF((NETWORKDAYS(F56,G56,'Danh sách ngày nghỉ lễ'!$B$5:$B$25)-1-3)&gt;0,"Quá hạn"&amp;" "&amp;(NETWORKDAYS(F56,G56,'Danh sách ngày nghỉ lễ'!$B$5:$B$25)-1-3)&amp;" "&amp;"ngày","")))</f>
        <v/>
      </c>
      <c r="Y56" s="72" t="str">
        <f>IF(S56=0,"",IF(P56="Chuyển","",IF(P56="Nhập vào vụ khác","",IF(P56="BA",IF((S56-R56)&gt;10,"Quá hạn"&amp;" "&amp;(S56-R56-10)&amp;" "&amp;"ngày",""),IF((NETWORKDAYS(R56,S56,'Danh sách ngày nghỉ lễ'!$B$5:$B$25)-VLOOKUP(P56,'Thời hạn'!$A$17:$B$23,2,0))&gt;1,"Quá hạn"&amp;" "&amp;(NETWORKDAYS(R56,S56,'Danh sách ngày nghỉ lễ'!$B$5:$B$25)-1-VLOOKUP(P56,'Thời hạn'!$A$17:$B$23,2,0))&amp;" "&amp;"ngày","")))))</f>
        <v/>
      </c>
      <c r="Z56" s="23">
        <v>1</v>
      </c>
    </row>
    <row r="57" spans="1:26" s="24" customFormat="1" ht="15.6" x14ac:dyDescent="0.3">
      <c r="A57" s="24">
        <v>1</v>
      </c>
      <c r="B57" s="39"/>
      <c r="C57" s="33"/>
      <c r="D57" s="25"/>
      <c r="E57" s="25"/>
      <c r="F57" s="34"/>
      <c r="G57" s="34"/>
      <c r="H57" s="25"/>
      <c r="I57" s="70" t="str">
        <f>IF(C57="Trả lại đơn vụ","",IF(C57="Trả lại đơn việc","",IF(C57="Hòa giải thành","",IF(F57=0,"",EDATE(F57,VLOOKUP(C57,'Thời hạn'!$D$1:$E$10,2,0))+H57))))</f>
        <v/>
      </c>
      <c r="J57" s="59" t="str">
        <f t="shared" ca="1" si="0"/>
        <v/>
      </c>
      <c r="K57" s="25"/>
      <c r="L57" s="129"/>
      <c r="M57" s="130"/>
      <c r="N57" s="33"/>
      <c r="O57" s="34"/>
      <c r="P57" s="25"/>
      <c r="Q57" s="25"/>
      <c r="R57" s="34"/>
      <c r="S57" s="34"/>
      <c r="T57" s="137"/>
      <c r="U57" s="137"/>
      <c r="V57" s="36"/>
      <c r="W57" s="37"/>
      <c r="X57" s="71" t="str">
        <f>IF(C57="Trả lại đơn vụ","",IF(C57="Trả lại đơn việc","",IF((NETWORKDAYS(F57,G57,'Danh sách ngày nghỉ lễ'!$B$5:$B$25)-1-3)&gt;0,"Quá hạn"&amp;" "&amp;(NETWORKDAYS(F57,G57,'Danh sách ngày nghỉ lễ'!$B$5:$B$25)-1-3)&amp;" "&amp;"ngày","")))</f>
        <v/>
      </c>
      <c r="Y57" s="72" t="str">
        <f>IF(S57=0,"",IF(P57="Chuyển","",IF(P57="Nhập vào vụ khác","",IF(P57="BA",IF((S57-R57)&gt;10,"Quá hạn"&amp;" "&amp;(S57-R57-10)&amp;" "&amp;"ngày",""),IF((NETWORKDAYS(R57,S57,'Danh sách ngày nghỉ lễ'!$B$5:$B$25)-VLOOKUP(P57,'Thời hạn'!$A$17:$B$23,2,0))&gt;1,"Quá hạn"&amp;" "&amp;(NETWORKDAYS(R57,S57,'Danh sách ngày nghỉ lễ'!$B$5:$B$25)-1-VLOOKUP(P57,'Thời hạn'!$A$17:$B$23,2,0))&amp;" "&amp;"ngày","")))))</f>
        <v/>
      </c>
      <c r="Z57" s="23">
        <v>1</v>
      </c>
    </row>
    <row r="58" spans="1:26" s="24" customFormat="1" ht="15.6" x14ac:dyDescent="0.3">
      <c r="A58" s="24">
        <v>1</v>
      </c>
      <c r="B58" s="39"/>
      <c r="C58" s="33"/>
      <c r="D58" s="25"/>
      <c r="E58" s="25"/>
      <c r="F58" s="34"/>
      <c r="G58" s="34"/>
      <c r="H58" s="25"/>
      <c r="I58" s="70" t="str">
        <f>IF(C58="Trả lại đơn vụ","",IF(C58="Trả lại đơn việc","",IF(C58="Hòa giải thành","",IF(F58=0,"",EDATE(F58,VLOOKUP(C58,'Thời hạn'!$D$1:$E$10,2,0))+H58))))</f>
        <v/>
      </c>
      <c r="J58" s="59" t="str">
        <f t="shared" ca="1" si="0"/>
        <v/>
      </c>
      <c r="K58" s="25"/>
      <c r="L58" s="129"/>
      <c r="M58" s="130"/>
      <c r="N58" s="33"/>
      <c r="O58" s="34"/>
      <c r="P58" s="25"/>
      <c r="Q58" s="25"/>
      <c r="R58" s="34"/>
      <c r="S58" s="34"/>
      <c r="T58" s="137"/>
      <c r="U58" s="137"/>
      <c r="V58" s="36"/>
      <c r="W58" s="37"/>
      <c r="X58" s="71" t="str">
        <f>IF(C58="Trả lại đơn vụ","",IF(C58="Trả lại đơn việc","",IF((NETWORKDAYS(F58,G58,'Danh sách ngày nghỉ lễ'!$B$5:$B$25)-1-3)&gt;0,"Quá hạn"&amp;" "&amp;(NETWORKDAYS(F58,G58,'Danh sách ngày nghỉ lễ'!$B$5:$B$25)-1-3)&amp;" "&amp;"ngày","")))</f>
        <v/>
      </c>
      <c r="Y58" s="72" t="str">
        <f>IF(S58=0,"",IF(P58="Chuyển","",IF(P58="Nhập vào vụ khác","",IF(P58="BA",IF((S58-R58)&gt;10,"Quá hạn"&amp;" "&amp;(S58-R58-10)&amp;" "&amp;"ngày",""),IF((NETWORKDAYS(R58,S58,'Danh sách ngày nghỉ lễ'!$B$5:$B$25)-VLOOKUP(P58,'Thời hạn'!$A$17:$B$23,2,0))&gt;1,"Quá hạn"&amp;" "&amp;(NETWORKDAYS(R58,S58,'Danh sách ngày nghỉ lễ'!$B$5:$B$25)-1-VLOOKUP(P58,'Thời hạn'!$A$17:$B$23,2,0))&amp;" "&amp;"ngày","")))))</f>
        <v/>
      </c>
      <c r="Z58" s="23">
        <v>1</v>
      </c>
    </row>
    <row r="59" spans="1:26" s="24" customFormat="1" ht="15.6" x14ac:dyDescent="0.3">
      <c r="A59" s="24">
        <v>1</v>
      </c>
      <c r="B59" s="39"/>
      <c r="C59" s="33"/>
      <c r="D59" s="25"/>
      <c r="E59" s="25"/>
      <c r="F59" s="34"/>
      <c r="G59" s="34"/>
      <c r="H59" s="25"/>
      <c r="I59" s="70" t="str">
        <f>IF(C59="Trả lại đơn vụ","",IF(C59="Trả lại đơn việc","",IF(C59="Hòa giải thành","",IF(F59=0,"",EDATE(F59,VLOOKUP(C59,'Thời hạn'!$D$1:$E$10,2,0))+H59))))</f>
        <v/>
      </c>
      <c r="J59" s="59" t="str">
        <f t="shared" ca="1" si="0"/>
        <v/>
      </c>
      <c r="K59" s="25"/>
      <c r="L59" s="129"/>
      <c r="M59" s="130"/>
      <c r="N59" s="33"/>
      <c r="O59" s="34"/>
      <c r="P59" s="25"/>
      <c r="Q59" s="25"/>
      <c r="R59" s="34"/>
      <c r="S59" s="34"/>
      <c r="T59" s="137"/>
      <c r="U59" s="137"/>
      <c r="V59" s="36"/>
      <c r="W59" s="37"/>
      <c r="X59" s="71" t="str">
        <f>IF(C59="Trả lại đơn vụ","",IF(C59="Trả lại đơn việc","",IF((NETWORKDAYS(F59,G59,'Danh sách ngày nghỉ lễ'!$B$5:$B$25)-1-3)&gt;0,"Quá hạn"&amp;" "&amp;(NETWORKDAYS(F59,G59,'Danh sách ngày nghỉ lễ'!$B$5:$B$25)-1-3)&amp;" "&amp;"ngày","")))</f>
        <v/>
      </c>
      <c r="Y59" s="72" t="str">
        <f>IF(S59=0,"",IF(P59="Chuyển","",IF(P59="Nhập vào vụ khác","",IF(P59="BA",IF((S59-R59)&gt;10,"Quá hạn"&amp;" "&amp;(S59-R59-10)&amp;" "&amp;"ngày",""),IF((NETWORKDAYS(R59,S59,'Danh sách ngày nghỉ lễ'!$B$5:$B$25)-VLOOKUP(P59,'Thời hạn'!$A$17:$B$23,2,0))&gt;1,"Quá hạn"&amp;" "&amp;(NETWORKDAYS(R59,S59,'Danh sách ngày nghỉ lễ'!$B$5:$B$25)-1-VLOOKUP(P59,'Thời hạn'!$A$17:$B$23,2,0))&amp;" "&amp;"ngày","")))))</f>
        <v/>
      </c>
      <c r="Z59" s="23">
        <v>1</v>
      </c>
    </row>
    <row r="60" spans="1:26" s="24" customFormat="1" ht="15.6" x14ac:dyDescent="0.3">
      <c r="A60" s="24">
        <v>1</v>
      </c>
      <c r="B60" s="39"/>
      <c r="C60" s="33"/>
      <c r="D60" s="25"/>
      <c r="E60" s="25"/>
      <c r="F60" s="34"/>
      <c r="G60" s="34"/>
      <c r="H60" s="25"/>
      <c r="I60" s="70" t="str">
        <f>IF(C60="Trả lại đơn vụ","",IF(C60="Trả lại đơn việc","",IF(C60="Hòa giải thành","",IF(F60=0,"",EDATE(F60,VLOOKUP(C60,'Thời hạn'!$D$1:$E$10,2,0))+H60))))</f>
        <v/>
      </c>
      <c r="J60" s="59" t="str">
        <f t="shared" ca="1" si="0"/>
        <v/>
      </c>
      <c r="K60" s="25"/>
      <c r="L60" s="129"/>
      <c r="M60" s="130"/>
      <c r="N60" s="33"/>
      <c r="O60" s="34"/>
      <c r="P60" s="25"/>
      <c r="Q60" s="25"/>
      <c r="R60" s="34"/>
      <c r="S60" s="34"/>
      <c r="T60" s="137"/>
      <c r="U60" s="137"/>
      <c r="V60" s="36"/>
      <c r="W60" s="37"/>
      <c r="X60" s="71" t="str">
        <f>IF(C60="Trả lại đơn vụ","",IF(C60="Trả lại đơn việc","",IF((NETWORKDAYS(F60,G60,'Danh sách ngày nghỉ lễ'!$B$5:$B$25)-1-3)&gt;0,"Quá hạn"&amp;" "&amp;(NETWORKDAYS(F60,G60,'Danh sách ngày nghỉ lễ'!$B$5:$B$25)-1-3)&amp;" "&amp;"ngày","")))</f>
        <v/>
      </c>
      <c r="Y60" s="72" t="str">
        <f>IF(S60=0,"",IF(P60="Chuyển","",IF(P60="Nhập vào vụ khác","",IF(P60="BA",IF((S60-R60)&gt;10,"Quá hạn"&amp;" "&amp;(S60-R60-10)&amp;" "&amp;"ngày",""),IF((NETWORKDAYS(R60,S60,'Danh sách ngày nghỉ lễ'!$B$5:$B$25)-VLOOKUP(P60,'Thời hạn'!$A$17:$B$23,2,0))&gt;1,"Quá hạn"&amp;" "&amp;(NETWORKDAYS(R60,S60,'Danh sách ngày nghỉ lễ'!$B$5:$B$25)-1-VLOOKUP(P60,'Thời hạn'!$A$17:$B$23,2,0))&amp;" "&amp;"ngày","")))))</f>
        <v/>
      </c>
      <c r="Z60" s="23">
        <v>1</v>
      </c>
    </row>
    <row r="61" spans="1:26" s="24" customFormat="1" ht="15.6" x14ac:dyDescent="0.3">
      <c r="A61" s="24">
        <v>1</v>
      </c>
      <c r="B61" s="39"/>
      <c r="C61" s="33"/>
      <c r="D61" s="25"/>
      <c r="E61" s="25"/>
      <c r="F61" s="34"/>
      <c r="G61" s="34"/>
      <c r="H61" s="25"/>
      <c r="I61" s="70" t="str">
        <f>IF(C61="Trả lại đơn vụ","",IF(C61="Trả lại đơn việc","",IF(C61="Hòa giải thành","",IF(F61=0,"",EDATE(F61,VLOOKUP(C61,'Thời hạn'!$D$1:$E$10,2,0))+H61))))</f>
        <v/>
      </c>
      <c r="J61" s="59" t="str">
        <f t="shared" ca="1" si="0"/>
        <v/>
      </c>
      <c r="K61" s="25"/>
      <c r="L61" s="129"/>
      <c r="M61" s="130"/>
      <c r="N61" s="33"/>
      <c r="O61" s="34"/>
      <c r="P61" s="25"/>
      <c r="Q61" s="25"/>
      <c r="R61" s="34"/>
      <c r="S61" s="34"/>
      <c r="T61" s="137"/>
      <c r="U61" s="137"/>
      <c r="V61" s="36"/>
      <c r="W61" s="37"/>
      <c r="X61" s="71" t="str">
        <f>IF(C61="Trả lại đơn vụ","",IF(C61="Trả lại đơn việc","",IF((NETWORKDAYS(F61,G61,'Danh sách ngày nghỉ lễ'!$B$5:$B$25)-1-3)&gt;0,"Quá hạn"&amp;" "&amp;(NETWORKDAYS(F61,G61,'Danh sách ngày nghỉ lễ'!$B$5:$B$25)-1-3)&amp;" "&amp;"ngày","")))</f>
        <v/>
      </c>
      <c r="Y61" s="72" t="str">
        <f>IF(S61=0,"",IF(P61="Chuyển","",IF(P61="Nhập vào vụ khác","",IF(P61="BA",IF((S61-R61)&gt;10,"Quá hạn"&amp;" "&amp;(S61-R61-10)&amp;" "&amp;"ngày",""),IF((NETWORKDAYS(R61,S61,'Danh sách ngày nghỉ lễ'!$B$5:$B$25)-VLOOKUP(P61,'Thời hạn'!$A$17:$B$23,2,0))&gt;1,"Quá hạn"&amp;" "&amp;(NETWORKDAYS(R61,S61,'Danh sách ngày nghỉ lễ'!$B$5:$B$25)-1-VLOOKUP(P61,'Thời hạn'!$A$17:$B$23,2,0))&amp;" "&amp;"ngày","")))))</f>
        <v/>
      </c>
      <c r="Z61" s="23">
        <v>1</v>
      </c>
    </row>
    <row r="62" spans="1:26" s="24" customFormat="1" ht="15.6" x14ac:dyDescent="0.3">
      <c r="A62" s="24">
        <v>1</v>
      </c>
      <c r="B62" s="39"/>
      <c r="C62" s="33"/>
      <c r="D62" s="25"/>
      <c r="E62" s="25"/>
      <c r="F62" s="34"/>
      <c r="G62" s="34"/>
      <c r="H62" s="25"/>
      <c r="I62" s="70" t="str">
        <f>IF(C62="Trả lại đơn vụ","",IF(C62="Trả lại đơn việc","",IF(C62="Hòa giải thành","",IF(F62=0,"",EDATE(F62,VLOOKUP(C62,'Thời hạn'!$D$1:$E$10,2,0))+H62))))</f>
        <v/>
      </c>
      <c r="J62" s="59" t="str">
        <f t="shared" ca="1" si="0"/>
        <v/>
      </c>
      <c r="K62" s="25"/>
      <c r="L62" s="129"/>
      <c r="M62" s="130"/>
      <c r="N62" s="33"/>
      <c r="O62" s="34"/>
      <c r="P62" s="25"/>
      <c r="Q62" s="25"/>
      <c r="R62" s="34"/>
      <c r="S62" s="34"/>
      <c r="T62" s="137"/>
      <c r="U62" s="137"/>
      <c r="V62" s="36"/>
      <c r="W62" s="37"/>
      <c r="X62" s="71" t="str">
        <f>IF(C62="Trả lại đơn vụ","",IF(C62="Trả lại đơn việc","",IF((NETWORKDAYS(F62,G62,'Danh sách ngày nghỉ lễ'!$B$5:$B$25)-1-3)&gt;0,"Quá hạn"&amp;" "&amp;(NETWORKDAYS(F62,G62,'Danh sách ngày nghỉ lễ'!$B$5:$B$25)-1-3)&amp;" "&amp;"ngày","")))</f>
        <v/>
      </c>
      <c r="Y62" s="72" t="str">
        <f>IF(S62=0,"",IF(P62="Chuyển","",IF(P62="Nhập vào vụ khác","",IF(P62="BA",IF((S62-R62)&gt;10,"Quá hạn"&amp;" "&amp;(S62-R62-10)&amp;" "&amp;"ngày",""),IF((NETWORKDAYS(R62,S62,'Danh sách ngày nghỉ lễ'!$B$5:$B$25)-VLOOKUP(P62,'Thời hạn'!$A$17:$B$23,2,0))&gt;1,"Quá hạn"&amp;" "&amp;(NETWORKDAYS(R62,S62,'Danh sách ngày nghỉ lễ'!$B$5:$B$25)-1-VLOOKUP(P62,'Thời hạn'!$A$17:$B$23,2,0))&amp;" "&amp;"ngày","")))))</f>
        <v/>
      </c>
      <c r="Z62" s="23">
        <v>1</v>
      </c>
    </row>
    <row r="63" spans="1:26" s="24" customFormat="1" ht="15.6" x14ac:dyDescent="0.3">
      <c r="A63" s="24">
        <v>1</v>
      </c>
      <c r="B63" s="39"/>
      <c r="C63" s="33"/>
      <c r="D63" s="25"/>
      <c r="E63" s="25"/>
      <c r="F63" s="34"/>
      <c r="G63" s="34"/>
      <c r="H63" s="25"/>
      <c r="I63" s="70" t="str">
        <f>IF(C63="Trả lại đơn vụ","",IF(C63="Trả lại đơn việc","",IF(C63="Hòa giải thành","",IF(F63=0,"",EDATE(F63,VLOOKUP(C63,'Thời hạn'!$D$1:$E$10,2,0))+H63))))</f>
        <v/>
      </c>
      <c r="J63" s="59" t="str">
        <f t="shared" ca="1" si="0"/>
        <v/>
      </c>
      <c r="K63" s="25"/>
      <c r="L63" s="129"/>
      <c r="M63" s="130"/>
      <c r="N63" s="33"/>
      <c r="O63" s="34"/>
      <c r="P63" s="25"/>
      <c r="Q63" s="25"/>
      <c r="R63" s="34"/>
      <c r="S63" s="34"/>
      <c r="T63" s="137"/>
      <c r="U63" s="137"/>
      <c r="V63" s="36"/>
      <c r="W63" s="37"/>
      <c r="X63" s="71" t="str">
        <f>IF(C63="Trả lại đơn vụ","",IF(C63="Trả lại đơn việc","",IF((NETWORKDAYS(F63,G63,'Danh sách ngày nghỉ lễ'!$B$5:$B$25)-1-3)&gt;0,"Quá hạn"&amp;" "&amp;(NETWORKDAYS(F63,G63,'Danh sách ngày nghỉ lễ'!$B$5:$B$25)-1-3)&amp;" "&amp;"ngày","")))</f>
        <v/>
      </c>
      <c r="Y63" s="72" t="str">
        <f>IF(S63=0,"",IF(P63="Chuyển","",IF(P63="Nhập vào vụ khác","",IF(P63="BA",IF((S63-R63)&gt;10,"Quá hạn"&amp;" "&amp;(S63-R63-10)&amp;" "&amp;"ngày",""),IF((NETWORKDAYS(R63,S63,'Danh sách ngày nghỉ lễ'!$B$5:$B$25)-VLOOKUP(P63,'Thời hạn'!$A$17:$B$23,2,0))&gt;1,"Quá hạn"&amp;" "&amp;(NETWORKDAYS(R63,S63,'Danh sách ngày nghỉ lễ'!$B$5:$B$25)-1-VLOOKUP(P63,'Thời hạn'!$A$17:$B$23,2,0))&amp;" "&amp;"ngày","")))))</f>
        <v/>
      </c>
      <c r="Z63" s="23">
        <v>1</v>
      </c>
    </row>
    <row r="64" spans="1:26" s="24" customFormat="1" ht="15.6" x14ac:dyDescent="0.3">
      <c r="A64" s="24">
        <v>1</v>
      </c>
      <c r="B64" s="39"/>
      <c r="C64" s="33"/>
      <c r="D64" s="25"/>
      <c r="E64" s="25"/>
      <c r="F64" s="34"/>
      <c r="G64" s="34"/>
      <c r="H64" s="25"/>
      <c r="I64" s="70" t="str">
        <f>IF(C64="Trả lại đơn vụ","",IF(C64="Trả lại đơn việc","",IF(C64="Hòa giải thành","",IF(F64=0,"",EDATE(F64,VLOOKUP(C64,'Thời hạn'!$D$1:$E$10,2,0))+H64))))</f>
        <v/>
      </c>
      <c r="J64" s="59" t="str">
        <f t="shared" ca="1" si="0"/>
        <v/>
      </c>
      <c r="K64" s="25"/>
      <c r="L64" s="129"/>
      <c r="M64" s="130"/>
      <c r="N64" s="33"/>
      <c r="O64" s="34"/>
      <c r="P64" s="25"/>
      <c r="Q64" s="25"/>
      <c r="R64" s="34"/>
      <c r="S64" s="34"/>
      <c r="T64" s="137"/>
      <c r="U64" s="137"/>
      <c r="V64" s="36"/>
      <c r="W64" s="37"/>
      <c r="X64" s="71" t="str">
        <f>IF(C64="Trả lại đơn vụ","",IF(C64="Trả lại đơn việc","",IF((NETWORKDAYS(F64,G64,'Danh sách ngày nghỉ lễ'!$B$5:$B$25)-1-3)&gt;0,"Quá hạn"&amp;" "&amp;(NETWORKDAYS(F64,G64,'Danh sách ngày nghỉ lễ'!$B$5:$B$25)-1-3)&amp;" "&amp;"ngày","")))</f>
        <v/>
      </c>
      <c r="Y64" s="72" t="str">
        <f>IF(S64=0,"",IF(P64="Chuyển","",IF(P64="Nhập vào vụ khác","",IF(P64="BA",IF((S64-R64)&gt;10,"Quá hạn"&amp;" "&amp;(S64-R64-10)&amp;" "&amp;"ngày",""),IF((NETWORKDAYS(R64,S64,'Danh sách ngày nghỉ lễ'!$B$5:$B$25)-VLOOKUP(P64,'Thời hạn'!$A$17:$B$23,2,0))&gt;1,"Quá hạn"&amp;" "&amp;(NETWORKDAYS(R64,S64,'Danh sách ngày nghỉ lễ'!$B$5:$B$25)-1-VLOOKUP(P64,'Thời hạn'!$A$17:$B$23,2,0))&amp;" "&amp;"ngày","")))))</f>
        <v/>
      </c>
      <c r="Z64" s="23">
        <v>1</v>
      </c>
    </row>
    <row r="65" spans="1:26" s="24" customFormat="1" ht="15.6" x14ac:dyDescent="0.3">
      <c r="A65" s="24">
        <v>1</v>
      </c>
      <c r="B65" s="39"/>
      <c r="C65" s="33"/>
      <c r="D65" s="25"/>
      <c r="E65" s="25"/>
      <c r="F65" s="34"/>
      <c r="G65" s="34"/>
      <c r="H65" s="25"/>
      <c r="I65" s="70" t="str">
        <f>IF(C65="Trả lại đơn vụ","",IF(C65="Trả lại đơn việc","",IF(C65="Hòa giải thành","",IF(F65=0,"",EDATE(F65,VLOOKUP(C65,'Thời hạn'!$D$1:$E$10,2,0))+H65))))</f>
        <v/>
      </c>
      <c r="J65" s="59" t="str">
        <f t="shared" ca="1" si="0"/>
        <v/>
      </c>
      <c r="K65" s="25"/>
      <c r="L65" s="129"/>
      <c r="M65" s="130"/>
      <c r="N65" s="33"/>
      <c r="O65" s="34"/>
      <c r="P65" s="25"/>
      <c r="Q65" s="25"/>
      <c r="R65" s="34"/>
      <c r="S65" s="34"/>
      <c r="T65" s="137"/>
      <c r="U65" s="137"/>
      <c r="V65" s="36"/>
      <c r="W65" s="37"/>
      <c r="X65" s="71" t="str">
        <f>IF(C65="Trả lại đơn vụ","",IF(C65="Trả lại đơn việc","",IF((NETWORKDAYS(F65,G65,'Danh sách ngày nghỉ lễ'!$B$5:$B$25)-1-3)&gt;0,"Quá hạn"&amp;" "&amp;(NETWORKDAYS(F65,G65,'Danh sách ngày nghỉ lễ'!$B$5:$B$25)-1-3)&amp;" "&amp;"ngày","")))</f>
        <v/>
      </c>
      <c r="Y65" s="72" t="str">
        <f>IF(S65=0,"",IF(P65="Chuyển","",IF(P65="Nhập vào vụ khác","",IF(P65="BA",IF((S65-R65)&gt;10,"Quá hạn"&amp;" "&amp;(S65-R65-10)&amp;" "&amp;"ngày",""),IF((NETWORKDAYS(R65,S65,'Danh sách ngày nghỉ lễ'!$B$5:$B$25)-VLOOKUP(P65,'Thời hạn'!$A$17:$B$23,2,0))&gt;1,"Quá hạn"&amp;" "&amp;(NETWORKDAYS(R65,S65,'Danh sách ngày nghỉ lễ'!$B$5:$B$25)-1-VLOOKUP(P65,'Thời hạn'!$A$17:$B$23,2,0))&amp;" "&amp;"ngày","")))))</f>
        <v/>
      </c>
      <c r="Z65" s="23">
        <v>1</v>
      </c>
    </row>
    <row r="66" spans="1:26" s="24" customFormat="1" ht="15.6" x14ac:dyDescent="0.3">
      <c r="A66" s="24">
        <v>1</v>
      </c>
      <c r="B66" s="39"/>
      <c r="C66" s="33"/>
      <c r="D66" s="25"/>
      <c r="E66" s="25"/>
      <c r="F66" s="34"/>
      <c r="G66" s="34"/>
      <c r="H66" s="25"/>
      <c r="I66" s="70" t="str">
        <f>IF(C66="Trả lại đơn vụ","",IF(C66="Trả lại đơn việc","",IF(C66="Hòa giải thành","",IF(F66=0,"",EDATE(F66,VLOOKUP(C66,'Thời hạn'!$D$1:$E$10,2,0))+H66))))</f>
        <v/>
      </c>
      <c r="J66" s="59" t="str">
        <f t="shared" ca="1" si="0"/>
        <v/>
      </c>
      <c r="K66" s="25"/>
      <c r="L66" s="129"/>
      <c r="M66" s="130"/>
      <c r="N66" s="33"/>
      <c r="O66" s="34"/>
      <c r="P66" s="25"/>
      <c r="Q66" s="25"/>
      <c r="R66" s="34"/>
      <c r="S66" s="34"/>
      <c r="T66" s="137"/>
      <c r="U66" s="137"/>
      <c r="V66" s="36"/>
      <c r="W66" s="37"/>
      <c r="X66" s="71" t="str">
        <f>IF(C66="Trả lại đơn vụ","",IF(C66="Trả lại đơn việc","",IF((NETWORKDAYS(F66,G66,'Danh sách ngày nghỉ lễ'!$B$5:$B$25)-1-3)&gt;0,"Quá hạn"&amp;" "&amp;(NETWORKDAYS(F66,G66,'Danh sách ngày nghỉ lễ'!$B$5:$B$25)-1-3)&amp;" "&amp;"ngày","")))</f>
        <v/>
      </c>
      <c r="Y66" s="72" t="str">
        <f>IF(S66=0,"",IF(P66="Chuyển","",IF(P66="Nhập vào vụ khác","",IF(P66="BA",IF((S66-R66)&gt;10,"Quá hạn"&amp;" "&amp;(S66-R66-10)&amp;" "&amp;"ngày",""),IF((NETWORKDAYS(R66,S66,'Danh sách ngày nghỉ lễ'!$B$5:$B$25)-VLOOKUP(P66,'Thời hạn'!$A$17:$B$23,2,0))&gt;1,"Quá hạn"&amp;" "&amp;(NETWORKDAYS(R66,S66,'Danh sách ngày nghỉ lễ'!$B$5:$B$25)-1-VLOOKUP(P66,'Thời hạn'!$A$17:$B$23,2,0))&amp;" "&amp;"ngày","")))))</f>
        <v/>
      </c>
      <c r="Z66" s="23">
        <v>1</v>
      </c>
    </row>
    <row r="67" spans="1:26" s="24" customFormat="1" ht="15.6" x14ac:dyDescent="0.3">
      <c r="A67" s="24">
        <v>1</v>
      </c>
      <c r="B67" s="39"/>
      <c r="C67" s="33"/>
      <c r="D67" s="25"/>
      <c r="E67" s="25"/>
      <c r="F67" s="34"/>
      <c r="G67" s="34"/>
      <c r="H67" s="25"/>
      <c r="I67" s="70" t="str">
        <f>IF(C67="Trả lại đơn vụ","",IF(C67="Trả lại đơn việc","",IF(C67="Hòa giải thành","",IF(F67=0,"",EDATE(F67,VLOOKUP(C67,'Thời hạn'!$D$1:$E$10,2,0))+H67))))</f>
        <v/>
      </c>
      <c r="J67" s="59" t="str">
        <f t="shared" ca="1" si="0"/>
        <v/>
      </c>
      <c r="K67" s="25"/>
      <c r="L67" s="129"/>
      <c r="M67" s="130"/>
      <c r="N67" s="33"/>
      <c r="O67" s="34"/>
      <c r="P67" s="25"/>
      <c r="Q67" s="25"/>
      <c r="R67" s="34"/>
      <c r="S67" s="34"/>
      <c r="T67" s="137"/>
      <c r="U67" s="137"/>
      <c r="V67" s="36"/>
      <c r="W67" s="37"/>
      <c r="X67" s="71" t="str">
        <f>IF(C67="Trả lại đơn vụ","",IF(C67="Trả lại đơn việc","",IF((NETWORKDAYS(F67,G67,'Danh sách ngày nghỉ lễ'!$B$5:$B$25)-1-3)&gt;0,"Quá hạn"&amp;" "&amp;(NETWORKDAYS(F67,G67,'Danh sách ngày nghỉ lễ'!$B$5:$B$25)-1-3)&amp;" "&amp;"ngày","")))</f>
        <v/>
      </c>
      <c r="Y67" s="72" t="str">
        <f>IF(S67=0,"",IF(P67="Chuyển","",IF(P67="Nhập vào vụ khác","",IF(P67="BA",IF((S67-R67)&gt;10,"Quá hạn"&amp;" "&amp;(S67-R67-10)&amp;" "&amp;"ngày",""),IF((NETWORKDAYS(R67,S67,'Danh sách ngày nghỉ lễ'!$B$5:$B$25)-VLOOKUP(P67,'Thời hạn'!$A$17:$B$23,2,0))&gt;1,"Quá hạn"&amp;" "&amp;(NETWORKDAYS(R67,S67,'Danh sách ngày nghỉ lễ'!$B$5:$B$25)-1-VLOOKUP(P67,'Thời hạn'!$A$17:$B$23,2,0))&amp;" "&amp;"ngày","")))))</f>
        <v/>
      </c>
      <c r="Z67" s="23">
        <v>1</v>
      </c>
    </row>
    <row r="68" spans="1:26" s="24" customFormat="1" ht="15.6" x14ac:dyDescent="0.3">
      <c r="A68" s="24">
        <v>1</v>
      </c>
      <c r="B68" s="39"/>
      <c r="C68" s="33"/>
      <c r="D68" s="25"/>
      <c r="E68" s="25"/>
      <c r="F68" s="34"/>
      <c r="G68" s="34"/>
      <c r="H68" s="25"/>
      <c r="I68" s="70" t="str">
        <f>IF(C68="Trả lại đơn vụ","",IF(C68="Trả lại đơn việc","",IF(C68="Hòa giải thành","",IF(F68=0,"",EDATE(F68,VLOOKUP(C68,'Thời hạn'!$D$1:$E$10,2,0))+H68))))</f>
        <v/>
      </c>
      <c r="J68" s="59" t="str">
        <f t="shared" ca="1" si="0"/>
        <v/>
      </c>
      <c r="K68" s="25"/>
      <c r="L68" s="129"/>
      <c r="M68" s="130"/>
      <c r="N68" s="33"/>
      <c r="O68" s="34"/>
      <c r="P68" s="25"/>
      <c r="Q68" s="25"/>
      <c r="R68" s="34"/>
      <c r="S68" s="34"/>
      <c r="T68" s="137"/>
      <c r="U68" s="137"/>
      <c r="V68" s="36"/>
      <c r="W68" s="37"/>
      <c r="X68" s="71" t="str">
        <f>IF(C68="Trả lại đơn vụ","",IF(C68="Trả lại đơn việc","",IF((NETWORKDAYS(F68,G68,'Danh sách ngày nghỉ lễ'!$B$5:$B$25)-1-3)&gt;0,"Quá hạn"&amp;" "&amp;(NETWORKDAYS(F68,G68,'Danh sách ngày nghỉ lễ'!$B$5:$B$25)-1-3)&amp;" "&amp;"ngày","")))</f>
        <v/>
      </c>
      <c r="Y68" s="72" t="str">
        <f>IF(S68=0,"",IF(P68="Chuyển","",IF(P68="Nhập vào vụ khác","",IF(P68="BA",IF((S68-R68)&gt;10,"Quá hạn"&amp;" "&amp;(S68-R68-10)&amp;" "&amp;"ngày",""),IF((NETWORKDAYS(R68,S68,'Danh sách ngày nghỉ lễ'!$B$5:$B$25)-VLOOKUP(P68,'Thời hạn'!$A$17:$B$23,2,0))&gt;1,"Quá hạn"&amp;" "&amp;(NETWORKDAYS(R68,S68,'Danh sách ngày nghỉ lễ'!$B$5:$B$25)-1-VLOOKUP(P68,'Thời hạn'!$A$17:$B$23,2,0))&amp;" "&amp;"ngày","")))))</f>
        <v/>
      </c>
      <c r="Z68" s="23">
        <v>1</v>
      </c>
    </row>
    <row r="69" spans="1:26" s="24" customFormat="1" ht="15.6" x14ac:dyDescent="0.3">
      <c r="A69" s="24">
        <v>1</v>
      </c>
      <c r="B69" s="39"/>
      <c r="C69" s="33"/>
      <c r="D69" s="25"/>
      <c r="E69" s="25"/>
      <c r="F69" s="34"/>
      <c r="G69" s="34"/>
      <c r="H69" s="25"/>
      <c r="I69" s="70" t="str">
        <f>IF(C69="Trả lại đơn vụ","",IF(C69="Trả lại đơn việc","",IF(C69="Hòa giải thành","",IF(F69=0,"",EDATE(F69,VLOOKUP(C69,'Thời hạn'!$D$1:$E$10,2,0))+H69))))</f>
        <v/>
      </c>
      <c r="J69" s="59" t="str">
        <f t="shared" ca="1" si="0"/>
        <v/>
      </c>
      <c r="K69" s="25"/>
      <c r="L69" s="129"/>
      <c r="M69" s="130"/>
      <c r="N69" s="33"/>
      <c r="O69" s="34"/>
      <c r="P69" s="25"/>
      <c r="Q69" s="25"/>
      <c r="R69" s="34"/>
      <c r="S69" s="34"/>
      <c r="T69" s="137"/>
      <c r="U69" s="137"/>
      <c r="V69" s="36"/>
      <c r="W69" s="37"/>
      <c r="X69" s="71" t="str">
        <f>IF(C69="Trả lại đơn vụ","",IF(C69="Trả lại đơn việc","",IF((NETWORKDAYS(F69,G69,'Danh sách ngày nghỉ lễ'!$B$5:$B$25)-1-3)&gt;0,"Quá hạn"&amp;" "&amp;(NETWORKDAYS(F69,G69,'Danh sách ngày nghỉ lễ'!$B$5:$B$25)-1-3)&amp;" "&amp;"ngày","")))</f>
        <v/>
      </c>
      <c r="Y69" s="72" t="str">
        <f>IF(S69=0,"",IF(P69="Chuyển","",IF(P69="Nhập vào vụ khác","",IF(P69="BA",IF((S69-R69)&gt;10,"Quá hạn"&amp;" "&amp;(S69-R69-10)&amp;" "&amp;"ngày",""),IF((NETWORKDAYS(R69,S69,'Danh sách ngày nghỉ lễ'!$B$5:$B$25)-VLOOKUP(P69,'Thời hạn'!$A$17:$B$23,2,0))&gt;1,"Quá hạn"&amp;" "&amp;(NETWORKDAYS(R69,S69,'Danh sách ngày nghỉ lễ'!$B$5:$B$25)-1-VLOOKUP(P69,'Thời hạn'!$A$17:$B$23,2,0))&amp;" "&amp;"ngày","")))))</f>
        <v/>
      </c>
      <c r="Z69" s="23">
        <v>1</v>
      </c>
    </row>
    <row r="70" spans="1:26" s="24" customFormat="1" ht="15.6" x14ac:dyDescent="0.3">
      <c r="A70" s="24">
        <v>1</v>
      </c>
      <c r="B70" s="39"/>
      <c r="C70" s="33"/>
      <c r="D70" s="25"/>
      <c r="E70" s="25"/>
      <c r="F70" s="34"/>
      <c r="G70" s="34"/>
      <c r="H70" s="25"/>
      <c r="I70" s="70" t="str">
        <f>IF(C70="Trả lại đơn vụ","",IF(C70="Trả lại đơn việc","",IF(C70="Hòa giải thành","",IF(F70=0,"",EDATE(F70,VLOOKUP(C70,'Thời hạn'!$D$1:$E$10,2,0))+H70))))</f>
        <v/>
      </c>
      <c r="J70" s="59" t="str">
        <f t="shared" ca="1" si="0"/>
        <v/>
      </c>
      <c r="K70" s="25"/>
      <c r="L70" s="129"/>
      <c r="M70" s="130"/>
      <c r="N70" s="33"/>
      <c r="O70" s="34"/>
      <c r="P70" s="25"/>
      <c r="Q70" s="25"/>
      <c r="R70" s="34"/>
      <c r="S70" s="34"/>
      <c r="T70" s="137"/>
      <c r="U70" s="137"/>
      <c r="V70" s="36"/>
      <c r="W70" s="37"/>
      <c r="X70" s="71" t="str">
        <f>IF(C70="Trả lại đơn vụ","",IF(C70="Trả lại đơn việc","",IF((NETWORKDAYS(F70,G70,'Danh sách ngày nghỉ lễ'!$B$5:$B$25)-1-3)&gt;0,"Quá hạn"&amp;" "&amp;(NETWORKDAYS(F70,G70,'Danh sách ngày nghỉ lễ'!$B$5:$B$25)-1-3)&amp;" "&amp;"ngày","")))</f>
        <v/>
      </c>
      <c r="Y70" s="72" t="str">
        <f>IF(S70=0,"",IF(P70="Chuyển","",IF(P70="Nhập vào vụ khác","",IF(P70="BA",IF((S70-R70)&gt;10,"Quá hạn"&amp;" "&amp;(S70-R70-10)&amp;" "&amp;"ngày",""),IF((NETWORKDAYS(R70,S70,'Danh sách ngày nghỉ lễ'!$B$5:$B$25)-VLOOKUP(P70,'Thời hạn'!$A$17:$B$23,2,0))&gt;1,"Quá hạn"&amp;" "&amp;(NETWORKDAYS(R70,S70,'Danh sách ngày nghỉ lễ'!$B$5:$B$25)-1-VLOOKUP(P70,'Thời hạn'!$A$17:$B$23,2,0))&amp;" "&amp;"ngày","")))))</f>
        <v/>
      </c>
      <c r="Z70" s="23">
        <v>1</v>
      </c>
    </row>
    <row r="71" spans="1:26" s="24" customFormat="1" ht="15.6" x14ac:dyDescent="0.3">
      <c r="A71" s="24">
        <v>1</v>
      </c>
      <c r="B71" s="39"/>
      <c r="C71" s="33"/>
      <c r="D71" s="25"/>
      <c r="E71" s="25"/>
      <c r="F71" s="34"/>
      <c r="G71" s="34"/>
      <c r="H71" s="25"/>
      <c r="I71" s="70" t="str">
        <f>IF(C71="Trả lại đơn vụ","",IF(C71="Trả lại đơn việc","",IF(C71="Hòa giải thành","",IF(F71=0,"",EDATE(F71,VLOOKUP(C71,'Thời hạn'!$D$1:$E$10,2,0))+H71))))</f>
        <v/>
      </c>
      <c r="J71" s="59" t="str">
        <f t="shared" ca="1" si="0"/>
        <v/>
      </c>
      <c r="K71" s="25"/>
      <c r="L71" s="129"/>
      <c r="M71" s="130"/>
      <c r="N71" s="33"/>
      <c r="O71" s="34"/>
      <c r="P71" s="25"/>
      <c r="Q71" s="25"/>
      <c r="R71" s="34"/>
      <c r="S71" s="34"/>
      <c r="T71" s="137"/>
      <c r="U71" s="137"/>
      <c r="V71" s="36"/>
      <c r="W71" s="37"/>
      <c r="X71" s="71" t="str">
        <f>IF(C71="Trả lại đơn vụ","",IF(C71="Trả lại đơn việc","",IF((NETWORKDAYS(F71,G71,'Danh sách ngày nghỉ lễ'!$B$5:$B$25)-1-3)&gt;0,"Quá hạn"&amp;" "&amp;(NETWORKDAYS(F71,G71,'Danh sách ngày nghỉ lễ'!$B$5:$B$25)-1-3)&amp;" "&amp;"ngày","")))</f>
        <v/>
      </c>
      <c r="Y71" s="72" t="str">
        <f>IF(S71=0,"",IF(P71="Chuyển","",IF(P71="Nhập vào vụ khác","",IF(P71="BA",IF((S71-R71)&gt;10,"Quá hạn"&amp;" "&amp;(S71-R71-10)&amp;" "&amp;"ngày",""),IF((NETWORKDAYS(R71,S71,'Danh sách ngày nghỉ lễ'!$B$5:$B$25)-VLOOKUP(P71,'Thời hạn'!$A$17:$B$23,2,0))&gt;1,"Quá hạn"&amp;" "&amp;(NETWORKDAYS(R71,S71,'Danh sách ngày nghỉ lễ'!$B$5:$B$25)-1-VLOOKUP(P71,'Thời hạn'!$A$17:$B$23,2,0))&amp;" "&amp;"ngày","")))))</f>
        <v/>
      </c>
      <c r="Z71" s="23">
        <v>1</v>
      </c>
    </row>
    <row r="72" spans="1:26" s="24" customFormat="1" ht="15.6" x14ac:dyDescent="0.3">
      <c r="A72" s="24">
        <v>1</v>
      </c>
      <c r="B72" s="39"/>
      <c r="C72" s="33"/>
      <c r="D72" s="25"/>
      <c r="E72" s="25"/>
      <c r="F72" s="34"/>
      <c r="G72" s="34"/>
      <c r="H72" s="25"/>
      <c r="I72" s="70" t="str">
        <f>IF(C72="Trả lại đơn vụ","",IF(C72="Trả lại đơn việc","",IF(C72="Hòa giải thành","",IF(F72=0,"",EDATE(F72,VLOOKUP(C72,'Thời hạn'!$D$1:$E$10,2,0))+H72))))</f>
        <v/>
      </c>
      <c r="J72" s="59" t="str">
        <f t="shared" ca="1" si="0"/>
        <v/>
      </c>
      <c r="K72" s="25"/>
      <c r="L72" s="129"/>
      <c r="M72" s="130"/>
      <c r="N72" s="33"/>
      <c r="O72" s="34"/>
      <c r="P72" s="25"/>
      <c r="Q72" s="25"/>
      <c r="R72" s="34"/>
      <c r="S72" s="34"/>
      <c r="T72" s="137"/>
      <c r="U72" s="137"/>
      <c r="V72" s="36"/>
      <c r="W72" s="37"/>
      <c r="X72" s="71" t="str">
        <f>IF(C72="Trả lại đơn vụ","",IF(C72="Trả lại đơn việc","",IF((NETWORKDAYS(F72,G72,'Danh sách ngày nghỉ lễ'!$B$5:$B$25)-1-3)&gt;0,"Quá hạn"&amp;" "&amp;(NETWORKDAYS(F72,G72,'Danh sách ngày nghỉ lễ'!$B$5:$B$25)-1-3)&amp;" "&amp;"ngày","")))</f>
        <v/>
      </c>
      <c r="Y72" s="72" t="str">
        <f>IF(S72=0,"",IF(P72="Chuyển","",IF(P72="Nhập vào vụ khác","",IF(P72="BA",IF((S72-R72)&gt;10,"Quá hạn"&amp;" "&amp;(S72-R72-10)&amp;" "&amp;"ngày",""),IF((NETWORKDAYS(R72,S72,'Danh sách ngày nghỉ lễ'!$B$5:$B$25)-VLOOKUP(P72,'Thời hạn'!$A$17:$B$23,2,0))&gt;1,"Quá hạn"&amp;" "&amp;(NETWORKDAYS(R72,S72,'Danh sách ngày nghỉ lễ'!$B$5:$B$25)-1-VLOOKUP(P72,'Thời hạn'!$A$17:$B$23,2,0))&amp;" "&amp;"ngày","")))))</f>
        <v/>
      </c>
      <c r="Z72" s="23">
        <v>1</v>
      </c>
    </row>
    <row r="73" spans="1:26" s="24" customFormat="1" ht="15.6" x14ac:dyDescent="0.3">
      <c r="A73" s="24">
        <v>1</v>
      </c>
      <c r="B73" s="39"/>
      <c r="C73" s="33"/>
      <c r="D73" s="25"/>
      <c r="E73" s="25"/>
      <c r="F73" s="34"/>
      <c r="G73" s="34"/>
      <c r="H73" s="25"/>
      <c r="I73" s="70" t="str">
        <f>IF(C73="Trả lại đơn vụ","",IF(C73="Trả lại đơn việc","",IF(C73="Hòa giải thành","",IF(F73=0,"",EDATE(F73,VLOOKUP(C73,'Thời hạn'!$D$1:$E$10,2,0))+H73))))</f>
        <v/>
      </c>
      <c r="J73" s="59" t="str">
        <f t="shared" ca="1" si="0"/>
        <v/>
      </c>
      <c r="K73" s="25"/>
      <c r="L73" s="129"/>
      <c r="M73" s="130"/>
      <c r="N73" s="33"/>
      <c r="O73" s="34"/>
      <c r="P73" s="25"/>
      <c r="Q73" s="25"/>
      <c r="R73" s="34"/>
      <c r="S73" s="34"/>
      <c r="T73" s="137"/>
      <c r="U73" s="137"/>
      <c r="V73" s="36"/>
      <c r="W73" s="37"/>
      <c r="X73" s="71" t="str">
        <f>IF(C73="Trả lại đơn vụ","",IF(C73="Trả lại đơn việc","",IF((NETWORKDAYS(F73,G73,'Danh sách ngày nghỉ lễ'!$B$5:$B$25)-1-3)&gt;0,"Quá hạn"&amp;" "&amp;(NETWORKDAYS(F73,G73,'Danh sách ngày nghỉ lễ'!$B$5:$B$25)-1-3)&amp;" "&amp;"ngày","")))</f>
        <v/>
      </c>
      <c r="Y73" s="72" t="str">
        <f>IF(S73=0,"",IF(P73="Chuyển","",IF(P73="Nhập vào vụ khác","",IF(P73="BA",IF((S73-R73)&gt;10,"Quá hạn"&amp;" "&amp;(S73-R73-10)&amp;" "&amp;"ngày",""),IF((NETWORKDAYS(R73,S73,'Danh sách ngày nghỉ lễ'!$B$5:$B$25)-VLOOKUP(P73,'Thời hạn'!$A$17:$B$23,2,0))&gt;1,"Quá hạn"&amp;" "&amp;(NETWORKDAYS(R73,S73,'Danh sách ngày nghỉ lễ'!$B$5:$B$25)-1-VLOOKUP(P73,'Thời hạn'!$A$17:$B$23,2,0))&amp;" "&amp;"ngày","")))))</f>
        <v/>
      </c>
      <c r="Z73" s="23">
        <v>1</v>
      </c>
    </row>
    <row r="74" spans="1:26" s="24" customFormat="1" ht="15.6" x14ac:dyDescent="0.3">
      <c r="A74" s="24">
        <v>1</v>
      </c>
      <c r="B74" s="39"/>
      <c r="C74" s="33"/>
      <c r="D74" s="25"/>
      <c r="E74" s="25"/>
      <c r="F74" s="34"/>
      <c r="G74" s="34"/>
      <c r="H74" s="25"/>
      <c r="I74" s="70" t="str">
        <f>IF(C74="Trả lại đơn vụ","",IF(C74="Trả lại đơn việc","",IF(C74="Hòa giải thành","",IF(F74=0,"",EDATE(F74,VLOOKUP(C74,'Thời hạn'!$D$1:$E$10,2,0))+H74))))</f>
        <v/>
      </c>
      <c r="J74" s="59" t="str">
        <f t="shared" ca="1" si="0"/>
        <v/>
      </c>
      <c r="K74" s="25"/>
      <c r="L74" s="129"/>
      <c r="M74" s="130"/>
      <c r="N74" s="33"/>
      <c r="O74" s="34"/>
      <c r="P74" s="25"/>
      <c r="Q74" s="25"/>
      <c r="R74" s="34"/>
      <c r="S74" s="34"/>
      <c r="T74" s="137"/>
      <c r="U74" s="137"/>
      <c r="V74" s="36"/>
      <c r="W74" s="37"/>
      <c r="X74" s="71" t="str">
        <f>IF(C74="Trả lại đơn vụ","",IF(C74="Trả lại đơn việc","",IF((NETWORKDAYS(F74,G74,'Danh sách ngày nghỉ lễ'!$B$5:$B$25)-1-3)&gt;0,"Quá hạn"&amp;" "&amp;(NETWORKDAYS(F74,G74,'Danh sách ngày nghỉ lễ'!$B$5:$B$25)-1-3)&amp;" "&amp;"ngày","")))</f>
        <v/>
      </c>
      <c r="Y74" s="72" t="str">
        <f>IF(S74=0,"",IF(P74="Chuyển","",IF(P74="Nhập vào vụ khác","",IF(P74="BA",IF((S74-R74)&gt;10,"Quá hạn"&amp;" "&amp;(S74-R74-10)&amp;" "&amp;"ngày",""),IF((NETWORKDAYS(R74,S74,'Danh sách ngày nghỉ lễ'!$B$5:$B$25)-VLOOKUP(P74,'Thời hạn'!$A$17:$B$23,2,0))&gt;1,"Quá hạn"&amp;" "&amp;(NETWORKDAYS(R74,S74,'Danh sách ngày nghỉ lễ'!$B$5:$B$25)-1-VLOOKUP(P74,'Thời hạn'!$A$17:$B$23,2,0))&amp;" "&amp;"ngày","")))))</f>
        <v/>
      </c>
      <c r="Z74" s="23">
        <v>1</v>
      </c>
    </row>
    <row r="75" spans="1:26" s="24" customFormat="1" ht="15.6" x14ac:dyDescent="0.3">
      <c r="A75" s="24">
        <v>1</v>
      </c>
      <c r="B75" s="39"/>
      <c r="C75" s="33"/>
      <c r="D75" s="25"/>
      <c r="E75" s="25"/>
      <c r="F75" s="34"/>
      <c r="G75" s="34"/>
      <c r="H75" s="25"/>
      <c r="I75" s="70" t="str">
        <f>IF(C75="Trả lại đơn vụ","",IF(C75="Trả lại đơn việc","",IF(C75="Hòa giải thành","",IF(F75=0,"",EDATE(F75,VLOOKUP(C75,'Thời hạn'!$D$1:$E$10,2,0))+H75))))</f>
        <v/>
      </c>
      <c r="J75" s="59" t="str">
        <f t="shared" ref="J75:J138" ca="1" si="1">IF(C75="Trả lại đơn vụ","",IF(C75="Trả lại đơn việc","",IF(C75="Hòa giải thành","",IF(N75=0,IF(P75=0,IF(F75=0,"",I75-TODAY()+1),""),""))))</f>
        <v/>
      </c>
      <c r="K75" s="25"/>
      <c r="L75" s="129"/>
      <c r="M75" s="130"/>
      <c r="N75" s="33"/>
      <c r="O75" s="34"/>
      <c r="P75" s="25"/>
      <c r="Q75" s="25"/>
      <c r="R75" s="34"/>
      <c r="S75" s="34"/>
      <c r="T75" s="137"/>
      <c r="U75" s="137"/>
      <c r="V75" s="36"/>
      <c r="W75" s="37"/>
      <c r="X75" s="71" t="str">
        <f>IF(C75="Trả lại đơn vụ","",IF(C75="Trả lại đơn việc","",IF((NETWORKDAYS(F75,G75,'Danh sách ngày nghỉ lễ'!$B$5:$B$25)-1-3)&gt;0,"Quá hạn"&amp;" "&amp;(NETWORKDAYS(F75,G75,'Danh sách ngày nghỉ lễ'!$B$5:$B$25)-1-3)&amp;" "&amp;"ngày","")))</f>
        <v/>
      </c>
      <c r="Y75" s="72" t="str">
        <f>IF(S75=0,"",IF(P75="Chuyển","",IF(P75="Nhập vào vụ khác","",IF(P75="BA",IF((S75-R75)&gt;10,"Quá hạn"&amp;" "&amp;(S75-R75-10)&amp;" "&amp;"ngày",""),IF((NETWORKDAYS(R75,S75,'Danh sách ngày nghỉ lễ'!$B$5:$B$25)-VLOOKUP(P75,'Thời hạn'!$A$17:$B$23,2,0))&gt;1,"Quá hạn"&amp;" "&amp;(NETWORKDAYS(R75,S75,'Danh sách ngày nghỉ lễ'!$B$5:$B$25)-1-VLOOKUP(P75,'Thời hạn'!$A$17:$B$23,2,0))&amp;" "&amp;"ngày","")))))</f>
        <v/>
      </c>
      <c r="Z75" s="23">
        <v>1</v>
      </c>
    </row>
    <row r="76" spans="1:26" s="24" customFormat="1" ht="15.6" x14ac:dyDescent="0.3">
      <c r="A76" s="24">
        <v>1</v>
      </c>
      <c r="B76" s="39"/>
      <c r="C76" s="33"/>
      <c r="D76" s="25"/>
      <c r="E76" s="25"/>
      <c r="F76" s="34"/>
      <c r="G76" s="34"/>
      <c r="H76" s="25"/>
      <c r="I76" s="70" t="str">
        <f>IF(C76="Trả lại đơn vụ","",IF(C76="Trả lại đơn việc","",IF(C76="Hòa giải thành","",IF(F76=0,"",EDATE(F76,VLOOKUP(C76,'Thời hạn'!$D$1:$E$10,2,0))+H76))))</f>
        <v/>
      </c>
      <c r="J76" s="59" t="str">
        <f t="shared" ca="1" si="1"/>
        <v/>
      </c>
      <c r="K76" s="25"/>
      <c r="L76" s="129"/>
      <c r="M76" s="130"/>
      <c r="N76" s="33"/>
      <c r="O76" s="34"/>
      <c r="P76" s="25"/>
      <c r="Q76" s="25"/>
      <c r="R76" s="34"/>
      <c r="S76" s="34"/>
      <c r="T76" s="137"/>
      <c r="U76" s="137"/>
      <c r="V76" s="36"/>
      <c r="W76" s="37"/>
      <c r="X76" s="71" t="str">
        <f>IF(C76="Trả lại đơn vụ","",IF(C76="Trả lại đơn việc","",IF((NETWORKDAYS(F76,G76,'Danh sách ngày nghỉ lễ'!$B$5:$B$25)-1-3)&gt;0,"Quá hạn"&amp;" "&amp;(NETWORKDAYS(F76,G76,'Danh sách ngày nghỉ lễ'!$B$5:$B$25)-1-3)&amp;" "&amp;"ngày","")))</f>
        <v/>
      </c>
      <c r="Y76" s="72" t="str">
        <f>IF(S76=0,"",IF(P76="Chuyển","",IF(P76="Nhập vào vụ khác","",IF(P76="BA",IF((S76-R76)&gt;10,"Quá hạn"&amp;" "&amp;(S76-R76-10)&amp;" "&amp;"ngày",""),IF((NETWORKDAYS(R76,S76,'Danh sách ngày nghỉ lễ'!$B$5:$B$25)-VLOOKUP(P76,'Thời hạn'!$A$17:$B$23,2,0))&gt;1,"Quá hạn"&amp;" "&amp;(NETWORKDAYS(R76,S76,'Danh sách ngày nghỉ lễ'!$B$5:$B$25)-1-VLOOKUP(P76,'Thời hạn'!$A$17:$B$23,2,0))&amp;" "&amp;"ngày","")))))</f>
        <v/>
      </c>
      <c r="Z76" s="23">
        <v>1</v>
      </c>
    </row>
    <row r="77" spans="1:26" s="24" customFormat="1" ht="15.6" x14ac:dyDescent="0.3">
      <c r="A77" s="24">
        <v>1</v>
      </c>
      <c r="B77" s="39"/>
      <c r="C77" s="33"/>
      <c r="D77" s="25"/>
      <c r="E77" s="25"/>
      <c r="F77" s="34"/>
      <c r="G77" s="34"/>
      <c r="H77" s="25"/>
      <c r="I77" s="70" t="str">
        <f>IF(C77="Trả lại đơn vụ","",IF(C77="Trả lại đơn việc","",IF(C77="Hòa giải thành","",IF(F77=0,"",EDATE(F77,VLOOKUP(C77,'Thời hạn'!$D$1:$E$10,2,0))+H77))))</f>
        <v/>
      </c>
      <c r="J77" s="59" t="str">
        <f t="shared" ca="1" si="1"/>
        <v/>
      </c>
      <c r="K77" s="25"/>
      <c r="L77" s="129"/>
      <c r="M77" s="130"/>
      <c r="N77" s="33"/>
      <c r="O77" s="34"/>
      <c r="P77" s="25"/>
      <c r="Q77" s="25"/>
      <c r="R77" s="34"/>
      <c r="S77" s="34"/>
      <c r="T77" s="137"/>
      <c r="U77" s="137"/>
      <c r="V77" s="36"/>
      <c r="W77" s="37"/>
      <c r="X77" s="71" t="str">
        <f>IF(C77="Trả lại đơn vụ","",IF(C77="Trả lại đơn việc","",IF((NETWORKDAYS(F77,G77,'Danh sách ngày nghỉ lễ'!$B$5:$B$25)-1-3)&gt;0,"Quá hạn"&amp;" "&amp;(NETWORKDAYS(F77,G77,'Danh sách ngày nghỉ lễ'!$B$5:$B$25)-1-3)&amp;" "&amp;"ngày","")))</f>
        <v/>
      </c>
      <c r="Y77" s="72" t="str">
        <f>IF(S77=0,"",IF(P77="Chuyển","",IF(P77="Nhập vào vụ khác","",IF(P77="BA",IF((S77-R77)&gt;10,"Quá hạn"&amp;" "&amp;(S77-R77-10)&amp;" "&amp;"ngày",""),IF((NETWORKDAYS(R77,S77,'Danh sách ngày nghỉ lễ'!$B$5:$B$25)-VLOOKUP(P77,'Thời hạn'!$A$17:$B$23,2,0))&gt;1,"Quá hạn"&amp;" "&amp;(NETWORKDAYS(R77,S77,'Danh sách ngày nghỉ lễ'!$B$5:$B$25)-1-VLOOKUP(P77,'Thời hạn'!$A$17:$B$23,2,0))&amp;" "&amp;"ngày","")))))</f>
        <v/>
      </c>
      <c r="Z77" s="23">
        <v>1</v>
      </c>
    </row>
    <row r="78" spans="1:26" s="24" customFormat="1" ht="15.6" x14ac:dyDescent="0.3">
      <c r="A78" s="24">
        <v>1</v>
      </c>
      <c r="B78" s="39"/>
      <c r="C78" s="33"/>
      <c r="D78" s="25"/>
      <c r="E78" s="25"/>
      <c r="F78" s="34"/>
      <c r="G78" s="34"/>
      <c r="H78" s="25"/>
      <c r="I78" s="70" t="str">
        <f>IF(C78="Trả lại đơn vụ","",IF(C78="Trả lại đơn việc","",IF(C78="Hòa giải thành","",IF(F78=0,"",EDATE(F78,VLOOKUP(C78,'Thời hạn'!$D$1:$E$10,2,0))+H78))))</f>
        <v/>
      </c>
      <c r="J78" s="59" t="str">
        <f t="shared" ca="1" si="1"/>
        <v/>
      </c>
      <c r="K78" s="25"/>
      <c r="L78" s="129"/>
      <c r="M78" s="130"/>
      <c r="N78" s="33"/>
      <c r="O78" s="34"/>
      <c r="P78" s="25"/>
      <c r="Q78" s="25"/>
      <c r="R78" s="34"/>
      <c r="S78" s="34"/>
      <c r="T78" s="137"/>
      <c r="U78" s="137"/>
      <c r="V78" s="36"/>
      <c r="W78" s="37"/>
      <c r="X78" s="71" t="str">
        <f>IF(C78="Trả lại đơn vụ","",IF(C78="Trả lại đơn việc","",IF((NETWORKDAYS(F78,G78,'Danh sách ngày nghỉ lễ'!$B$5:$B$25)-1-3)&gt;0,"Quá hạn"&amp;" "&amp;(NETWORKDAYS(F78,G78,'Danh sách ngày nghỉ lễ'!$B$5:$B$25)-1-3)&amp;" "&amp;"ngày","")))</f>
        <v/>
      </c>
      <c r="Y78" s="72" t="str">
        <f>IF(S78=0,"",IF(P78="Chuyển","",IF(P78="Nhập vào vụ khác","",IF(P78="BA",IF((S78-R78)&gt;10,"Quá hạn"&amp;" "&amp;(S78-R78-10)&amp;" "&amp;"ngày",""),IF((NETWORKDAYS(R78,S78,'Danh sách ngày nghỉ lễ'!$B$5:$B$25)-VLOOKUP(P78,'Thời hạn'!$A$17:$B$23,2,0))&gt;1,"Quá hạn"&amp;" "&amp;(NETWORKDAYS(R78,S78,'Danh sách ngày nghỉ lễ'!$B$5:$B$25)-1-VLOOKUP(P78,'Thời hạn'!$A$17:$B$23,2,0))&amp;" "&amp;"ngày","")))))</f>
        <v/>
      </c>
      <c r="Z78" s="23">
        <v>1</v>
      </c>
    </row>
    <row r="79" spans="1:26" s="24" customFormat="1" ht="15.6" x14ac:dyDescent="0.3">
      <c r="A79" s="24">
        <v>1</v>
      </c>
      <c r="B79" s="39"/>
      <c r="C79" s="33"/>
      <c r="D79" s="25"/>
      <c r="E79" s="25"/>
      <c r="F79" s="34"/>
      <c r="G79" s="34"/>
      <c r="H79" s="25"/>
      <c r="I79" s="70" t="str">
        <f>IF(C79="Trả lại đơn vụ","",IF(C79="Trả lại đơn việc","",IF(C79="Hòa giải thành","",IF(F79=0,"",EDATE(F79,VLOOKUP(C79,'Thời hạn'!$D$1:$E$10,2,0))+H79))))</f>
        <v/>
      </c>
      <c r="J79" s="59" t="str">
        <f t="shared" ca="1" si="1"/>
        <v/>
      </c>
      <c r="K79" s="25"/>
      <c r="L79" s="129"/>
      <c r="M79" s="130"/>
      <c r="N79" s="33"/>
      <c r="O79" s="34"/>
      <c r="P79" s="25"/>
      <c r="Q79" s="25"/>
      <c r="R79" s="34"/>
      <c r="S79" s="34"/>
      <c r="T79" s="137"/>
      <c r="U79" s="137"/>
      <c r="V79" s="36"/>
      <c r="W79" s="37"/>
      <c r="X79" s="71" t="str">
        <f>IF(C79="Trả lại đơn vụ","",IF(C79="Trả lại đơn việc","",IF((NETWORKDAYS(F79,G79,'Danh sách ngày nghỉ lễ'!$B$5:$B$25)-1-3)&gt;0,"Quá hạn"&amp;" "&amp;(NETWORKDAYS(F79,G79,'Danh sách ngày nghỉ lễ'!$B$5:$B$25)-1-3)&amp;" "&amp;"ngày","")))</f>
        <v/>
      </c>
      <c r="Y79" s="72" t="str">
        <f>IF(S79=0,"",IF(P79="Chuyển","",IF(P79="Nhập vào vụ khác","",IF(P79="BA",IF((S79-R79)&gt;10,"Quá hạn"&amp;" "&amp;(S79-R79-10)&amp;" "&amp;"ngày",""),IF((NETWORKDAYS(R79,S79,'Danh sách ngày nghỉ lễ'!$B$5:$B$25)-VLOOKUP(P79,'Thời hạn'!$A$17:$B$23,2,0))&gt;1,"Quá hạn"&amp;" "&amp;(NETWORKDAYS(R79,S79,'Danh sách ngày nghỉ lễ'!$B$5:$B$25)-1-VLOOKUP(P79,'Thời hạn'!$A$17:$B$23,2,0))&amp;" "&amp;"ngày","")))))</f>
        <v/>
      </c>
      <c r="Z79" s="23">
        <v>1</v>
      </c>
    </row>
    <row r="80" spans="1:26" s="24" customFormat="1" ht="15.6" x14ac:dyDescent="0.3">
      <c r="A80" s="24">
        <v>1</v>
      </c>
      <c r="B80" s="39"/>
      <c r="C80" s="33"/>
      <c r="D80" s="25"/>
      <c r="E80" s="25"/>
      <c r="F80" s="34"/>
      <c r="G80" s="34"/>
      <c r="H80" s="25"/>
      <c r="I80" s="70" t="str">
        <f>IF(C80="Trả lại đơn vụ","",IF(C80="Trả lại đơn việc","",IF(C80="Hòa giải thành","",IF(F80=0,"",EDATE(F80,VLOOKUP(C80,'Thời hạn'!$D$1:$E$10,2,0))+H80))))</f>
        <v/>
      </c>
      <c r="J80" s="59" t="str">
        <f t="shared" ca="1" si="1"/>
        <v/>
      </c>
      <c r="K80" s="25"/>
      <c r="L80" s="129"/>
      <c r="M80" s="130"/>
      <c r="N80" s="33"/>
      <c r="O80" s="34"/>
      <c r="P80" s="25"/>
      <c r="Q80" s="25"/>
      <c r="R80" s="34"/>
      <c r="S80" s="34"/>
      <c r="T80" s="137"/>
      <c r="U80" s="137"/>
      <c r="V80" s="36"/>
      <c r="W80" s="37"/>
      <c r="X80" s="71" t="str">
        <f>IF(C80="Trả lại đơn vụ","",IF(C80="Trả lại đơn việc","",IF((NETWORKDAYS(F80,G80,'Danh sách ngày nghỉ lễ'!$B$5:$B$25)-1-3)&gt;0,"Quá hạn"&amp;" "&amp;(NETWORKDAYS(F80,G80,'Danh sách ngày nghỉ lễ'!$B$5:$B$25)-1-3)&amp;" "&amp;"ngày","")))</f>
        <v/>
      </c>
      <c r="Y80" s="72" t="str">
        <f>IF(S80=0,"",IF(P80="Chuyển","",IF(P80="Nhập vào vụ khác","",IF(P80="BA",IF((S80-R80)&gt;10,"Quá hạn"&amp;" "&amp;(S80-R80-10)&amp;" "&amp;"ngày",""),IF((NETWORKDAYS(R80,S80,'Danh sách ngày nghỉ lễ'!$B$5:$B$25)-VLOOKUP(P80,'Thời hạn'!$A$17:$B$23,2,0))&gt;1,"Quá hạn"&amp;" "&amp;(NETWORKDAYS(R80,S80,'Danh sách ngày nghỉ lễ'!$B$5:$B$25)-1-VLOOKUP(P80,'Thời hạn'!$A$17:$B$23,2,0))&amp;" "&amp;"ngày","")))))</f>
        <v/>
      </c>
      <c r="Z80" s="23">
        <v>1</v>
      </c>
    </row>
    <row r="81" spans="1:26" s="24" customFormat="1" ht="15.6" x14ac:dyDescent="0.3">
      <c r="A81" s="24">
        <v>1</v>
      </c>
      <c r="B81" s="39"/>
      <c r="C81" s="33"/>
      <c r="D81" s="25"/>
      <c r="E81" s="25"/>
      <c r="F81" s="34"/>
      <c r="G81" s="34"/>
      <c r="H81" s="25"/>
      <c r="I81" s="70" t="str">
        <f>IF(C81="Trả lại đơn vụ","",IF(C81="Trả lại đơn việc","",IF(C81="Hòa giải thành","",IF(F81=0,"",EDATE(F81,VLOOKUP(C81,'Thời hạn'!$D$1:$E$10,2,0))+H81))))</f>
        <v/>
      </c>
      <c r="J81" s="59" t="str">
        <f t="shared" ca="1" si="1"/>
        <v/>
      </c>
      <c r="K81" s="25"/>
      <c r="L81" s="129"/>
      <c r="M81" s="130"/>
      <c r="N81" s="33"/>
      <c r="O81" s="34"/>
      <c r="P81" s="25"/>
      <c r="Q81" s="25"/>
      <c r="R81" s="34"/>
      <c r="S81" s="34"/>
      <c r="T81" s="137"/>
      <c r="U81" s="137"/>
      <c r="V81" s="36"/>
      <c r="W81" s="37"/>
      <c r="X81" s="71" t="str">
        <f>IF(C81="Trả lại đơn vụ","",IF(C81="Trả lại đơn việc","",IF((NETWORKDAYS(F81,G81,'Danh sách ngày nghỉ lễ'!$B$5:$B$25)-1-3)&gt;0,"Quá hạn"&amp;" "&amp;(NETWORKDAYS(F81,G81,'Danh sách ngày nghỉ lễ'!$B$5:$B$25)-1-3)&amp;" "&amp;"ngày","")))</f>
        <v/>
      </c>
      <c r="Y81" s="72" t="str">
        <f>IF(S81=0,"",IF(P81="Chuyển","",IF(P81="Nhập vào vụ khác","",IF(P81="BA",IF((S81-R81)&gt;10,"Quá hạn"&amp;" "&amp;(S81-R81-10)&amp;" "&amp;"ngày",""),IF((NETWORKDAYS(R81,S81,'Danh sách ngày nghỉ lễ'!$B$5:$B$25)-VLOOKUP(P81,'Thời hạn'!$A$17:$B$23,2,0))&gt;1,"Quá hạn"&amp;" "&amp;(NETWORKDAYS(R81,S81,'Danh sách ngày nghỉ lễ'!$B$5:$B$25)-1-VLOOKUP(P81,'Thời hạn'!$A$17:$B$23,2,0))&amp;" "&amp;"ngày","")))))</f>
        <v/>
      </c>
      <c r="Z81" s="23">
        <v>1</v>
      </c>
    </row>
    <row r="82" spans="1:26" s="24" customFormat="1" ht="15.6" x14ac:dyDescent="0.3">
      <c r="A82" s="24">
        <v>1</v>
      </c>
      <c r="B82" s="39"/>
      <c r="C82" s="33"/>
      <c r="D82" s="25"/>
      <c r="E82" s="25"/>
      <c r="F82" s="34"/>
      <c r="G82" s="34"/>
      <c r="H82" s="25"/>
      <c r="I82" s="70" t="str">
        <f>IF(C82="Trả lại đơn vụ","",IF(C82="Trả lại đơn việc","",IF(C82="Hòa giải thành","",IF(F82=0,"",EDATE(F82,VLOOKUP(C82,'Thời hạn'!$D$1:$E$10,2,0))+H82))))</f>
        <v/>
      </c>
      <c r="J82" s="59" t="str">
        <f t="shared" ca="1" si="1"/>
        <v/>
      </c>
      <c r="K82" s="25"/>
      <c r="L82" s="129"/>
      <c r="M82" s="130"/>
      <c r="N82" s="33"/>
      <c r="O82" s="34"/>
      <c r="P82" s="25"/>
      <c r="Q82" s="25"/>
      <c r="R82" s="34"/>
      <c r="S82" s="34"/>
      <c r="T82" s="137"/>
      <c r="U82" s="137"/>
      <c r="V82" s="36"/>
      <c r="W82" s="37"/>
      <c r="X82" s="71" t="str">
        <f>IF(C82="Trả lại đơn vụ","",IF(C82="Trả lại đơn việc","",IF((NETWORKDAYS(F82,G82,'Danh sách ngày nghỉ lễ'!$B$5:$B$25)-1-3)&gt;0,"Quá hạn"&amp;" "&amp;(NETWORKDAYS(F82,G82,'Danh sách ngày nghỉ lễ'!$B$5:$B$25)-1-3)&amp;" "&amp;"ngày","")))</f>
        <v/>
      </c>
      <c r="Y82" s="72" t="str">
        <f>IF(S82=0,"",IF(P82="Chuyển","",IF(P82="Nhập vào vụ khác","",IF(P82="BA",IF((S82-R82)&gt;10,"Quá hạn"&amp;" "&amp;(S82-R82-10)&amp;" "&amp;"ngày",""),IF((NETWORKDAYS(R82,S82,'Danh sách ngày nghỉ lễ'!$B$5:$B$25)-VLOOKUP(P82,'Thời hạn'!$A$17:$B$23,2,0))&gt;1,"Quá hạn"&amp;" "&amp;(NETWORKDAYS(R82,S82,'Danh sách ngày nghỉ lễ'!$B$5:$B$25)-1-VLOOKUP(P82,'Thời hạn'!$A$17:$B$23,2,0))&amp;" "&amp;"ngày","")))))</f>
        <v/>
      </c>
      <c r="Z82" s="23">
        <v>1</v>
      </c>
    </row>
    <row r="83" spans="1:26" s="24" customFormat="1" ht="15.6" x14ac:dyDescent="0.3">
      <c r="A83" s="24">
        <v>1</v>
      </c>
      <c r="B83" s="39"/>
      <c r="C83" s="33"/>
      <c r="D83" s="25"/>
      <c r="E83" s="25"/>
      <c r="F83" s="34"/>
      <c r="G83" s="34"/>
      <c r="H83" s="25"/>
      <c r="I83" s="70" t="str">
        <f>IF(C83="Trả lại đơn vụ","",IF(C83="Trả lại đơn việc","",IF(C83="Hòa giải thành","",IF(F83=0,"",EDATE(F83,VLOOKUP(C83,'Thời hạn'!$D$1:$E$10,2,0))+H83))))</f>
        <v/>
      </c>
      <c r="J83" s="59" t="str">
        <f t="shared" ca="1" si="1"/>
        <v/>
      </c>
      <c r="K83" s="25"/>
      <c r="L83" s="129"/>
      <c r="M83" s="130"/>
      <c r="N83" s="33"/>
      <c r="O83" s="34"/>
      <c r="P83" s="25"/>
      <c r="Q83" s="25"/>
      <c r="R83" s="34"/>
      <c r="S83" s="34"/>
      <c r="T83" s="137"/>
      <c r="U83" s="137"/>
      <c r="V83" s="36"/>
      <c r="W83" s="37"/>
      <c r="X83" s="71" t="str">
        <f>IF(C83="Trả lại đơn vụ","",IF(C83="Trả lại đơn việc","",IF((NETWORKDAYS(F83,G83,'Danh sách ngày nghỉ lễ'!$B$5:$B$25)-1-3)&gt;0,"Quá hạn"&amp;" "&amp;(NETWORKDAYS(F83,G83,'Danh sách ngày nghỉ lễ'!$B$5:$B$25)-1-3)&amp;" "&amp;"ngày","")))</f>
        <v/>
      </c>
      <c r="Y83" s="72" t="str">
        <f>IF(S83=0,"",IF(P83="Chuyển","",IF(P83="Nhập vào vụ khác","",IF(P83="BA",IF((S83-R83)&gt;10,"Quá hạn"&amp;" "&amp;(S83-R83-10)&amp;" "&amp;"ngày",""),IF((NETWORKDAYS(R83,S83,'Danh sách ngày nghỉ lễ'!$B$5:$B$25)-VLOOKUP(P83,'Thời hạn'!$A$17:$B$23,2,0))&gt;1,"Quá hạn"&amp;" "&amp;(NETWORKDAYS(R83,S83,'Danh sách ngày nghỉ lễ'!$B$5:$B$25)-1-VLOOKUP(P83,'Thời hạn'!$A$17:$B$23,2,0))&amp;" "&amp;"ngày","")))))</f>
        <v/>
      </c>
      <c r="Z83" s="23">
        <v>1</v>
      </c>
    </row>
    <row r="84" spans="1:26" s="24" customFormat="1" ht="15.6" x14ac:dyDescent="0.3">
      <c r="A84" s="24">
        <v>1</v>
      </c>
      <c r="B84" s="39"/>
      <c r="C84" s="33"/>
      <c r="D84" s="25"/>
      <c r="E84" s="25"/>
      <c r="F84" s="34"/>
      <c r="G84" s="34"/>
      <c r="H84" s="25"/>
      <c r="I84" s="70" t="str">
        <f>IF(C84="Trả lại đơn vụ","",IF(C84="Trả lại đơn việc","",IF(C84="Hòa giải thành","",IF(F84=0,"",EDATE(F84,VLOOKUP(C84,'Thời hạn'!$D$1:$E$10,2,0))+H84))))</f>
        <v/>
      </c>
      <c r="J84" s="59" t="str">
        <f t="shared" ca="1" si="1"/>
        <v/>
      </c>
      <c r="K84" s="25"/>
      <c r="L84" s="129"/>
      <c r="M84" s="130"/>
      <c r="N84" s="33"/>
      <c r="O84" s="34"/>
      <c r="P84" s="25"/>
      <c r="Q84" s="25"/>
      <c r="R84" s="34"/>
      <c r="S84" s="34"/>
      <c r="T84" s="137"/>
      <c r="U84" s="137"/>
      <c r="V84" s="36"/>
      <c r="W84" s="37"/>
      <c r="X84" s="71" t="str">
        <f>IF(C84="Trả lại đơn vụ","",IF(C84="Trả lại đơn việc","",IF((NETWORKDAYS(F84,G84,'Danh sách ngày nghỉ lễ'!$B$5:$B$25)-1-3)&gt;0,"Quá hạn"&amp;" "&amp;(NETWORKDAYS(F84,G84,'Danh sách ngày nghỉ lễ'!$B$5:$B$25)-1-3)&amp;" "&amp;"ngày","")))</f>
        <v/>
      </c>
      <c r="Y84" s="72" t="str">
        <f>IF(S84=0,"",IF(P84="Chuyển","",IF(P84="Nhập vào vụ khác","",IF(P84="BA",IF((S84-R84)&gt;10,"Quá hạn"&amp;" "&amp;(S84-R84-10)&amp;" "&amp;"ngày",""),IF((NETWORKDAYS(R84,S84,'Danh sách ngày nghỉ lễ'!$B$5:$B$25)-VLOOKUP(P84,'Thời hạn'!$A$17:$B$23,2,0))&gt;1,"Quá hạn"&amp;" "&amp;(NETWORKDAYS(R84,S84,'Danh sách ngày nghỉ lễ'!$B$5:$B$25)-1-VLOOKUP(P84,'Thời hạn'!$A$17:$B$23,2,0))&amp;" "&amp;"ngày","")))))</f>
        <v/>
      </c>
      <c r="Z84" s="23">
        <v>1</v>
      </c>
    </row>
    <row r="85" spans="1:26" s="24" customFormat="1" ht="15.6" x14ac:dyDescent="0.3">
      <c r="A85" s="24">
        <v>1</v>
      </c>
      <c r="B85" s="39"/>
      <c r="C85" s="33"/>
      <c r="D85" s="25"/>
      <c r="E85" s="25"/>
      <c r="F85" s="34"/>
      <c r="G85" s="34"/>
      <c r="H85" s="25"/>
      <c r="I85" s="70" t="str">
        <f>IF(C85="Trả lại đơn vụ","",IF(C85="Trả lại đơn việc","",IF(C85="Hòa giải thành","",IF(F85=0,"",EDATE(F85,VLOOKUP(C85,'Thời hạn'!$D$1:$E$10,2,0))+H85))))</f>
        <v/>
      </c>
      <c r="J85" s="59" t="str">
        <f t="shared" ca="1" si="1"/>
        <v/>
      </c>
      <c r="K85" s="25"/>
      <c r="L85" s="129"/>
      <c r="M85" s="130"/>
      <c r="N85" s="33"/>
      <c r="O85" s="34"/>
      <c r="P85" s="25"/>
      <c r="Q85" s="25"/>
      <c r="R85" s="34"/>
      <c r="S85" s="34"/>
      <c r="T85" s="137"/>
      <c r="U85" s="137"/>
      <c r="V85" s="36"/>
      <c r="W85" s="37"/>
      <c r="X85" s="71" t="str">
        <f>IF(C85="Trả lại đơn vụ","",IF(C85="Trả lại đơn việc","",IF((NETWORKDAYS(F85,G85,'Danh sách ngày nghỉ lễ'!$B$5:$B$25)-1-3)&gt;0,"Quá hạn"&amp;" "&amp;(NETWORKDAYS(F85,G85,'Danh sách ngày nghỉ lễ'!$B$5:$B$25)-1-3)&amp;" "&amp;"ngày","")))</f>
        <v/>
      </c>
      <c r="Y85" s="72" t="str">
        <f>IF(S85=0,"",IF(P85="Chuyển","",IF(P85="Nhập vào vụ khác","",IF(P85="BA",IF((S85-R85)&gt;10,"Quá hạn"&amp;" "&amp;(S85-R85-10)&amp;" "&amp;"ngày",""),IF((NETWORKDAYS(R85,S85,'Danh sách ngày nghỉ lễ'!$B$5:$B$25)-VLOOKUP(P85,'Thời hạn'!$A$17:$B$23,2,0))&gt;1,"Quá hạn"&amp;" "&amp;(NETWORKDAYS(R85,S85,'Danh sách ngày nghỉ lễ'!$B$5:$B$25)-1-VLOOKUP(P85,'Thời hạn'!$A$17:$B$23,2,0))&amp;" "&amp;"ngày","")))))</f>
        <v/>
      </c>
      <c r="Z85" s="23">
        <v>1</v>
      </c>
    </row>
    <row r="86" spans="1:26" s="24" customFormat="1" ht="15.6" x14ac:dyDescent="0.3">
      <c r="A86" s="24">
        <v>1</v>
      </c>
      <c r="B86" s="39"/>
      <c r="C86" s="33"/>
      <c r="D86" s="25"/>
      <c r="E86" s="25"/>
      <c r="F86" s="34"/>
      <c r="G86" s="34"/>
      <c r="H86" s="25"/>
      <c r="I86" s="70" t="str">
        <f>IF(C86="Trả lại đơn vụ","",IF(C86="Trả lại đơn việc","",IF(C86="Hòa giải thành","",IF(F86=0,"",EDATE(F86,VLOOKUP(C86,'Thời hạn'!$D$1:$E$10,2,0))+H86))))</f>
        <v/>
      </c>
      <c r="J86" s="59" t="str">
        <f t="shared" ca="1" si="1"/>
        <v/>
      </c>
      <c r="K86" s="25"/>
      <c r="L86" s="129"/>
      <c r="M86" s="130"/>
      <c r="N86" s="33"/>
      <c r="O86" s="34"/>
      <c r="P86" s="25"/>
      <c r="Q86" s="25"/>
      <c r="R86" s="34"/>
      <c r="S86" s="34"/>
      <c r="T86" s="137"/>
      <c r="U86" s="137"/>
      <c r="V86" s="36"/>
      <c r="W86" s="37"/>
      <c r="X86" s="71" t="str">
        <f>IF(C86="Trả lại đơn vụ","",IF(C86="Trả lại đơn việc","",IF((NETWORKDAYS(F86,G86,'Danh sách ngày nghỉ lễ'!$B$5:$B$25)-1-3)&gt;0,"Quá hạn"&amp;" "&amp;(NETWORKDAYS(F86,G86,'Danh sách ngày nghỉ lễ'!$B$5:$B$25)-1-3)&amp;" "&amp;"ngày","")))</f>
        <v/>
      </c>
      <c r="Y86" s="72" t="str">
        <f>IF(S86=0,"",IF(P86="Chuyển","",IF(P86="Nhập vào vụ khác","",IF(P86="BA",IF((S86-R86)&gt;10,"Quá hạn"&amp;" "&amp;(S86-R86-10)&amp;" "&amp;"ngày",""),IF((NETWORKDAYS(R86,S86,'Danh sách ngày nghỉ lễ'!$B$5:$B$25)-VLOOKUP(P86,'Thời hạn'!$A$17:$B$23,2,0))&gt;1,"Quá hạn"&amp;" "&amp;(NETWORKDAYS(R86,S86,'Danh sách ngày nghỉ lễ'!$B$5:$B$25)-1-VLOOKUP(P86,'Thời hạn'!$A$17:$B$23,2,0))&amp;" "&amp;"ngày","")))))</f>
        <v/>
      </c>
      <c r="Z86" s="23">
        <v>1</v>
      </c>
    </row>
    <row r="87" spans="1:26" s="24" customFormat="1" ht="15.6" x14ac:dyDescent="0.3">
      <c r="A87" s="24">
        <v>1</v>
      </c>
      <c r="B87" s="39"/>
      <c r="C87" s="33"/>
      <c r="D87" s="25"/>
      <c r="E87" s="25"/>
      <c r="F87" s="34"/>
      <c r="G87" s="34"/>
      <c r="H87" s="25"/>
      <c r="I87" s="70" t="str">
        <f>IF(C87="Trả lại đơn vụ","",IF(C87="Trả lại đơn việc","",IF(C87="Hòa giải thành","",IF(F87=0,"",EDATE(F87,VLOOKUP(C87,'Thời hạn'!$D$1:$E$10,2,0))+H87))))</f>
        <v/>
      </c>
      <c r="J87" s="59" t="str">
        <f t="shared" ca="1" si="1"/>
        <v/>
      </c>
      <c r="K87" s="25"/>
      <c r="L87" s="129"/>
      <c r="M87" s="130"/>
      <c r="N87" s="33"/>
      <c r="O87" s="34"/>
      <c r="P87" s="25"/>
      <c r="Q87" s="25"/>
      <c r="R87" s="34"/>
      <c r="S87" s="34"/>
      <c r="T87" s="137"/>
      <c r="U87" s="137"/>
      <c r="V87" s="36"/>
      <c r="W87" s="37"/>
      <c r="X87" s="71" t="str">
        <f>IF(C87="Trả lại đơn vụ","",IF(C87="Trả lại đơn việc","",IF((NETWORKDAYS(F87,G87,'Danh sách ngày nghỉ lễ'!$B$5:$B$25)-1-3)&gt;0,"Quá hạn"&amp;" "&amp;(NETWORKDAYS(F87,G87,'Danh sách ngày nghỉ lễ'!$B$5:$B$25)-1-3)&amp;" "&amp;"ngày","")))</f>
        <v/>
      </c>
      <c r="Y87" s="72" t="str">
        <f>IF(S87=0,"",IF(P87="Chuyển","",IF(P87="Nhập vào vụ khác","",IF(P87="BA",IF((S87-R87)&gt;10,"Quá hạn"&amp;" "&amp;(S87-R87-10)&amp;" "&amp;"ngày",""),IF((NETWORKDAYS(R87,S87,'Danh sách ngày nghỉ lễ'!$B$5:$B$25)-VLOOKUP(P87,'Thời hạn'!$A$17:$B$23,2,0))&gt;1,"Quá hạn"&amp;" "&amp;(NETWORKDAYS(R87,S87,'Danh sách ngày nghỉ lễ'!$B$5:$B$25)-1-VLOOKUP(P87,'Thời hạn'!$A$17:$B$23,2,0))&amp;" "&amp;"ngày","")))))</f>
        <v/>
      </c>
      <c r="Z87" s="23">
        <v>1</v>
      </c>
    </row>
    <row r="88" spans="1:26" s="24" customFormat="1" ht="15.6" x14ac:dyDescent="0.3">
      <c r="A88" s="24">
        <v>1</v>
      </c>
      <c r="B88" s="39"/>
      <c r="C88" s="33"/>
      <c r="D88" s="25"/>
      <c r="E88" s="25"/>
      <c r="F88" s="34"/>
      <c r="G88" s="34"/>
      <c r="H88" s="25"/>
      <c r="I88" s="70" t="str">
        <f>IF(C88="Trả lại đơn vụ","",IF(C88="Trả lại đơn việc","",IF(C88="Hòa giải thành","",IF(F88=0,"",EDATE(F88,VLOOKUP(C88,'Thời hạn'!$D$1:$E$10,2,0))+H88))))</f>
        <v/>
      </c>
      <c r="J88" s="59" t="str">
        <f t="shared" ca="1" si="1"/>
        <v/>
      </c>
      <c r="K88" s="25"/>
      <c r="L88" s="129"/>
      <c r="M88" s="130"/>
      <c r="N88" s="33"/>
      <c r="O88" s="34"/>
      <c r="P88" s="25"/>
      <c r="Q88" s="25"/>
      <c r="R88" s="34"/>
      <c r="S88" s="34"/>
      <c r="T88" s="137"/>
      <c r="U88" s="137"/>
      <c r="V88" s="36"/>
      <c r="W88" s="37"/>
      <c r="X88" s="71" t="str">
        <f>IF(C88="Trả lại đơn vụ","",IF(C88="Trả lại đơn việc","",IF((NETWORKDAYS(F88,G88,'Danh sách ngày nghỉ lễ'!$B$5:$B$25)-1-3)&gt;0,"Quá hạn"&amp;" "&amp;(NETWORKDAYS(F88,G88,'Danh sách ngày nghỉ lễ'!$B$5:$B$25)-1-3)&amp;" "&amp;"ngày","")))</f>
        <v/>
      </c>
      <c r="Y88" s="72" t="str">
        <f>IF(S88=0,"",IF(P88="Chuyển","",IF(P88="Nhập vào vụ khác","",IF(P88="BA",IF((S88-R88)&gt;10,"Quá hạn"&amp;" "&amp;(S88-R88-10)&amp;" "&amp;"ngày",""),IF((NETWORKDAYS(R88,S88,'Danh sách ngày nghỉ lễ'!$B$5:$B$25)-VLOOKUP(P88,'Thời hạn'!$A$17:$B$23,2,0))&gt;1,"Quá hạn"&amp;" "&amp;(NETWORKDAYS(R88,S88,'Danh sách ngày nghỉ lễ'!$B$5:$B$25)-1-VLOOKUP(P88,'Thời hạn'!$A$17:$B$23,2,0))&amp;" "&amp;"ngày","")))))</f>
        <v/>
      </c>
      <c r="Z88" s="23">
        <v>1</v>
      </c>
    </row>
    <row r="89" spans="1:26" s="24" customFormat="1" ht="15.6" x14ac:dyDescent="0.3">
      <c r="A89" s="24">
        <v>1</v>
      </c>
      <c r="B89" s="39"/>
      <c r="C89" s="33"/>
      <c r="D89" s="25"/>
      <c r="E89" s="25"/>
      <c r="F89" s="34"/>
      <c r="G89" s="34"/>
      <c r="H89" s="25"/>
      <c r="I89" s="70" t="str">
        <f>IF(C89="Trả lại đơn vụ","",IF(C89="Trả lại đơn việc","",IF(C89="Hòa giải thành","",IF(F89=0,"",EDATE(F89,VLOOKUP(C89,'Thời hạn'!$D$1:$E$10,2,0))+H89))))</f>
        <v/>
      </c>
      <c r="J89" s="59" t="str">
        <f t="shared" ca="1" si="1"/>
        <v/>
      </c>
      <c r="K89" s="25"/>
      <c r="L89" s="129"/>
      <c r="M89" s="130"/>
      <c r="N89" s="33"/>
      <c r="O89" s="34"/>
      <c r="P89" s="25"/>
      <c r="Q89" s="25"/>
      <c r="R89" s="34"/>
      <c r="S89" s="34"/>
      <c r="T89" s="137"/>
      <c r="U89" s="137"/>
      <c r="V89" s="36"/>
      <c r="W89" s="37"/>
      <c r="X89" s="71" t="str">
        <f>IF(C89="Trả lại đơn vụ","",IF(C89="Trả lại đơn việc","",IF((NETWORKDAYS(F89,G89,'Danh sách ngày nghỉ lễ'!$B$5:$B$25)-1-3)&gt;0,"Quá hạn"&amp;" "&amp;(NETWORKDAYS(F89,G89,'Danh sách ngày nghỉ lễ'!$B$5:$B$25)-1-3)&amp;" "&amp;"ngày","")))</f>
        <v/>
      </c>
      <c r="Y89" s="72" t="str">
        <f>IF(S89=0,"",IF(P89="Chuyển","",IF(P89="Nhập vào vụ khác","",IF(P89="BA",IF((S89-R89)&gt;10,"Quá hạn"&amp;" "&amp;(S89-R89-10)&amp;" "&amp;"ngày",""),IF((NETWORKDAYS(R89,S89,'Danh sách ngày nghỉ lễ'!$B$5:$B$25)-VLOOKUP(P89,'Thời hạn'!$A$17:$B$23,2,0))&gt;1,"Quá hạn"&amp;" "&amp;(NETWORKDAYS(R89,S89,'Danh sách ngày nghỉ lễ'!$B$5:$B$25)-1-VLOOKUP(P89,'Thời hạn'!$A$17:$B$23,2,0))&amp;" "&amp;"ngày","")))))</f>
        <v/>
      </c>
      <c r="Z89" s="23">
        <v>1</v>
      </c>
    </row>
    <row r="90" spans="1:26" s="24" customFormat="1" ht="15.6" x14ac:dyDescent="0.3">
      <c r="A90" s="24">
        <v>1</v>
      </c>
      <c r="B90" s="39"/>
      <c r="C90" s="33"/>
      <c r="D90" s="25"/>
      <c r="E90" s="25"/>
      <c r="F90" s="34"/>
      <c r="G90" s="34"/>
      <c r="H90" s="25"/>
      <c r="I90" s="70" t="str">
        <f>IF(C90="Trả lại đơn vụ","",IF(C90="Trả lại đơn việc","",IF(C90="Hòa giải thành","",IF(F90=0,"",EDATE(F90,VLOOKUP(C90,'Thời hạn'!$D$1:$E$10,2,0))+H90))))</f>
        <v/>
      </c>
      <c r="J90" s="59" t="str">
        <f t="shared" ca="1" si="1"/>
        <v/>
      </c>
      <c r="K90" s="25"/>
      <c r="L90" s="129"/>
      <c r="M90" s="130"/>
      <c r="N90" s="33"/>
      <c r="O90" s="34"/>
      <c r="P90" s="25"/>
      <c r="Q90" s="25"/>
      <c r="R90" s="34"/>
      <c r="S90" s="34"/>
      <c r="T90" s="137"/>
      <c r="U90" s="137"/>
      <c r="V90" s="36"/>
      <c r="W90" s="37"/>
      <c r="X90" s="71" t="str">
        <f>IF(C90="Trả lại đơn vụ","",IF(C90="Trả lại đơn việc","",IF((NETWORKDAYS(F90,G90,'Danh sách ngày nghỉ lễ'!$B$5:$B$25)-1-3)&gt;0,"Quá hạn"&amp;" "&amp;(NETWORKDAYS(F90,G90,'Danh sách ngày nghỉ lễ'!$B$5:$B$25)-1-3)&amp;" "&amp;"ngày","")))</f>
        <v/>
      </c>
      <c r="Y90" s="72" t="str">
        <f>IF(S90=0,"",IF(P90="Chuyển","",IF(P90="Nhập vào vụ khác","",IF(P90="BA",IF((S90-R90)&gt;10,"Quá hạn"&amp;" "&amp;(S90-R90-10)&amp;" "&amp;"ngày",""),IF((NETWORKDAYS(R90,S90,'Danh sách ngày nghỉ lễ'!$B$5:$B$25)-VLOOKUP(P90,'Thời hạn'!$A$17:$B$23,2,0))&gt;1,"Quá hạn"&amp;" "&amp;(NETWORKDAYS(R90,S90,'Danh sách ngày nghỉ lễ'!$B$5:$B$25)-1-VLOOKUP(P90,'Thời hạn'!$A$17:$B$23,2,0))&amp;" "&amp;"ngày","")))))</f>
        <v/>
      </c>
      <c r="Z90" s="23">
        <v>1</v>
      </c>
    </row>
    <row r="91" spans="1:26" s="24" customFormat="1" ht="15.6" x14ac:dyDescent="0.3">
      <c r="A91" s="24">
        <v>1</v>
      </c>
      <c r="B91" s="39"/>
      <c r="C91" s="33"/>
      <c r="D91" s="25"/>
      <c r="E91" s="25"/>
      <c r="F91" s="34"/>
      <c r="G91" s="34"/>
      <c r="H91" s="25"/>
      <c r="I91" s="70" t="str">
        <f>IF(C91="Trả lại đơn vụ","",IF(C91="Trả lại đơn việc","",IF(C91="Hòa giải thành","",IF(F91=0,"",EDATE(F91,VLOOKUP(C91,'Thời hạn'!$D$1:$E$10,2,0))+H91))))</f>
        <v/>
      </c>
      <c r="J91" s="59" t="str">
        <f t="shared" ca="1" si="1"/>
        <v/>
      </c>
      <c r="K91" s="25"/>
      <c r="L91" s="129"/>
      <c r="M91" s="130"/>
      <c r="N91" s="33"/>
      <c r="O91" s="34"/>
      <c r="P91" s="25"/>
      <c r="Q91" s="25"/>
      <c r="R91" s="34"/>
      <c r="S91" s="34"/>
      <c r="T91" s="137"/>
      <c r="U91" s="137"/>
      <c r="V91" s="36"/>
      <c r="W91" s="37"/>
      <c r="X91" s="71" t="str">
        <f>IF(C91="Trả lại đơn vụ","",IF(C91="Trả lại đơn việc","",IF((NETWORKDAYS(F91,G91,'Danh sách ngày nghỉ lễ'!$B$5:$B$25)-1-3)&gt;0,"Quá hạn"&amp;" "&amp;(NETWORKDAYS(F91,G91,'Danh sách ngày nghỉ lễ'!$B$5:$B$25)-1-3)&amp;" "&amp;"ngày","")))</f>
        <v/>
      </c>
      <c r="Y91" s="72" t="str">
        <f>IF(S91=0,"",IF(P91="Chuyển","",IF(P91="Nhập vào vụ khác","",IF(P91="BA",IF((S91-R91)&gt;10,"Quá hạn"&amp;" "&amp;(S91-R91-10)&amp;" "&amp;"ngày",""),IF((NETWORKDAYS(R91,S91,'Danh sách ngày nghỉ lễ'!$B$5:$B$25)-VLOOKUP(P91,'Thời hạn'!$A$17:$B$23,2,0))&gt;1,"Quá hạn"&amp;" "&amp;(NETWORKDAYS(R91,S91,'Danh sách ngày nghỉ lễ'!$B$5:$B$25)-1-VLOOKUP(P91,'Thời hạn'!$A$17:$B$23,2,0))&amp;" "&amp;"ngày","")))))</f>
        <v/>
      </c>
      <c r="Z91" s="23">
        <v>1</v>
      </c>
    </row>
    <row r="92" spans="1:26" s="24" customFormat="1" ht="15.6" x14ac:dyDescent="0.3">
      <c r="A92" s="24">
        <v>1</v>
      </c>
      <c r="B92" s="39"/>
      <c r="C92" s="33"/>
      <c r="D92" s="25"/>
      <c r="E92" s="25"/>
      <c r="F92" s="34"/>
      <c r="G92" s="34"/>
      <c r="H92" s="25"/>
      <c r="I92" s="70" t="str">
        <f>IF(C92="Trả lại đơn vụ","",IF(C92="Trả lại đơn việc","",IF(C92="Hòa giải thành","",IF(F92=0,"",EDATE(F92,VLOOKUP(C92,'Thời hạn'!$D$1:$E$10,2,0))+H92))))</f>
        <v/>
      </c>
      <c r="J92" s="59" t="str">
        <f t="shared" ca="1" si="1"/>
        <v/>
      </c>
      <c r="K92" s="25"/>
      <c r="L92" s="129"/>
      <c r="M92" s="130"/>
      <c r="N92" s="33"/>
      <c r="O92" s="34"/>
      <c r="P92" s="25"/>
      <c r="Q92" s="25"/>
      <c r="R92" s="34"/>
      <c r="S92" s="34"/>
      <c r="T92" s="137"/>
      <c r="U92" s="137"/>
      <c r="V92" s="36"/>
      <c r="W92" s="37"/>
      <c r="X92" s="71" t="str">
        <f>IF(C92="Trả lại đơn vụ","",IF(C92="Trả lại đơn việc","",IF((NETWORKDAYS(F92,G92,'Danh sách ngày nghỉ lễ'!$B$5:$B$25)-1-3)&gt;0,"Quá hạn"&amp;" "&amp;(NETWORKDAYS(F92,G92,'Danh sách ngày nghỉ lễ'!$B$5:$B$25)-1-3)&amp;" "&amp;"ngày","")))</f>
        <v/>
      </c>
      <c r="Y92" s="72" t="str">
        <f>IF(S92=0,"",IF(P92="Chuyển","",IF(P92="Nhập vào vụ khác","",IF(P92="BA",IF((S92-R92)&gt;10,"Quá hạn"&amp;" "&amp;(S92-R92-10)&amp;" "&amp;"ngày",""),IF((NETWORKDAYS(R92,S92,'Danh sách ngày nghỉ lễ'!$B$5:$B$25)-VLOOKUP(P92,'Thời hạn'!$A$17:$B$23,2,0))&gt;1,"Quá hạn"&amp;" "&amp;(NETWORKDAYS(R92,S92,'Danh sách ngày nghỉ lễ'!$B$5:$B$25)-1-VLOOKUP(P92,'Thời hạn'!$A$17:$B$23,2,0))&amp;" "&amp;"ngày","")))))</f>
        <v/>
      </c>
      <c r="Z92" s="23">
        <v>1</v>
      </c>
    </row>
    <row r="93" spans="1:26" s="24" customFormat="1" ht="15.6" x14ac:dyDescent="0.3">
      <c r="A93" s="24">
        <v>1</v>
      </c>
      <c r="B93" s="39"/>
      <c r="C93" s="33"/>
      <c r="D93" s="25"/>
      <c r="E93" s="25"/>
      <c r="F93" s="34"/>
      <c r="G93" s="34"/>
      <c r="H93" s="25"/>
      <c r="I93" s="70" t="str">
        <f>IF(C93="Trả lại đơn vụ","",IF(C93="Trả lại đơn việc","",IF(C93="Hòa giải thành","",IF(F93=0,"",EDATE(F93,VLOOKUP(C93,'Thời hạn'!$D$1:$E$10,2,0))+H93))))</f>
        <v/>
      </c>
      <c r="J93" s="59" t="str">
        <f t="shared" ca="1" si="1"/>
        <v/>
      </c>
      <c r="K93" s="25"/>
      <c r="L93" s="129"/>
      <c r="M93" s="130"/>
      <c r="N93" s="33"/>
      <c r="O93" s="34"/>
      <c r="P93" s="25"/>
      <c r="Q93" s="25"/>
      <c r="R93" s="34"/>
      <c r="S93" s="34"/>
      <c r="T93" s="137"/>
      <c r="U93" s="137"/>
      <c r="V93" s="36"/>
      <c r="W93" s="37"/>
      <c r="X93" s="71" t="str">
        <f>IF(C93="Trả lại đơn vụ","",IF(C93="Trả lại đơn việc","",IF((NETWORKDAYS(F93,G93,'Danh sách ngày nghỉ lễ'!$B$5:$B$25)-1-3)&gt;0,"Quá hạn"&amp;" "&amp;(NETWORKDAYS(F93,G93,'Danh sách ngày nghỉ lễ'!$B$5:$B$25)-1-3)&amp;" "&amp;"ngày","")))</f>
        <v/>
      </c>
      <c r="Y93" s="72" t="str">
        <f>IF(S93=0,"",IF(P93="Chuyển","",IF(P93="Nhập vào vụ khác","",IF(P93="BA",IF((S93-R93)&gt;10,"Quá hạn"&amp;" "&amp;(S93-R93-10)&amp;" "&amp;"ngày",""),IF((NETWORKDAYS(R93,S93,'Danh sách ngày nghỉ lễ'!$B$5:$B$25)-VLOOKUP(P93,'Thời hạn'!$A$17:$B$23,2,0))&gt;1,"Quá hạn"&amp;" "&amp;(NETWORKDAYS(R93,S93,'Danh sách ngày nghỉ lễ'!$B$5:$B$25)-1-VLOOKUP(P93,'Thời hạn'!$A$17:$B$23,2,0))&amp;" "&amp;"ngày","")))))</f>
        <v/>
      </c>
      <c r="Z93" s="23">
        <v>1</v>
      </c>
    </row>
    <row r="94" spans="1:26" s="24" customFormat="1" ht="15.6" x14ac:dyDescent="0.3">
      <c r="A94" s="24">
        <v>1</v>
      </c>
      <c r="B94" s="39"/>
      <c r="C94" s="33"/>
      <c r="D94" s="25"/>
      <c r="E94" s="25"/>
      <c r="F94" s="34"/>
      <c r="G94" s="34"/>
      <c r="H94" s="25"/>
      <c r="I94" s="70" t="str">
        <f>IF(C94="Trả lại đơn vụ","",IF(C94="Trả lại đơn việc","",IF(C94="Hòa giải thành","",IF(F94=0,"",EDATE(F94,VLOOKUP(C94,'Thời hạn'!$D$1:$E$10,2,0))+H94))))</f>
        <v/>
      </c>
      <c r="J94" s="59" t="str">
        <f t="shared" ca="1" si="1"/>
        <v/>
      </c>
      <c r="K94" s="25"/>
      <c r="L94" s="129"/>
      <c r="M94" s="130"/>
      <c r="N94" s="33"/>
      <c r="O94" s="34"/>
      <c r="P94" s="25"/>
      <c r="Q94" s="25"/>
      <c r="R94" s="34"/>
      <c r="S94" s="34"/>
      <c r="T94" s="137"/>
      <c r="U94" s="137"/>
      <c r="V94" s="36"/>
      <c r="W94" s="37"/>
      <c r="X94" s="71" t="str">
        <f>IF(C94="Trả lại đơn vụ","",IF(C94="Trả lại đơn việc","",IF((NETWORKDAYS(F94,G94,'Danh sách ngày nghỉ lễ'!$B$5:$B$25)-1-3)&gt;0,"Quá hạn"&amp;" "&amp;(NETWORKDAYS(F94,G94,'Danh sách ngày nghỉ lễ'!$B$5:$B$25)-1-3)&amp;" "&amp;"ngày","")))</f>
        <v/>
      </c>
      <c r="Y94" s="72" t="str">
        <f>IF(S94=0,"",IF(P94="Chuyển","",IF(P94="Nhập vào vụ khác","",IF(P94="BA",IF((S94-R94)&gt;10,"Quá hạn"&amp;" "&amp;(S94-R94-10)&amp;" "&amp;"ngày",""),IF((NETWORKDAYS(R94,S94,'Danh sách ngày nghỉ lễ'!$B$5:$B$25)-VLOOKUP(P94,'Thời hạn'!$A$17:$B$23,2,0))&gt;1,"Quá hạn"&amp;" "&amp;(NETWORKDAYS(R94,S94,'Danh sách ngày nghỉ lễ'!$B$5:$B$25)-1-VLOOKUP(P94,'Thời hạn'!$A$17:$B$23,2,0))&amp;" "&amp;"ngày","")))))</f>
        <v/>
      </c>
      <c r="Z94" s="23">
        <v>1</v>
      </c>
    </row>
    <row r="95" spans="1:26" s="24" customFormat="1" ht="15.6" x14ac:dyDescent="0.3">
      <c r="A95" s="24">
        <v>1</v>
      </c>
      <c r="B95" s="39"/>
      <c r="C95" s="33"/>
      <c r="D95" s="25"/>
      <c r="E95" s="25"/>
      <c r="F95" s="34"/>
      <c r="G95" s="34"/>
      <c r="H95" s="25"/>
      <c r="I95" s="70" t="str">
        <f>IF(C95="Trả lại đơn vụ","",IF(C95="Trả lại đơn việc","",IF(C95="Hòa giải thành","",IF(F95=0,"",EDATE(F95,VLOOKUP(C95,'Thời hạn'!$D$1:$E$10,2,0))+H95))))</f>
        <v/>
      </c>
      <c r="J95" s="59" t="str">
        <f t="shared" ca="1" si="1"/>
        <v/>
      </c>
      <c r="K95" s="25"/>
      <c r="L95" s="129"/>
      <c r="M95" s="130"/>
      <c r="N95" s="33"/>
      <c r="O95" s="34"/>
      <c r="P95" s="25"/>
      <c r="Q95" s="25"/>
      <c r="R95" s="34"/>
      <c r="S95" s="34"/>
      <c r="T95" s="137"/>
      <c r="U95" s="137"/>
      <c r="V95" s="36"/>
      <c r="W95" s="37"/>
      <c r="X95" s="71" t="str">
        <f>IF(C95="Trả lại đơn vụ","",IF(C95="Trả lại đơn việc","",IF((NETWORKDAYS(F95,G95,'Danh sách ngày nghỉ lễ'!$B$5:$B$25)-1-3)&gt;0,"Quá hạn"&amp;" "&amp;(NETWORKDAYS(F95,G95,'Danh sách ngày nghỉ lễ'!$B$5:$B$25)-1-3)&amp;" "&amp;"ngày","")))</f>
        <v/>
      </c>
      <c r="Y95" s="72" t="str">
        <f>IF(S95=0,"",IF(P95="Chuyển","",IF(P95="Nhập vào vụ khác","",IF(P95="BA",IF((S95-R95)&gt;10,"Quá hạn"&amp;" "&amp;(S95-R95-10)&amp;" "&amp;"ngày",""),IF((NETWORKDAYS(R95,S95,'Danh sách ngày nghỉ lễ'!$B$5:$B$25)-VLOOKUP(P95,'Thời hạn'!$A$17:$B$23,2,0))&gt;1,"Quá hạn"&amp;" "&amp;(NETWORKDAYS(R95,S95,'Danh sách ngày nghỉ lễ'!$B$5:$B$25)-1-VLOOKUP(P95,'Thời hạn'!$A$17:$B$23,2,0))&amp;" "&amp;"ngày","")))))</f>
        <v/>
      </c>
      <c r="Z95" s="23">
        <v>1</v>
      </c>
    </row>
    <row r="96" spans="1:26" s="24" customFormat="1" ht="15.6" x14ac:dyDescent="0.3">
      <c r="A96" s="24">
        <v>1</v>
      </c>
      <c r="B96" s="39"/>
      <c r="C96" s="33"/>
      <c r="D96" s="25"/>
      <c r="E96" s="25"/>
      <c r="F96" s="34"/>
      <c r="G96" s="34"/>
      <c r="H96" s="25"/>
      <c r="I96" s="70" t="str">
        <f>IF(C96="Trả lại đơn vụ","",IF(C96="Trả lại đơn việc","",IF(C96="Hòa giải thành","",IF(F96=0,"",EDATE(F96,VLOOKUP(C96,'Thời hạn'!$D$1:$E$10,2,0))+H96))))</f>
        <v/>
      </c>
      <c r="J96" s="59" t="str">
        <f t="shared" ca="1" si="1"/>
        <v/>
      </c>
      <c r="K96" s="25"/>
      <c r="L96" s="129"/>
      <c r="M96" s="130"/>
      <c r="N96" s="33"/>
      <c r="O96" s="34"/>
      <c r="P96" s="25"/>
      <c r="Q96" s="25"/>
      <c r="R96" s="34"/>
      <c r="S96" s="34"/>
      <c r="T96" s="137"/>
      <c r="U96" s="137"/>
      <c r="V96" s="36"/>
      <c r="W96" s="37"/>
      <c r="X96" s="71" t="str">
        <f>IF(C96="Trả lại đơn vụ","",IF(C96="Trả lại đơn việc","",IF((NETWORKDAYS(F96,G96,'Danh sách ngày nghỉ lễ'!$B$5:$B$25)-1-3)&gt;0,"Quá hạn"&amp;" "&amp;(NETWORKDAYS(F96,G96,'Danh sách ngày nghỉ lễ'!$B$5:$B$25)-1-3)&amp;" "&amp;"ngày","")))</f>
        <v/>
      </c>
      <c r="Y96" s="72" t="str">
        <f>IF(S96=0,"",IF(P96="Chuyển","",IF(P96="Nhập vào vụ khác","",IF(P96="BA",IF((S96-R96)&gt;10,"Quá hạn"&amp;" "&amp;(S96-R96-10)&amp;" "&amp;"ngày",""),IF((NETWORKDAYS(R96,S96,'Danh sách ngày nghỉ lễ'!$B$5:$B$25)-VLOOKUP(P96,'Thời hạn'!$A$17:$B$23,2,0))&gt;1,"Quá hạn"&amp;" "&amp;(NETWORKDAYS(R96,S96,'Danh sách ngày nghỉ lễ'!$B$5:$B$25)-1-VLOOKUP(P96,'Thời hạn'!$A$17:$B$23,2,0))&amp;" "&amp;"ngày","")))))</f>
        <v/>
      </c>
      <c r="Z96" s="23">
        <v>1</v>
      </c>
    </row>
    <row r="97" spans="1:26" s="24" customFormat="1" ht="15.6" x14ac:dyDescent="0.3">
      <c r="A97" s="24">
        <v>1</v>
      </c>
      <c r="B97" s="39"/>
      <c r="C97" s="33"/>
      <c r="D97" s="25"/>
      <c r="E97" s="25"/>
      <c r="F97" s="34"/>
      <c r="G97" s="34"/>
      <c r="H97" s="25"/>
      <c r="I97" s="70" t="str">
        <f>IF(C97="Trả lại đơn vụ","",IF(C97="Trả lại đơn việc","",IF(C97="Hòa giải thành","",IF(F97=0,"",EDATE(F97,VLOOKUP(C97,'Thời hạn'!$D$1:$E$10,2,0))+H97))))</f>
        <v/>
      </c>
      <c r="J97" s="59" t="str">
        <f t="shared" ca="1" si="1"/>
        <v/>
      </c>
      <c r="K97" s="25"/>
      <c r="L97" s="129"/>
      <c r="M97" s="130"/>
      <c r="N97" s="33"/>
      <c r="O97" s="34"/>
      <c r="P97" s="25"/>
      <c r="Q97" s="25"/>
      <c r="R97" s="34"/>
      <c r="S97" s="34"/>
      <c r="T97" s="137"/>
      <c r="U97" s="137"/>
      <c r="V97" s="36"/>
      <c r="W97" s="37"/>
      <c r="X97" s="71" t="str">
        <f>IF(C97="Trả lại đơn vụ","",IF(C97="Trả lại đơn việc","",IF((NETWORKDAYS(F97,G97,'Danh sách ngày nghỉ lễ'!$B$5:$B$25)-1-3)&gt;0,"Quá hạn"&amp;" "&amp;(NETWORKDAYS(F97,G97,'Danh sách ngày nghỉ lễ'!$B$5:$B$25)-1-3)&amp;" "&amp;"ngày","")))</f>
        <v/>
      </c>
      <c r="Y97" s="72" t="str">
        <f>IF(S97=0,"",IF(P97="Chuyển","",IF(P97="Nhập vào vụ khác","",IF(P97="BA",IF((S97-R97)&gt;10,"Quá hạn"&amp;" "&amp;(S97-R97-10)&amp;" "&amp;"ngày",""),IF((NETWORKDAYS(R97,S97,'Danh sách ngày nghỉ lễ'!$B$5:$B$25)-VLOOKUP(P97,'Thời hạn'!$A$17:$B$23,2,0))&gt;1,"Quá hạn"&amp;" "&amp;(NETWORKDAYS(R97,S97,'Danh sách ngày nghỉ lễ'!$B$5:$B$25)-1-VLOOKUP(P97,'Thời hạn'!$A$17:$B$23,2,0))&amp;" "&amp;"ngày","")))))</f>
        <v/>
      </c>
      <c r="Z97" s="23">
        <v>1</v>
      </c>
    </row>
    <row r="98" spans="1:26" s="24" customFormat="1" ht="15.6" x14ac:dyDescent="0.3">
      <c r="A98" s="24">
        <v>1</v>
      </c>
      <c r="B98" s="39"/>
      <c r="C98" s="33"/>
      <c r="D98" s="25"/>
      <c r="E98" s="25"/>
      <c r="F98" s="34"/>
      <c r="G98" s="34"/>
      <c r="H98" s="25"/>
      <c r="I98" s="70" t="str">
        <f>IF(C98="Trả lại đơn vụ","",IF(C98="Trả lại đơn việc","",IF(C98="Hòa giải thành","",IF(F98=0,"",EDATE(F98,VLOOKUP(C98,'Thời hạn'!$D$1:$E$10,2,0))+H98))))</f>
        <v/>
      </c>
      <c r="J98" s="59" t="str">
        <f t="shared" ca="1" si="1"/>
        <v/>
      </c>
      <c r="K98" s="25"/>
      <c r="L98" s="129"/>
      <c r="M98" s="130"/>
      <c r="N98" s="33"/>
      <c r="O98" s="34"/>
      <c r="P98" s="25"/>
      <c r="Q98" s="25"/>
      <c r="R98" s="34"/>
      <c r="S98" s="34"/>
      <c r="T98" s="137"/>
      <c r="U98" s="137"/>
      <c r="V98" s="36"/>
      <c r="W98" s="37"/>
      <c r="X98" s="71" t="str">
        <f>IF(C98="Trả lại đơn vụ","",IF(C98="Trả lại đơn việc","",IF((NETWORKDAYS(F98,G98,'Danh sách ngày nghỉ lễ'!$B$5:$B$25)-1-3)&gt;0,"Quá hạn"&amp;" "&amp;(NETWORKDAYS(F98,G98,'Danh sách ngày nghỉ lễ'!$B$5:$B$25)-1-3)&amp;" "&amp;"ngày","")))</f>
        <v/>
      </c>
      <c r="Y98" s="72" t="str">
        <f>IF(S98=0,"",IF(P98="Chuyển","",IF(P98="Nhập vào vụ khác","",IF(P98="BA",IF((S98-R98)&gt;10,"Quá hạn"&amp;" "&amp;(S98-R98-10)&amp;" "&amp;"ngày",""),IF((NETWORKDAYS(R98,S98,'Danh sách ngày nghỉ lễ'!$B$5:$B$25)-VLOOKUP(P98,'Thời hạn'!$A$17:$B$23,2,0))&gt;1,"Quá hạn"&amp;" "&amp;(NETWORKDAYS(R98,S98,'Danh sách ngày nghỉ lễ'!$B$5:$B$25)-1-VLOOKUP(P98,'Thời hạn'!$A$17:$B$23,2,0))&amp;" "&amp;"ngày","")))))</f>
        <v/>
      </c>
      <c r="Z98" s="23">
        <v>1</v>
      </c>
    </row>
    <row r="99" spans="1:26" s="24" customFormat="1" ht="15.6" x14ac:dyDescent="0.3">
      <c r="A99" s="24">
        <v>1</v>
      </c>
      <c r="B99" s="39"/>
      <c r="C99" s="33"/>
      <c r="D99" s="25"/>
      <c r="E99" s="25"/>
      <c r="F99" s="34"/>
      <c r="G99" s="34"/>
      <c r="H99" s="25"/>
      <c r="I99" s="70" t="str">
        <f>IF(C99="Trả lại đơn vụ","",IF(C99="Trả lại đơn việc","",IF(C99="Hòa giải thành","",IF(F99=0,"",EDATE(F99,VLOOKUP(C99,'Thời hạn'!$D$1:$E$10,2,0))+H99))))</f>
        <v/>
      </c>
      <c r="J99" s="59" t="str">
        <f t="shared" ca="1" si="1"/>
        <v/>
      </c>
      <c r="K99" s="25"/>
      <c r="L99" s="129"/>
      <c r="M99" s="130"/>
      <c r="N99" s="33"/>
      <c r="O99" s="34"/>
      <c r="P99" s="25"/>
      <c r="Q99" s="25"/>
      <c r="R99" s="34"/>
      <c r="S99" s="34"/>
      <c r="T99" s="137"/>
      <c r="U99" s="137"/>
      <c r="V99" s="36"/>
      <c r="W99" s="37"/>
      <c r="X99" s="71" t="str">
        <f>IF(C99="Trả lại đơn vụ","",IF(C99="Trả lại đơn việc","",IF((NETWORKDAYS(F99,G99,'Danh sách ngày nghỉ lễ'!$B$5:$B$25)-1-3)&gt;0,"Quá hạn"&amp;" "&amp;(NETWORKDAYS(F99,G99,'Danh sách ngày nghỉ lễ'!$B$5:$B$25)-1-3)&amp;" "&amp;"ngày","")))</f>
        <v/>
      </c>
      <c r="Y99" s="72" t="str">
        <f>IF(S99=0,"",IF(P99="Chuyển","",IF(P99="Nhập vào vụ khác","",IF(P99="BA",IF((S99-R99)&gt;10,"Quá hạn"&amp;" "&amp;(S99-R99-10)&amp;" "&amp;"ngày",""),IF((NETWORKDAYS(R99,S99,'Danh sách ngày nghỉ lễ'!$B$5:$B$25)-VLOOKUP(P99,'Thời hạn'!$A$17:$B$23,2,0))&gt;1,"Quá hạn"&amp;" "&amp;(NETWORKDAYS(R99,S99,'Danh sách ngày nghỉ lễ'!$B$5:$B$25)-1-VLOOKUP(P99,'Thời hạn'!$A$17:$B$23,2,0))&amp;" "&amp;"ngày","")))))</f>
        <v/>
      </c>
      <c r="Z99" s="23">
        <v>1</v>
      </c>
    </row>
    <row r="100" spans="1:26" s="24" customFormat="1" ht="15.6" x14ac:dyDescent="0.3">
      <c r="A100" s="24">
        <v>1</v>
      </c>
      <c r="B100" s="39"/>
      <c r="C100" s="33"/>
      <c r="D100" s="25"/>
      <c r="E100" s="25"/>
      <c r="F100" s="34"/>
      <c r="G100" s="34"/>
      <c r="H100" s="25"/>
      <c r="I100" s="70" t="str">
        <f>IF(C100="Trả lại đơn vụ","",IF(C100="Trả lại đơn việc","",IF(C100="Hòa giải thành","",IF(F100=0,"",EDATE(F100,VLOOKUP(C100,'Thời hạn'!$D$1:$E$10,2,0))+H100))))</f>
        <v/>
      </c>
      <c r="J100" s="59" t="str">
        <f t="shared" ca="1" si="1"/>
        <v/>
      </c>
      <c r="K100" s="25"/>
      <c r="L100" s="129"/>
      <c r="M100" s="130"/>
      <c r="N100" s="33"/>
      <c r="O100" s="34"/>
      <c r="P100" s="25"/>
      <c r="Q100" s="25"/>
      <c r="R100" s="34"/>
      <c r="S100" s="34"/>
      <c r="T100" s="137"/>
      <c r="U100" s="137"/>
      <c r="V100" s="36"/>
      <c r="W100" s="37"/>
      <c r="X100" s="71" t="str">
        <f>IF(C100="Trả lại đơn vụ","",IF(C100="Trả lại đơn việc","",IF((NETWORKDAYS(F100,G100,'Danh sách ngày nghỉ lễ'!$B$5:$B$25)-1-3)&gt;0,"Quá hạn"&amp;" "&amp;(NETWORKDAYS(F100,G100,'Danh sách ngày nghỉ lễ'!$B$5:$B$25)-1-3)&amp;" "&amp;"ngày","")))</f>
        <v/>
      </c>
      <c r="Y100" s="72" t="str">
        <f>IF(S100=0,"",IF(P100="Chuyển","",IF(P100="Nhập vào vụ khác","",IF(P100="BA",IF((S100-R100)&gt;10,"Quá hạn"&amp;" "&amp;(S100-R100-10)&amp;" "&amp;"ngày",""),IF((NETWORKDAYS(R100,S100,'Danh sách ngày nghỉ lễ'!$B$5:$B$25)-VLOOKUP(P100,'Thời hạn'!$A$17:$B$23,2,0))&gt;1,"Quá hạn"&amp;" "&amp;(NETWORKDAYS(R100,S100,'Danh sách ngày nghỉ lễ'!$B$5:$B$25)-1-VLOOKUP(P100,'Thời hạn'!$A$17:$B$23,2,0))&amp;" "&amp;"ngày","")))))</f>
        <v/>
      </c>
      <c r="Z100" s="23">
        <v>1</v>
      </c>
    </row>
    <row r="101" spans="1:26" s="24" customFormat="1" ht="15.6" x14ac:dyDescent="0.3">
      <c r="A101" s="24">
        <v>1</v>
      </c>
      <c r="B101" s="39"/>
      <c r="C101" s="33"/>
      <c r="D101" s="25"/>
      <c r="E101" s="25"/>
      <c r="F101" s="34"/>
      <c r="G101" s="34"/>
      <c r="H101" s="25"/>
      <c r="I101" s="70" t="str">
        <f>IF(C101="Trả lại đơn vụ","",IF(C101="Trả lại đơn việc","",IF(C101="Hòa giải thành","",IF(F101=0,"",EDATE(F101,VLOOKUP(C101,'Thời hạn'!$D$1:$E$10,2,0))+H101))))</f>
        <v/>
      </c>
      <c r="J101" s="59" t="str">
        <f t="shared" ca="1" si="1"/>
        <v/>
      </c>
      <c r="K101" s="25"/>
      <c r="L101" s="129"/>
      <c r="M101" s="130"/>
      <c r="N101" s="33"/>
      <c r="O101" s="34"/>
      <c r="P101" s="25"/>
      <c r="Q101" s="25"/>
      <c r="R101" s="34"/>
      <c r="S101" s="34"/>
      <c r="T101" s="137"/>
      <c r="U101" s="137"/>
      <c r="V101" s="36"/>
      <c r="W101" s="37"/>
      <c r="X101" s="71" t="str">
        <f>IF(C101="Trả lại đơn vụ","",IF(C101="Trả lại đơn việc","",IF((NETWORKDAYS(F101,G101,'Danh sách ngày nghỉ lễ'!$B$5:$B$25)-1-3)&gt;0,"Quá hạn"&amp;" "&amp;(NETWORKDAYS(F101,G101,'Danh sách ngày nghỉ lễ'!$B$5:$B$25)-1-3)&amp;" "&amp;"ngày","")))</f>
        <v/>
      </c>
      <c r="Y101" s="72" t="str">
        <f>IF(S101=0,"",IF(P101="Chuyển","",IF(P101="Nhập vào vụ khác","",IF(P101="BA",IF((S101-R101)&gt;10,"Quá hạn"&amp;" "&amp;(S101-R101-10)&amp;" "&amp;"ngày",""),IF((NETWORKDAYS(R101,S101,'Danh sách ngày nghỉ lễ'!$B$5:$B$25)-VLOOKUP(P101,'Thời hạn'!$A$17:$B$23,2,0))&gt;1,"Quá hạn"&amp;" "&amp;(NETWORKDAYS(R101,S101,'Danh sách ngày nghỉ lễ'!$B$5:$B$25)-1-VLOOKUP(P101,'Thời hạn'!$A$17:$B$23,2,0))&amp;" "&amp;"ngày","")))))</f>
        <v/>
      </c>
      <c r="Z101" s="23">
        <v>1</v>
      </c>
    </row>
    <row r="102" spans="1:26" s="24" customFormat="1" ht="15.6" x14ac:dyDescent="0.3">
      <c r="A102" s="24">
        <v>1</v>
      </c>
      <c r="B102" s="39"/>
      <c r="C102" s="33"/>
      <c r="D102" s="25"/>
      <c r="E102" s="25"/>
      <c r="F102" s="34"/>
      <c r="G102" s="34"/>
      <c r="H102" s="25"/>
      <c r="I102" s="70" t="str">
        <f>IF(C102="Trả lại đơn vụ","",IF(C102="Trả lại đơn việc","",IF(C102="Hòa giải thành","",IF(F102=0,"",EDATE(F102,VLOOKUP(C102,'Thời hạn'!$D$1:$E$10,2,0))+H102))))</f>
        <v/>
      </c>
      <c r="J102" s="59" t="str">
        <f t="shared" ca="1" si="1"/>
        <v/>
      </c>
      <c r="K102" s="25"/>
      <c r="L102" s="129"/>
      <c r="M102" s="130"/>
      <c r="N102" s="33"/>
      <c r="O102" s="34"/>
      <c r="P102" s="25"/>
      <c r="Q102" s="25"/>
      <c r="R102" s="34"/>
      <c r="S102" s="34"/>
      <c r="T102" s="137"/>
      <c r="U102" s="137"/>
      <c r="V102" s="36"/>
      <c r="W102" s="37"/>
      <c r="X102" s="71" t="str">
        <f>IF(C102="Trả lại đơn vụ","",IF(C102="Trả lại đơn việc","",IF((NETWORKDAYS(F102,G102,'Danh sách ngày nghỉ lễ'!$B$5:$B$25)-1-3)&gt;0,"Quá hạn"&amp;" "&amp;(NETWORKDAYS(F102,G102,'Danh sách ngày nghỉ lễ'!$B$5:$B$25)-1-3)&amp;" "&amp;"ngày","")))</f>
        <v/>
      </c>
      <c r="Y102" s="72" t="str">
        <f>IF(S102=0,"",IF(P102="Chuyển","",IF(P102="Nhập vào vụ khác","",IF(P102="BA",IF((S102-R102)&gt;10,"Quá hạn"&amp;" "&amp;(S102-R102-10)&amp;" "&amp;"ngày",""),IF((NETWORKDAYS(R102,S102,'Danh sách ngày nghỉ lễ'!$B$5:$B$25)-VLOOKUP(P102,'Thời hạn'!$A$17:$B$23,2,0))&gt;1,"Quá hạn"&amp;" "&amp;(NETWORKDAYS(R102,S102,'Danh sách ngày nghỉ lễ'!$B$5:$B$25)-1-VLOOKUP(P102,'Thời hạn'!$A$17:$B$23,2,0))&amp;" "&amp;"ngày","")))))</f>
        <v/>
      </c>
      <c r="Z102" s="23">
        <v>1</v>
      </c>
    </row>
    <row r="103" spans="1:26" s="24" customFormat="1" ht="15.6" x14ac:dyDescent="0.3">
      <c r="A103" s="24">
        <v>1</v>
      </c>
      <c r="B103" s="39"/>
      <c r="C103" s="33"/>
      <c r="D103" s="25"/>
      <c r="E103" s="25"/>
      <c r="F103" s="34"/>
      <c r="G103" s="34"/>
      <c r="H103" s="25"/>
      <c r="I103" s="70" t="str">
        <f>IF(C103="Trả lại đơn vụ","",IF(C103="Trả lại đơn việc","",IF(C103="Hòa giải thành","",IF(F103=0,"",EDATE(F103,VLOOKUP(C103,'Thời hạn'!$D$1:$E$10,2,0))+H103))))</f>
        <v/>
      </c>
      <c r="J103" s="59" t="str">
        <f t="shared" ca="1" si="1"/>
        <v/>
      </c>
      <c r="K103" s="25"/>
      <c r="L103" s="129"/>
      <c r="M103" s="130"/>
      <c r="N103" s="33"/>
      <c r="O103" s="34"/>
      <c r="P103" s="25"/>
      <c r="Q103" s="25"/>
      <c r="R103" s="34"/>
      <c r="S103" s="34"/>
      <c r="T103" s="137"/>
      <c r="U103" s="137"/>
      <c r="V103" s="36"/>
      <c r="W103" s="37"/>
      <c r="X103" s="71" t="str">
        <f>IF(C103="Trả lại đơn vụ","",IF(C103="Trả lại đơn việc","",IF((NETWORKDAYS(F103,G103,'Danh sách ngày nghỉ lễ'!$B$5:$B$25)-1-3)&gt;0,"Quá hạn"&amp;" "&amp;(NETWORKDAYS(F103,G103,'Danh sách ngày nghỉ lễ'!$B$5:$B$25)-1-3)&amp;" "&amp;"ngày","")))</f>
        <v/>
      </c>
      <c r="Y103" s="72" t="str">
        <f>IF(S103=0,"",IF(P103="Chuyển","",IF(P103="Nhập vào vụ khác","",IF(P103="BA",IF((S103-R103)&gt;10,"Quá hạn"&amp;" "&amp;(S103-R103-10)&amp;" "&amp;"ngày",""),IF((NETWORKDAYS(R103,S103,'Danh sách ngày nghỉ lễ'!$B$5:$B$25)-VLOOKUP(P103,'Thời hạn'!$A$17:$B$23,2,0))&gt;1,"Quá hạn"&amp;" "&amp;(NETWORKDAYS(R103,S103,'Danh sách ngày nghỉ lễ'!$B$5:$B$25)-1-VLOOKUP(P103,'Thời hạn'!$A$17:$B$23,2,0))&amp;" "&amp;"ngày","")))))</f>
        <v/>
      </c>
      <c r="Z103" s="23">
        <v>1</v>
      </c>
    </row>
    <row r="104" spans="1:26" s="24" customFormat="1" ht="15.6" x14ac:dyDescent="0.3">
      <c r="A104" s="24">
        <v>1</v>
      </c>
      <c r="B104" s="39"/>
      <c r="C104" s="33"/>
      <c r="D104" s="25"/>
      <c r="E104" s="25"/>
      <c r="F104" s="34"/>
      <c r="G104" s="34"/>
      <c r="H104" s="25"/>
      <c r="I104" s="70" t="str">
        <f>IF(C104="Trả lại đơn vụ","",IF(C104="Trả lại đơn việc","",IF(C104="Hòa giải thành","",IF(F104=0,"",EDATE(F104,VLOOKUP(C104,'Thời hạn'!$D$1:$E$10,2,0))+H104))))</f>
        <v/>
      </c>
      <c r="J104" s="59" t="str">
        <f t="shared" ca="1" si="1"/>
        <v/>
      </c>
      <c r="K104" s="25"/>
      <c r="L104" s="129"/>
      <c r="M104" s="130"/>
      <c r="N104" s="33"/>
      <c r="O104" s="34"/>
      <c r="P104" s="25"/>
      <c r="Q104" s="25"/>
      <c r="R104" s="34"/>
      <c r="S104" s="34"/>
      <c r="T104" s="137"/>
      <c r="U104" s="137"/>
      <c r="V104" s="36"/>
      <c r="W104" s="37"/>
      <c r="X104" s="71" t="str">
        <f>IF(C104="Trả lại đơn vụ","",IF(C104="Trả lại đơn việc","",IF((NETWORKDAYS(F104,G104,'Danh sách ngày nghỉ lễ'!$B$5:$B$25)-1-3)&gt;0,"Quá hạn"&amp;" "&amp;(NETWORKDAYS(F104,G104,'Danh sách ngày nghỉ lễ'!$B$5:$B$25)-1-3)&amp;" "&amp;"ngày","")))</f>
        <v/>
      </c>
      <c r="Y104" s="72" t="str">
        <f>IF(S104=0,"",IF(P104="Chuyển","",IF(P104="Nhập vào vụ khác","",IF(P104="BA",IF((S104-R104)&gt;10,"Quá hạn"&amp;" "&amp;(S104-R104-10)&amp;" "&amp;"ngày",""),IF((NETWORKDAYS(R104,S104,'Danh sách ngày nghỉ lễ'!$B$5:$B$25)-VLOOKUP(P104,'Thời hạn'!$A$17:$B$23,2,0))&gt;1,"Quá hạn"&amp;" "&amp;(NETWORKDAYS(R104,S104,'Danh sách ngày nghỉ lễ'!$B$5:$B$25)-1-VLOOKUP(P104,'Thời hạn'!$A$17:$B$23,2,0))&amp;" "&amp;"ngày","")))))</f>
        <v/>
      </c>
      <c r="Z104" s="23">
        <v>1</v>
      </c>
    </row>
    <row r="105" spans="1:26" s="24" customFormat="1" ht="15.6" x14ac:dyDescent="0.3">
      <c r="A105" s="24">
        <v>1</v>
      </c>
      <c r="B105" s="39"/>
      <c r="C105" s="33"/>
      <c r="D105" s="25"/>
      <c r="E105" s="25"/>
      <c r="F105" s="34"/>
      <c r="G105" s="34"/>
      <c r="H105" s="25"/>
      <c r="I105" s="70" t="str">
        <f>IF(C105="Trả lại đơn vụ","",IF(C105="Trả lại đơn việc","",IF(C105="Hòa giải thành","",IF(F105=0,"",EDATE(F105,VLOOKUP(C105,'Thời hạn'!$D$1:$E$10,2,0))+H105))))</f>
        <v/>
      </c>
      <c r="J105" s="59" t="str">
        <f t="shared" ca="1" si="1"/>
        <v/>
      </c>
      <c r="K105" s="25"/>
      <c r="L105" s="129"/>
      <c r="M105" s="130"/>
      <c r="N105" s="33"/>
      <c r="O105" s="34"/>
      <c r="P105" s="25"/>
      <c r="Q105" s="25"/>
      <c r="R105" s="34"/>
      <c r="S105" s="34"/>
      <c r="T105" s="137"/>
      <c r="U105" s="137"/>
      <c r="V105" s="36"/>
      <c r="W105" s="37"/>
      <c r="X105" s="71" t="str">
        <f>IF(C105="Trả lại đơn vụ","",IF(C105="Trả lại đơn việc","",IF((NETWORKDAYS(F105,G105,'Danh sách ngày nghỉ lễ'!$B$5:$B$25)-1-3)&gt;0,"Quá hạn"&amp;" "&amp;(NETWORKDAYS(F105,G105,'Danh sách ngày nghỉ lễ'!$B$5:$B$25)-1-3)&amp;" "&amp;"ngày","")))</f>
        <v/>
      </c>
      <c r="Y105" s="72" t="str">
        <f>IF(S105=0,"",IF(P105="Chuyển","",IF(P105="Nhập vào vụ khác","",IF(P105="BA",IF((S105-R105)&gt;10,"Quá hạn"&amp;" "&amp;(S105-R105-10)&amp;" "&amp;"ngày",""),IF((NETWORKDAYS(R105,S105,'Danh sách ngày nghỉ lễ'!$B$5:$B$25)-VLOOKUP(P105,'Thời hạn'!$A$17:$B$23,2,0))&gt;1,"Quá hạn"&amp;" "&amp;(NETWORKDAYS(R105,S105,'Danh sách ngày nghỉ lễ'!$B$5:$B$25)-1-VLOOKUP(P105,'Thời hạn'!$A$17:$B$23,2,0))&amp;" "&amp;"ngày","")))))</f>
        <v/>
      </c>
      <c r="Z105" s="23">
        <v>1</v>
      </c>
    </row>
    <row r="106" spans="1:26" s="24" customFormat="1" ht="15.6" x14ac:dyDescent="0.3">
      <c r="A106" s="24">
        <v>1</v>
      </c>
      <c r="B106" s="39"/>
      <c r="C106" s="33"/>
      <c r="D106" s="25"/>
      <c r="E106" s="25"/>
      <c r="F106" s="34"/>
      <c r="G106" s="34"/>
      <c r="H106" s="25"/>
      <c r="I106" s="70" t="str">
        <f>IF(C106="Trả lại đơn vụ","",IF(C106="Trả lại đơn việc","",IF(C106="Hòa giải thành","",IF(F106=0,"",EDATE(F106,VLOOKUP(C106,'Thời hạn'!$D$1:$E$10,2,0))+H106))))</f>
        <v/>
      </c>
      <c r="J106" s="59" t="str">
        <f t="shared" ca="1" si="1"/>
        <v/>
      </c>
      <c r="K106" s="25"/>
      <c r="L106" s="129"/>
      <c r="M106" s="130"/>
      <c r="N106" s="33"/>
      <c r="O106" s="34"/>
      <c r="P106" s="25"/>
      <c r="Q106" s="25"/>
      <c r="R106" s="34"/>
      <c r="S106" s="34"/>
      <c r="T106" s="137"/>
      <c r="U106" s="137"/>
      <c r="V106" s="36"/>
      <c r="W106" s="37"/>
      <c r="X106" s="71" t="str">
        <f>IF(C106="Trả lại đơn vụ","",IF(C106="Trả lại đơn việc","",IF((NETWORKDAYS(F106,G106,'Danh sách ngày nghỉ lễ'!$B$5:$B$25)-1-3)&gt;0,"Quá hạn"&amp;" "&amp;(NETWORKDAYS(F106,G106,'Danh sách ngày nghỉ lễ'!$B$5:$B$25)-1-3)&amp;" "&amp;"ngày","")))</f>
        <v/>
      </c>
      <c r="Y106" s="72" t="str">
        <f>IF(S106=0,"",IF(P106="Chuyển","",IF(P106="Nhập vào vụ khác","",IF(P106="BA",IF((S106-R106)&gt;10,"Quá hạn"&amp;" "&amp;(S106-R106-10)&amp;" "&amp;"ngày",""),IF((NETWORKDAYS(R106,S106,'Danh sách ngày nghỉ lễ'!$B$5:$B$25)-VLOOKUP(P106,'Thời hạn'!$A$17:$B$23,2,0))&gt;1,"Quá hạn"&amp;" "&amp;(NETWORKDAYS(R106,S106,'Danh sách ngày nghỉ lễ'!$B$5:$B$25)-1-VLOOKUP(P106,'Thời hạn'!$A$17:$B$23,2,0))&amp;" "&amp;"ngày","")))))</f>
        <v/>
      </c>
      <c r="Z106" s="23">
        <v>1</v>
      </c>
    </row>
    <row r="107" spans="1:26" s="24" customFormat="1" ht="15.6" x14ac:dyDescent="0.3">
      <c r="A107" s="24">
        <v>1</v>
      </c>
      <c r="B107" s="39"/>
      <c r="C107" s="33"/>
      <c r="D107" s="25"/>
      <c r="E107" s="25"/>
      <c r="F107" s="34"/>
      <c r="G107" s="34"/>
      <c r="H107" s="25"/>
      <c r="I107" s="70" t="str">
        <f>IF(C107="Trả lại đơn vụ","",IF(C107="Trả lại đơn việc","",IF(C107="Hòa giải thành","",IF(F107=0,"",EDATE(F107,VLOOKUP(C107,'Thời hạn'!$D$1:$E$10,2,0))+H107))))</f>
        <v/>
      </c>
      <c r="J107" s="59" t="str">
        <f t="shared" ca="1" si="1"/>
        <v/>
      </c>
      <c r="K107" s="25"/>
      <c r="L107" s="129"/>
      <c r="M107" s="130"/>
      <c r="N107" s="33"/>
      <c r="O107" s="34"/>
      <c r="P107" s="25"/>
      <c r="Q107" s="25"/>
      <c r="R107" s="34"/>
      <c r="S107" s="34"/>
      <c r="T107" s="137"/>
      <c r="U107" s="137"/>
      <c r="V107" s="36"/>
      <c r="W107" s="37"/>
      <c r="X107" s="71" t="str">
        <f>IF(C107="Trả lại đơn vụ","",IF(C107="Trả lại đơn việc","",IF((NETWORKDAYS(F107,G107,'Danh sách ngày nghỉ lễ'!$B$5:$B$25)-1-3)&gt;0,"Quá hạn"&amp;" "&amp;(NETWORKDAYS(F107,G107,'Danh sách ngày nghỉ lễ'!$B$5:$B$25)-1-3)&amp;" "&amp;"ngày","")))</f>
        <v/>
      </c>
      <c r="Y107" s="72" t="str">
        <f>IF(S107=0,"",IF(P107="Chuyển","",IF(P107="Nhập vào vụ khác","",IF(P107="BA",IF((S107-R107)&gt;10,"Quá hạn"&amp;" "&amp;(S107-R107-10)&amp;" "&amp;"ngày",""),IF((NETWORKDAYS(R107,S107,'Danh sách ngày nghỉ lễ'!$B$5:$B$25)-VLOOKUP(P107,'Thời hạn'!$A$17:$B$23,2,0))&gt;1,"Quá hạn"&amp;" "&amp;(NETWORKDAYS(R107,S107,'Danh sách ngày nghỉ lễ'!$B$5:$B$25)-1-VLOOKUP(P107,'Thời hạn'!$A$17:$B$23,2,0))&amp;" "&amp;"ngày","")))))</f>
        <v/>
      </c>
      <c r="Z107" s="23">
        <v>1</v>
      </c>
    </row>
    <row r="108" spans="1:26" s="24" customFormat="1" ht="15.6" x14ac:dyDescent="0.3">
      <c r="A108" s="24">
        <v>1</v>
      </c>
      <c r="B108" s="39"/>
      <c r="C108" s="33"/>
      <c r="D108" s="25"/>
      <c r="E108" s="25"/>
      <c r="F108" s="34"/>
      <c r="G108" s="34"/>
      <c r="H108" s="25"/>
      <c r="I108" s="70" t="str">
        <f>IF(C108="Trả lại đơn vụ","",IF(C108="Trả lại đơn việc","",IF(C108="Hòa giải thành","",IF(F108=0,"",EDATE(F108,VLOOKUP(C108,'Thời hạn'!$D$1:$E$10,2,0))+H108))))</f>
        <v/>
      </c>
      <c r="J108" s="59" t="str">
        <f t="shared" ca="1" si="1"/>
        <v/>
      </c>
      <c r="K108" s="25"/>
      <c r="L108" s="129"/>
      <c r="M108" s="130"/>
      <c r="N108" s="33"/>
      <c r="O108" s="34"/>
      <c r="P108" s="25"/>
      <c r="Q108" s="25"/>
      <c r="R108" s="34"/>
      <c r="S108" s="34"/>
      <c r="T108" s="137"/>
      <c r="U108" s="137"/>
      <c r="V108" s="36"/>
      <c r="W108" s="37"/>
      <c r="X108" s="71" t="str">
        <f>IF(C108="Trả lại đơn vụ","",IF(C108="Trả lại đơn việc","",IF((NETWORKDAYS(F108,G108,'Danh sách ngày nghỉ lễ'!$B$5:$B$25)-1-3)&gt;0,"Quá hạn"&amp;" "&amp;(NETWORKDAYS(F108,G108,'Danh sách ngày nghỉ lễ'!$B$5:$B$25)-1-3)&amp;" "&amp;"ngày","")))</f>
        <v/>
      </c>
      <c r="Y108" s="72" t="str">
        <f>IF(S108=0,"",IF(P108="Chuyển","",IF(P108="Nhập vào vụ khác","",IF(P108="BA",IF((S108-R108)&gt;10,"Quá hạn"&amp;" "&amp;(S108-R108-10)&amp;" "&amp;"ngày",""),IF((NETWORKDAYS(R108,S108,'Danh sách ngày nghỉ lễ'!$B$5:$B$25)-VLOOKUP(P108,'Thời hạn'!$A$17:$B$23,2,0))&gt;1,"Quá hạn"&amp;" "&amp;(NETWORKDAYS(R108,S108,'Danh sách ngày nghỉ lễ'!$B$5:$B$25)-1-VLOOKUP(P108,'Thời hạn'!$A$17:$B$23,2,0))&amp;" "&amp;"ngày","")))))</f>
        <v/>
      </c>
      <c r="Z108" s="23">
        <v>1</v>
      </c>
    </row>
    <row r="109" spans="1:26" s="24" customFormat="1" ht="15.6" x14ac:dyDescent="0.3">
      <c r="A109" s="24">
        <v>1</v>
      </c>
      <c r="B109" s="39"/>
      <c r="C109" s="33"/>
      <c r="D109" s="25"/>
      <c r="E109" s="25"/>
      <c r="F109" s="34"/>
      <c r="G109" s="34"/>
      <c r="H109" s="25"/>
      <c r="I109" s="70" t="str">
        <f>IF(C109="Trả lại đơn vụ","",IF(C109="Trả lại đơn việc","",IF(C109="Hòa giải thành","",IF(F109=0,"",EDATE(F109,VLOOKUP(C109,'Thời hạn'!$D$1:$E$10,2,0))+H109))))</f>
        <v/>
      </c>
      <c r="J109" s="59" t="str">
        <f t="shared" ca="1" si="1"/>
        <v/>
      </c>
      <c r="K109" s="25"/>
      <c r="L109" s="129"/>
      <c r="M109" s="130"/>
      <c r="N109" s="33"/>
      <c r="O109" s="34"/>
      <c r="P109" s="25"/>
      <c r="Q109" s="25"/>
      <c r="R109" s="34"/>
      <c r="S109" s="34"/>
      <c r="T109" s="137"/>
      <c r="U109" s="137"/>
      <c r="V109" s="36"/>
      <c r="W109" s="37"/>
      <c r="X109" s="71" t="str">
        <f>IF(C109="Trả lại đơn vụ","",IF(C109="Trả lại đơn việc","",IF((NETWORKDAYS(F109,G109,'Danh sách ngày nghỉ lễ'!$B$5:$B$25)-1-3)&gt;0,"Quá hạn"&amp;" "&amp;(NETWORKDAYS(F109,G109,'Danh sách ngày nghỉ lễ'!$B$5:$B$25)-1-3)&amp;" "&amp;"ngày","")))</f>
        <v/>
      </c>
      <c r="Y109" s="72" t="str">
        <f>IF(S109=0,"",IF(P109="Chuyển","",IF(P109="Nhập vào vụ khác","",IF(P109="BA",IF((S109-R109)&gt;10,"Quá hạn"&amp;" "&amp;(S109-R109-10)&amp;" "&amp;"ngày",""),IF((NETWORKDAYS(R109,S109,'Danh sách ngày nghỉ lễ'!$B$5:$B$25)-VLOOKUP(P109,'Thời hạn'!$A$17:$B$23,2,0))&gt;1,"Quá hạn"&amp;" "&amp;(NETWORKDAYS(R109,S109,'Danh sách ngày nghỉ lễ'!$B$5:$B$25)-1-VLOOKUP(P109,'Thời hạn'!$A$17:$B$23,2,0))&amp;" "&amp;"ngày","")))))</f>
        <v/>
      </c>
      <c r="Z109" s="23">
        <v>1</v>
      </c>
    </row>
    <row r="110" spans="1:26" s="24" customFormat="1" ht="15.6" x14ac:dyDescent="0.3">
      <c r="A110" s="24">
        <v>1</v>
      </c>
      <c r="B110" s="39"/>
      <c r="C110" s="33"/>
      <c r="D110" s="25"/>
      <c r="E110" s="25"/>
      <c r="F110" s="34"/>
      <c r="G110" s="34"/>
      <c r="H110" s="25"/>
      <c r="I110" s="70" t="str">
        <f>IF(C110="Trả lại đơn vụ","",IF(C110="Trả lại đơn việc","",IF(C110="Hòa giải thành","",IF(F110=0,"",EDATE(F110,VLOOKUP(C110,'Thời hạn'!$D$1:$E$10,2,0))+H110))))</f>
        <v/>
      </c>
      <c r="J110" s="59" t="str">
        <f t="shared" ca="1" si="1"/>
        <v/>
      </c>
      <c r="K110" s="25"/>
      <c r="L110" s="129"/>
      <c r="M110" s="130"/>
      <c r="N110" s="33"/>
      <c r="O110" s="34"/>
      <c r="P110" s="25"/>
      <c r="Q110" s="25"/>
      <c r="R110" s="34"/>
      <c r="S110" s="34"/>
      <c r="T110" s="137"/>
      <c r="U110" s="137"/>
      <c r="V110" s="36"/>
      <c r="W110" s="37"/>
      <c r="X110" s="71" t="str">
        <f>IF(C110="Trả lại đơn vụ","",IF(C110="Trả lại đơn việc","",IF((NETWORKDAYS(F110,G110,'Danh sách ngày nghỉ lễ'!$B$5:$B$25)-1-3)&gt;0,"Quá hạn"&amp;" "&amp;(NETWORKDAYS(F110,G110,'Danh sách ngày nghỉ lễ'!$B$5:$B$25)-1-3)&amp;" "&amp;"ngày","")))</f>
        <v/>
      </c>
      <c r="Y110" s="72" t="str">
        <f>IF(S110=0,"",IF(P110="Chuyển","",IF(P110="Nhập vào vụ khác","",IF(P110="BA",IF((S110-R110)&gt;10,"Quá hạn"&amp;" "&amp;(S110-R110-10)&amp;" "&amp;"ngày",""),IF((NETWORKDAYS(R110,S110,'Danh sách ngày nghỉ lễ'!$B$5:$B$25)-VLOOKUP(P110,'Thời hạn'!$A$17:$B$23,2,0))&gt;1,"Quá hạn"&amp;" "&amp;(NETWORKDAYS(R110,S110,'Danh sách ngày nghỉ lễ'!$B$5:$B$25)-1-VLOOKUP(P110,'Thời hạn'!$A$17:$B$23,2,0))&amp;" "&amp;"ngày","")))))</f>
        <v/>
      </c>
      <c r="Z110" s="23">
        <v>1</v>
      </c>
    </row>
    <row r="111" spans="1:26" s="24" customFormat="1" ht="15.6" x14ac:dyDescent="0.3">
      <c r="A111" s="24">
        <v>1</v>
      </c>
      <c r="B111" s="39"/>
      <c r="C111" s="33"/>
      <c r="D111" s="25"/>
      <c r="E111" s="25"/>
      <c r="F111" s="34"/>
      <c r="G111" s="34"/>
      <c r="H111" s="25"/>
      <c r="I111" s="70" t="str">
        <f>IF(C111="Trả lại đơn vụ","",IF(C111="Trả lại đơn việc","",IF(C111="Hòa giải thành","",IF(F111=0,"",EDATE(F111,VLOOKUP(C111,'Thời hạn'!$D$1:$E$10,2,0))+H111))))</f>
        <v/>
      </c>
      <c r="J111" s="59" t="str">
        <f t="shared" ca="1" si="1"/>
        <v/>
      </c>
      <c r="K111" s="25"/>
      <c r="L111" s="129"/>
      <c r="M111" s="130"/>
      <c r="N111" s="33"/>
      <c r="O111" s="34"/>
      <c r="P111" s="25"/>
      <c r="Q111" s="25"/>
      <c r="R111" s="34"/>
      <c r="S111" s="34"/>
      <c r="T111" s="137"/>
      <c r="U111" s="137"/>
      <c r="V111" s="36"/>
      <c r="W111" s="37"/>
      <c r="X111" s="71" t="str">
        <f>IF(C111="Trả lại đơn vụ","",IF(C111="Trả lại đơn việc","",IF((NETWORKDAYS(F111,G111,'Danh sách ngày nghỉ lễ'!$B$5:$B$25)-1-3)&gt;0,"Quá hạn"&amp;" "&amp;(NETWORKDAYS(F111,G111,'Danh sách ngày nghỉ lễ'!$B$5:$B$25)-1-3)&amp;" "&amp;"ngày","")))</f>
        <v/>
      </c>
      <c r="Y111" s="72" t="str">
        <f>IF(S111=0,"",IF(P111="Chuyển","",IF(P111="Nhập vào vụ khác","",IF(P111="BA",IF((S111-R111)&gt;10,"Quá hạn"&amp;" "&amp;(S111-R111-10)&amp;" "&amp;"ngày",""),IF((NETWORKDAYS(R111,S111,'Danh sách ngày nghỉ lễ'!$B$5:$B$25)-VLOOKUP(P111,'Thời hạn'!$A$17:$B$23,2,0))&gt;1,"Quá hạn"&amp;" "&amp;(NETWORKDAYS(R111,S111,'Danh sách ngày nghỉ lễ'!$B$5:$B$25)-1-VLOOKUP(P111,'Thời hạn'!$A$17:$B$23,2,0))&amp;" "&amp;"ngày","")))))</f>
        <v/>
      </c>
      <c r="Z111" s="23">
        <v>1</v>
      </c>
    </row>
    <row r="112" spans="1:26" s="24" customFormat="1" ht="15.6" x14ac:dyDescent="0.3">
      <c r="A112" s="24">
        <v>1</v>
      </c>
      <c r="B112" s="39"/>
      <c r="C112" s="33"/>
      <c r="D112" s="25"/>
      <c r="E112" s="25"/>
      <c r="F112" s="34"/>
      <c r="G112" s="34"/>
      <c r="H112" s="25"/>
      <c r="I112" s="70" t="str">
        <f>IF(C112="Trả lại đơn vụ","",IF(C112="Trả lại đơn việc","",IF(C112="Hòa giải thành","",IF(F112=0,"",EDATE(F112,VLOOKUP(C112,'Thời hạn'!$D$1:$E$10,2,0))+H112))))</f>
        <v/>
      </c>
      <c r="J112" s="59" t="str">
        <f t="shared" ca="1" si="1"/>
        <v/>
      </c>
      <c r="K112" s="25"/>
      <c r="L112" s="129"/>
      <c r="M112" s="130"/>
      <c r="N112" s="33"/>
      <c r="O112" s="34"/>
      <c r="P112" s="25"/>
      <c r="Q112" s="25"/>
      <c r="R112" s="34"/>
      <c r="S112" s="34"/>
      <c r="T112" s="137"/>
      <c r="U112" s="137"/>
      <c r="V112" s="36"/>
      <c r="W112" s="37"/>
      <c r="X112" s="71" t="str">
        <f>IF(C112="Trả lại đơn vụ","",IF(C112="Trả lại đơn việc","",IF((NETWORKDAYS(F112,G112,'Danh sách ngày nghỉ lễ'!$B$5:$B$25)-1-3)&gt;0,"Quá hạn"&amp;" "&amp;(NETWORKDAYS(F112,G112,'Danh sách ngày nghỉ lễ'!$B$5:$B$25)-1-3)&amp;" "&amp;"ngày","")))</f>
        <v/>
      </c>
      <c r="Y112" s="72" t="str">
        <f>IF(S112=0,"",IF(P112="Chuyển","",IF(P112="Nhập vào vụ khác","",IF(P112="BA",IF((S112-R112)&gt;10,"Quá hạn"&amp;" "&amp;(S112-R112-10)&amp;" "&amp;"ngày",""),IF((NETWORKDAYS(R112,S112,'Danh sách ngày nghỉ lễ'!$B$5:$B$25)-VLOOKUP(P112,'Thời hạn'!$A$17:$B$23,2,0))&gt;1,"Quá hạn"&amp;" "&amp;(NETWORKDAYS(R112,S112,'Danh sách ngày nghỉ lễ'!$B$5:$B$25)-1-VLOOKUP(P112,'Thời hạn'!$A$17:$B$23,2,0))&amp;" "&amp;"ngày","")))))</f>
        <v/>
      </c>
      <c r="Z112" s="23">
        <v>1</v>
      </c>
    </row>
    <row r="113" spans="1:26" s="24" customFormat="1" ht="15.6" x14ac:dyDescent="0.3">
      <c r="A113" s="24">
        <v>1</v>
      </c>
      <c r="B113" s="39"/>
      <c r="C113" s="33"/>
      <c r="D113" s="25"/>
      <c r="E113" s="25"/>
      <c r="F113" s="34"/>
      <c r="G113" s="34"/>
      <c r="H113" s="25"/>
      <c r="I113" s="70" t="str">
        <f>IF(C113="Trả lại đơn vụ","",IF(C113="Trả lại đơn việc","",IF(C113="Hòa giải thành","",IF(F113=0,"",EDATE(F113,VLOOKUP(C113,'Thời hạn'!$D$1:$E$10,2,0))+H113))))</f>
        <v/>
      </c>
      <c r="J113" s="59" t="str">
        <f t="shared" ca="1" si="1"/>
        <v/>
      </c>
      <c r="K113" s="25"/>
      <c r="L113" s="129"/>
      <c r="M113" s="130"/>
      <c r="N113" s="33"/>
      <c r="O113" s="34"/>
      <c r="P113" s="25"/>
      <c r="Q113" s="25"/>
      <c r="R113" s="34"/>
      <c r="S113" s="34"/>
      <c r="T113" s="137"/>
      <c r="U113" s="137"/>
      <c r="V113" s="36"/>
      <c r="W113" s="37"/>
      <c r="X113" s="71" t="str">
        <f>IF(C113="Trả lại đơn vụ","",IF(C113="Trả lại đơn việc","",IF((NETWORKDAYS(F113,G113,'Danh sách ngày nghỉ lễ'!$B$5:$B$25)-1-3)&gt;0,"Quá hạn"&amp;" "&amp;(NETWORKDAYS(F113,G113,'Danh sách ngày nghỉ lễ'!$B$5:$B$25)-1-3)&amp;" "&amp;"ngày","")))</f>
        <v/>
      </c>
      <c r="Y113" s="72" t="str">
        <f>IF(S113=0,"",IF(P113="Chuyển","",IF(P113="Nhập vào vụ khác","",IF(P113="BA",IF((S113-R113)&gt;10,"Quá hạn"&amp;" "&amp;(S113-R113-10)&amp;" "&amp;"ngày",""),IF((NETWORKDAYS(R113,S113,'Danh sách ngày nghỉ lễ'!$B$5:$B$25)-VLOOKUP(P113,'Thời hạn'!$A$17:$B$23,2,0))&gt;1,"Quá hạn"&amp;" "&amp;(NETWORKDAYS(R113,S113,'Danh sách ngày nghỉ lễ'!$B$5:$B$25)-1-VLOOKUP(P113,'Thời hạn'!$A$17:$B$23,2,0))&amp;" "&amp;"ngày","")))))</f>
        <v/>
      </c>
      <c r="Z113" s="23">
        <v>1</v>
      </c>
    </row>
    <row r="114" spans="1:26" s="24" customFormat="1" ht="15.6" x14ac:dyDescent="0.3">
      <c r="A114" s="24">
        <v>1</v>
      </c>
      <c r="B114" s="39"/>
      <c r="C114" s="33"/>
      <c r="D114" s="25"/>
      <c r="E114" s="25"/>
      <c r="F114" s="34"/>
      <c r="G114" s="34"/>
      <c r="H114" s="25"/>
      <c r="I114" s="70" t="str">
        <f>IF(C114="Trả lại đơn vụ","",IF(C114="Trả lại đơn việc","",IF(C114="Hòa giải thành","",IF(F114=0,"",EDATE(F114,VLOOKUP(C114,'Thời hạn'!$D$1:$E$10,2,0))+H114))))</f>
        <v/>
      </c>
      <c r="J114" s="59" t="str">
        <f t="shared" ca="1" si="1"/>
        <v/>
      </c>
      <c r="K114" s="25"/>
      <c r="L114" s="129"/>
      <c r="M114" s="130"/>
      <c r="N114" s="33"/>
      <c r="O114" s="34"/>
      <c r="P114" s="25"/>
      <c r="Q114" s="25"/>
      <c r="R114" s="34"/>
      <c r="S114" s="34"/>
      <c r="T114" s="137"/>
      <c r="U114" s="137"/>
      <c r="V114" s="36"/>
      <c r="W114" s="37"/>
      <c r="X114" s="71" t="str">
        <f>IF(C114="Trả lại đơn vụ","",IF(C114="Trả lại đơn việc","",IF((NETWORKDAYS(F114,G114,'Danh sách ngày nghỉ lễ'!$B$5:$B$25)-1-3)&gt;0,"Quá hạn"&amp;" "&amp;(NETWORKDAYS(F114,G114,'Danh sách ngày nghỉ lễ'!$B$5:$B$25)-1-3)&amp;" "&amp;"ngày","")))</f>
        <v/>
      </c>
      <c r="Y114" s="72" t="str">
        <f>IF(S114=0,"",IF(P114="Chuyển","",IF(P114="Nhập vào vụ khác","",IF(P114="BA",IF((S114-R114)&gt;10,"Quá hạn"&amp;" "&amp;(S114-R114-10)&amp;" "&amp;"ngày",""),IF((NETWORKDAYS(R114,S114,'Danh sách ngày nghỉ lễ'!$B$5:$B$25)-VLOOKUP(P114,'Thời hạn'!$A$17:$B$23,2,0))&gt;1,"Quá hạn"&amp;" "&amp;(NETWORKDAYS(R114,S114,'Danh sách ngày nghỉ lễ'!$B$5:$B$25)-1-VLOOKUP(P114,'Thời hạn'!$A$17:$B$23,2,0))&amp;" "&amp;"ngày","")))))</f>
        <v/>
      </c>
      <c r="Z114" s="23">
        <v>1</v>
      </c>
    </row>
    <row r="115" spans="1:26" s="24" customFormat="1" ht="15.6" x14ac:dyDescent="0.3">
      <c r="A115" s="24">
        <v>1</v>
      </c>
      <c r="B115" s="39"/>
      <c r="C115" s="33"/>
      <c r="D115" s="25"/>
      <c r="E115" s="25"/>
      <c r="F115" s="34"/>
      <c r="G115" s="34"/>
      <c r="H115" s="25"/>
      <c r="I115" s="70" t="str">
        <f>IF(C115="Trả lại đơn vụ","",IF(C115="Trả lại đơn việc","",IF(C115="Hòa giải thành","",IF(F115=0,"",EDATE(F115,VLOOKUP(C115,'Thời hạn'!$D$1:$E$10,2,0))+H115))))</f>
        <v/>
      </c>
      <c r="J115" s="59" t="str">
        <f t="shared" ca="1" si="1"/>
        <v/>
      </c>
      <c r="K115" s="25"/>
      <c r="L115" s="129"/>
      <c r="M115" s="130"/>
      <c r="N115" s="33"/>
      <c r="O115" s="34"/>
      <c r="P115" s="25"/>
      <c r="Q115" s="25"/>
      <c r="R115" s="34"/>
      <c r="S115" s="34"/>
      <c r="T115" s="137"/>
      <c r="U115" s="137"/>
      <c r="V115" s="36"/>
      <c r="W115" s="37"/>
      <c r="X115" s="71" t="str">
        <f>IF(C115="Trả lại đơn vụ","",IF(C115="Trả lại đơn việc","",IF((NETWORKDAYS(F115,G115,'Danh sách ngày nghỉ lễ'!$B$5:$B$25)-1-3)&gt;0,"Quá hạn"&amp;" "&amp;(NETWORKDAYS(F115,G115,'Danh sách ngày nghỉ lễ'!$B$5:$B$25)-1-3)&amp;" "&amp;"ngày","")))</f>
        <v/>
      </c>
      <c r="Y115" s="72" t="str">
        <f>IF(S115=0,"",IF(P115="Chuyển","",IF(P115="Nhập vào vụ khác","",IF(P115="BA",IF((S115-R115)&gt;10,"Quá hạn"&amp;" "&amp;(S115-R115-10)&amp;" "&amp;"ngày",""),IF((NETWORKDAYS(R115,S115,'Danh sách ngày nghỉ lễ'!$B$5:$B$25)-VLOOKUP(P115,'Thời hạn'!$A$17:$B$23,2,0))&gt;1,"Quá hạn"&amp;" "&amp;(NETWORKDAYS(R115,S115,'Danh sách ngày nghỉ lễ'!$B$5:$B$25)-1-VLOOKUP(P115,'Thời hạn'!$A$17:$B$23,2,0))&amp;" "&amp;"ngày","")))))</f>
        <v/>
      </c>
      <c r="Z115" s="23">
        <v>1</v>
      </c>
    </row>
    <row r="116" spans="1:26" s="24" customFormat="1" ht="15.6" x14ac:dyDescent="0.3">
      <c r="A116" s="24">
        <v>1</v>
      </c>
      <c r="B116" s="39"/>
      <c r="C116" s="33"/>
      <c r="D116" s="25"/>
      <c r="E116" s="25"/>
      <c r="F116" s="34"/>
      <c r="G116" s="34"/>
      <c r="H116" s="25"/>
      <c r="I116" s="70" t="str">
        <f>IF(C116="Trả lại đơn vụ","",IF(C116="Trả lại đơn việc","",IF(C116="Hòa giải thành","",IF(F116=0,"",EDATE(F116,VLOOKUP(C116,'Thời hạn'!$D$1:$E$10,2,0))+H116))))</f>
        <v/>
      </c>
      <c r="J116" s="59" t="str">
        <f t="shared" ca="1" si="1"/>
        <v/>
      </c>
      <c r="K116" s="25"/>
      <c r="L116" s="129"/>
      <c r="M116" s="130"/>
      <c r="N116" s="33"/>
      <c r="O116" s="34"/>
      <c r="P116" s="25"/>
      <c r="Q116" s="25"/>
      <c r="R116" s="34"/>
      <c r="S116" s="34"/>
      <c r="T116" s="137"/>
      <c r="U116" s="137"/>
      <c r="V116" s="36"/>
      <c r="W116" s="37"/>
      <c r="X116" s="71" t="str">
        <f>IF(C116="Trả lại đơn vụ","",IF(C116="Trả lại đơn việc","",IF((NETWORKDAYS(F116,G116,'Danh sách ngày nghỉ lễ'!$B$5:$B$25)-1-3)&gt;0,"Quá hạn"&amp;" "&amp;(NETWORKDAYS(F116,G116,'Danh sách ngày nghỉ lễ'!$B$5:$B$25)-1-3)&amp;" "&amp;"ngày","")))</f>
        <v/>
      </c>
      <c r="Y116" s="72" t="str">
        <f>IF(S116=0,"",IF(P116="Chuyển","",IF(P116="Nhập vào vụ khác","",IF(P116="BA",IF((S116-R116)&gt;10,"Quá hạn"&amp;" "&amp;(S116-R116-10)&amp;" "&amp;"ngày",""),IF((NETWORKDAYS(R116,S116,'Danh sách ngày nghỉ lễ'!$B$5:$B$25)-VLOOKUP(P116,'Thời hạn'!$A$17:$B$23,2,0))&gt;1,"Quá hạn"&amp;" "&amp;(NETWORKDAYS(R116,S116,'Danh sách ngày nghỉ lễ'!$B$5:$B$25)-1-VLOOKUP(P116,'Thời hạn'!$A$17:$B$23,2,0))&amp;" "&amp;"ngày","")))))</f>
        <v/>
      </c>
      <c r="Z116" s="23">
        <v>1</v>
      </c>
    </row>
    <row r="117" spans="1:26" s="24" customFormat="1" ht="15.6" x14ac:dyDescent="0.3">
      <c r="A117" s="24">
        <v>1</v>
      </c>
      <c r="B117" s="39"/>
      <c r="C117" s="33"/>
      <c r="D117" s="25"/>
      <c r="E117" s="25"/>
      <c r="F117" s="34"/>
      <c r="G117" s="34"/>
      <c r="H117" s="25"/>
      <c r="I117" s="70" t="str">
        <f>IF(C117="Trả lại đơn vụ","",IF(C117="Trả lại đơn việc","",IF(C117="Hòa giải thành","",IF(F117=0,"",EDATE(F117,VLOOKUP(C117,'Thời hạn'!$D$1:$E$10,2,0))+H117))))</f>
        <v/>
      </c>
      <c r="J117" s="59" t="str">
        <f t="shared" ca="1" si="1"/>
        <v/>
      </c>
      <c r="K117" s="25"/>
      <c r="L117" s="129"/>
      <c r="M117" s="130"/>
      <c r="N117" s="33"/>
      <c r="O117" s="34"/>
      <c r="P117" s="25"/>
      <c r="Q117" s="25"/>
      <c r="R117" s="34"/>
      <c r="S117" s="34"/>
      <c r="T117" s="137"/>
      <c r="U117" s="137"/>
      <c r="V117" s="36"/>
      <c r="W117" s="37"/>
      <c r="X117" s="71" t="str">
        <f>IF(C117="Trả lại đơn vụ","",IF(C117="Trả lại đơn việc","",IF((NETWORKDAYS(F117,G117,'Danh sách ngày nghỉ lễ'!$B$5:$B$25)-1-3)&gt;0,"Quá hạn"&amp;" "&amp;(NETWORKDAYS(F117,G117,'Danh sách ngày nghỉ lễ'!$B$5:$B$25)-1-3)&amp;" "&amp;"ngày","")))</f>
        <v/>
      </c>
      <c r="Y117" s="72" t="str">
        <f>IF(S117=0,"",IF(P117="Chuyển","",IF(P117="Nhập vào vụ khác","",IF(P117="BA",IF((S117-R117)&gt;10,"Quá hạn"&amp;" "&amp;(S117-R117-10)&amp;" "&amp;"ngày",""),IF((NETWORKDAYS(R117,S117,'Danh sách ngày nghỉ lễ'!$B$5:$B$25)-VLOOKUP(P117,'Thời hạn'!$A$17:$B$23,2,0))&gt;1,"Quá hạn"&amp;" "&amp;(NETWORKDAYS(R117,S117,'Danh sách ngày nghỉ lễ'!$B$5:$B$25)-1-VLOOKUP(P117,'Thời hạn'!$A$17:$B$23,2,0))&amp;" "&amp;"ngày","")))))</f>
        <v/>
      </c>
      <c r="Z117" s="23">
        <v>1</v>
      </c>
    </row>
    <row r="118" spans="1:26" s="24" customFormat="1" ht="15.6" x14ac:dyDescent="0.3">
      <c r="A118" s="24">
        <v>1</v>
      </c>
      <c r="B118" s="39"/>
      <c r="C118" s="33"/>
      <c r="D118" s="25"/>
      <c r="E118" s="25"/>
      <c r="F118" s="34"/>
      <c r="G118" s="34"/>
      <c r="H118" s="25"/>
      <c r="I118" s="70" t="str">
        <f>IF(C118="Trả lại đơn vụ","",IF(C118="Trả lại đơn việc","",IF(C118="Hòa giải thành","",IF(F118=0,"",EDATE(F118,VLOOKUP(C118,'Thời hạn'!$D$1:$E$10,2,0))+H118))))</f>
        <v/>
      </c>
      <c r="J118" s="59" t="str">
        <f t="shared" ca="1" si="1"/>
        <v/>
      </c>
      <c r="K118" s="25"/>
      <c r="L118" s="129"/>
      <c r="M118" s="130"/>
      <c r="N118" s="33"/>
      <c r="O118" s="34"/>
      <c r="P118" s="25"/>
      <c r="Q118" s="25"/>
      <c r="R118" s="34"/>
      <c r="S118" s="34"/>
      <c r="T118" s="137"/>
      <c r="U118" s="137"/>
      <c r="V118" s="36"/>
      <c r="W118" s="37"/>
      <c r="X118" s="71" t="str">
        <f>IF(C118="Trả lại đơn vụ","",IF(C118="Trả lại đơn việc","",IF((NETWORKDAYS(F118,G118,'Danh sách ngày nghỉ lễ'!$B$5:$B$25)-1-3)&gt;0,"Quá hạn"&amp;" "&amp;(NETWORKDAYS(F118,G118,'Danh sách ngày nghỉ lễ'!$B$5:$B$25)-1-3)&amp;" "&amp;"ngày","")))</f>
        <v/>
      </c>
      <c r="Y118" s="72" t="str">
        <f>IF(S118=0,"",IF(P118="Chuyển","",IF(P118="Nhập vào vụ khác","",IF(P118="BA",IF((S118-R118)&gt;10,"Quá hạn"&amp;" "&amp;(S118-R118-10)&amp;" "&amp;"ngày",""),IF((NETWORKDAYS(R118,S118,'Danh sách ngày nghỉ lễ'!$B$5:$B$25)-VLOOKUP(P118,'Thời hạn'!$A$17:$B$23,2,0))&gt;1,"Quá hạn"&amp;" "&amp;(NETWORKDAYS(R118,S118,'Danh sách ngày nghỉ lễ'!$B$5:$B$25)-1-VLOOKUP(P118,'Thời hạn'!$A$17:$B$23,2,0))&amp;" "&amp;"ngày","")))))</f>
        <v/>
      </c>
      <c r="Z118" s="23">
        <v>1</v>
      </c>
    </row>
    <row r="119" spans="1:26" s="24" customFormat="1" ht="15.6" x14ac:dyDescent="0.3">
      <c r="A119" s="24">
        <v>1</v>
      </c>
      <c r="B119" s="39"/>
      <c r="C119" s="33"/>
      <c r="D119" s="25"/>
      <c r="E119" s="25"/>
      <c r="F119" s="34"/>
      <c r="G119" s="34"/>
      <c r="H119" s="25"/>
      <c r="I119" s="70" t="str">
        <f>IF(C119="Trả lại đơn vụ","",IF(C119="Trả lại đơn việc","",IF(C119="Hòa giải thành","",IF(F119=0,"",EDATE(F119,VLOOKUP(C119,'Thời hạn'!$D$1:$E$10,2,0))+H119))))</f>
        <v/>
      </c>
      <c r="J119" s="59" t="str">
        <f t="shared" ca="1" si="1"/>
        <v/>
      </c>
      <c r="K119" s="25"/>
      <c r="L119" s="129"/>
      <c r="M119" s="130"/>
      <c r="N119" s="33"/>
      <c r="O119" s="34"/>
      <c r="P119" s="25"/>
      <c r="Q119" s="25"/>
      <c r="R119" s="34"/>
      <c r="S119" s="34"/>
      <c r="T119" s="137"/>
      <c r="U119" s="137"/>
      <c r="V119" s="36"/>
      <c r="W119" s="37"/>
      <c r="X119" s="71" t="str">
        <f>IF(C119="Trả lại đơn vụ","",IF(C119="Trả lại đơn việc","",IF((NETWORKDAYS(F119,G119,'Danh sách ngày nghỉ lễ'!$B$5:$B$25)-1-3)&gt;0,"Quá hạn"&amp;" "&amp;(NETWORKDAYS(F119,G119,'Danh sách ngày nghỉ lễ'!$B$5:$B$25)-1-3)&amp;" "&amp;"ngày","")))</f>
        <v/>
      </c>
      <c r="Y119" s="72" t="str">
        <f>IF(S119=0,"",IF(P119="Chuyển","",IF(P119="Nhập vào vụ khác","",IF(P119="BA",IF((S119-R119)&gt;10,"Quá hạn"&amp;" "&amp;(S119-R119-10)&amp;" "&amp;"ngày",""),IF((NETWORKDAYS(R119,S119,'Danh sách ngày nghỉ lễ'!$B$5:$B$25)-VLOOKUP(P119,'Thời hạn'!$A$17:$B$23,2,0))&gt;1,"Quá hạn"&amp;" "&amp;(NETWORKDAYS(R119,S119,'Danh sách ngày nghỉ lễ'!$B$5:$B$25)-1-VLOOKUP(P119,'Thời hạn'!$A$17:$B$23,2,0))&amp;" "&amp;"ngày","")))))</f>
        <v/>
      </c>
      <c r="Z119" s="23">
        <v>1</v>
      </c>
    </row>
    <row r="120" spans="1:26" s="24" customFormat="1" ht="15.6" x14ac:dyDescent="0.3">
      <c r="A120" s="24">
        <v>1</v>
      </c>
      <c r="B120" s="39"/>
      <c r="C120" s="33"/>
      <c r="D120" s="25"/>
      <c r="E120" s="25"/>
      <c r="F120" s="34"/>
      <c r="G120" s="34"/>
      <c r="H120" s="25"/>
      <c r="I120" s="70" t="str">
        <f>IF(C120="Trả lại đơn vụ","",IF(C120="Trả lại đơn việc","",IF(C120="Hòa giải thành","",IF(F120=0,"",EDATE(F120,VLOOKUP(C120,'Thời hạn'!$D$1:$E$10,2,0))+H120))))</f>
        <v/>
      </c>
      <c r="J120" s="59" t="str">
        <f t="shared" ca="1" si="1"/>
        <v/>
      </c>
      <c r="K120" s="25"/>
      <c r="L120" s="129"/>
      <c r="M120" s="130"/>
      <c r="N120" s="33"/>
      <c r="O120" s="34"/>
      <c r="P120" s="25"/>
      <c r="Q120" s="25"/>
      <c r="R120" s="34"/>
      <c r="S120" s="34"/>
      <c r="T120" s="137"/>
      <c r="U120" s="137"/>
      <c r="V120" s="36"/>
      <c r="W120" s="37"/>
      <c r="X120" s="71" t="str">
        <f>IF(C120="Trả lại đơn vụ","",IF(C120="Trả lại đơn việc","",IF((NETWORKDAYS(F120,G120,'Danh sách ngày nghỉ lễ'!$B$5:$B$25)-1-3)&gt;0,"Quá hạn"&amp;" "&amp;(NETWORKDAYS(F120,G120,'Danh sách ngày nghỉ lễ'!$B$5:$B$25)-1-3)&amp;" "&amp;"ngày","")))</f>
        <v/>
      </c>
      <c r="Y120" s="72" t="str">
        <f>IF(S120=0,"",IF(P120="Chuyển","",IF(P120="Nhập vào vụ khác","",IF(P120="BA",IF((S120-R120)&gt;10,"Quá hạn"&amp;" "&amp;(S120-R120-10)&amp;" "&amp;"ngày",""),IF((NETWORKDAYS(R120,S120,'Danh sách ngày nghỉ lễ'!$B$5:$B$25)-VLOOKUP(P120,'Thời hạn'!$A$17:$B$23,2,0))&gt;1,"Quá hạn"&amp;" "&amp;(NETWORKDAYS(R120,S120,'Danh sách ngày nghỉ lễ'!$B$5:$B$25)-1-VLOOKUP(P120,'Thời hạn'!$A$17:$B$23,2,0))&amp;" "&amp;"ngày","")))))</f>
        <v/>
      </c>
      <c r="Z120" s="23">
        <v>1</v>
      </c>
    </row>
    <row r="121" spans="1:26" s="24" customFormat="1" ht="15.6" x14ac:dyDescent="0.3">
      <c r="A121" s="24">
        <v>1</v>
      </c>
      <c r="B121" s="39"/>
      <c r="C121" s="33"/>
      <c r="D121" s="25"/>
      <c r="E121" s="25"/>
      <c r="F121" s="34"/>
      <c r="G121" s="34"/>
      <c r="H121" s="25"/>
      <c r="I121" s="70" t="str">
        <f>IF(C121="Trả lại đơn vụ","",IF(C121="Trả lại đơn việc","",IF(C121="Hòa giải thành","",IF(F121=0,"",EDATE(F121,VLOOKUP(C121,'Thời hạn'!$D$1:$E$10,2,0))+H121))))</f>
        <v/>
      </c>
      <c r="J121" s="59" t="str">
        <f t="shared" ca="1" si="1"/>
        <v/>
      </c>
      <c r="K121" s="25"/>
      <c r="L121" s="129"/>
      <c r="M121" s="130"/>
      <c r="N121" s="33"/>
      <c r="O121" s="34"/>
      <c r="P121" s="25"/>
      <c r="Q121" s="25"/>
      <c r="R121" s="34"/>
      <c r="S121" s="34"/>
      <c r="T121" s="137"/>
      <c r="U121" s="137"/>
      <c r="V121" s="36"/>
      <c r="W121" s="37"/>
      <c r="X121" s="71" t="str">
        <f>IF(C121="Trả lại đơn vụ","",IF(C121="Trả lại đơn việc","",IF((NETWORKDAYS(F121,G121,'Danh sách ngày nghỉ lễ'!$B$5:$B$25)-1-3)&gt;0,"Quá hạn"&amp;" "&amp;(NETWORKDAYS(F121,G121,'Danh sách ngày nghỉ lễ'!$B$5:$B$25)-1-3)&amp;" "&amp;"ngày","")))</f>
        <v/>
      </c>
      <c r="Y121" s="72" t="str">
        <f>IF(S121=0,"",IF(P121="Chuyển","",IF(P121="Nhập vào vụ khác","",IF(P121="BA",IF((S121-R121)&gt;10,"Quá hạn"&amp;" "&amp;(S121-R121-10)&amp;" "&amp;"ngày",""),IF((NETWORKDAYS(R121,S121,'Danh sách ngày nghỉ lễ'!$B$5:$B$25)-VLOOKUP(P121,'Thời hạn'!$A$17:$B$23,2,0))&gt;1,"Quá hạn"&amp;" "&amp;(NETWORKDAYS(R121,S121,'Danh sách ngày nghỉ lễ'!$B$5:$B$25)-1-VLOOKUP(P121,'Thời hạn'!$A$17:$B$23,2,0))&amp;" "&amp;"ngày","")))))</f>
        <v/>
      </c>
      <c r="Z121" s="23">
        <v>1</v>
      </c>
    </row>
    <row r="122" spans="1:26" s="24" customFormat="1" ht="15.6" x14ac:dyDescent="0.3">
      <c r="A122" s="24">
        <v>1</v>
      </c>
      <c r="B122" s="39"/>
      <c r="C122" s="33"/>
      <c r="D122" s="25"/>
      <c r="E122" s="25"/>
      <c r="F122" s="34"/>
      <c r="G122" s="34"/>
      <c r="H122" s="25"/>
      <c r="I122" s="70" t="str">
        <f>IF(C122="Trả lại đơn vụ","",IF(C122="Trả lại đơn việc","",IF(C122="Hòa giải thành","",IF(F122=0,"",EDATE(F122,VLOOKUP(C122,'Thời hạn'!$D$1:$E$10,2,0))+H122))))</f>
        <v/>
      </c>
      <c r="J122" s="59" t="str">
        <f t="shared" ca="1" si="1"/>
        <v/>
      </c>
      <c r="K122" s="25"/>
      <c r="L122" s="129"/>
      <c r="M122" s="130"/>
      <c r="N122" s="33"/>
      <c r="O122" s="34"/>
      <c r="P122" s="25"/>
      <c r="Q122" s="25"/>
      <c r="R122" s="34"/>
      <c r="S122" s="34"/>
      <c r="T122" s="137"/>
      <c r="U122" s="137"/>
      <c r="V122" s="36"/>
      <c r="W122" s="37"/>
      <c r="X122" s="71" t="str">
        <f>IF(C122="Trả lại đơn vụ","",IF(C122="Trả lại đơn việc","",IF((NETWORKDAYS(F122,G122,'Danh sách ngày nghỉ lễ'!$B$5:$B$25)-1-3)&gt;0,"Quá hạn"&amp;" "&amp;(NETWORKDAYS(F122,G122,'Danh sách ngày nghỉ lễ'!$B$5:$B$25)-1-3)&amp;" "&amp;"ngày","")))</f>
        <v/>
      </c>
      <c r="Y122" s="72" t="str">
        <f>IF(S122=0,"",IF(P122="Chuyển","",IF(P122="Nhập vào vụ khác","",IF(P122="BA",IF((S122-R122)&gt;10,"Quá hạn"&amp;" "&amp;(S122-R122-10)&amp;" "&amp;"ngày",""),IF((NETWORKDAYS(R122,S122,'Danh sách ngày nghỉ lễ'!$B$5:$B$25)-VLOOKUP(P122,'Thời hạn'!$A$17:$B$23,2,0))&gt;1,"Quá hạn"&amp;" "&amp;(NETWORKDAYS(R122,S122,'Danh sách ngày nghỉ lễ'!$B$5:$B$25)-1-VLOOKUP(P122,'Thời hạn'!$A$17:$B$23,2,0))&amp;" "&amp;"ngày","")))))</f>
        <v/>
      </c>
      <c r="Z122" s="23">
        <v>1</v>
      </c>
    </row>
    <row r="123" spans="1:26" s="24" customFormat="1" ht="15.6" x14ac:dyDescent="0.3">
      <c r="A123" s="24">
        <v>1</v>
      </c>
      <c r="B123" s="39"/>
      <c r="C123" s="33"/>
      <c r="D123" s="25"/>
      <c r="E123" s="25"/>
      <c r="F123" s="34"/>
      <c r="G123" s="34"/>
      <c r="H123" s="25"/>
      <c r="I123" s="70" t="str">
        <f>IF(C123="Trả lại đơn vụ","",IF(C123="Trả lại đơn việc","",IF(C123="Hòa giải thành","",IF(F123=0,"",EDATE(F123,VLOOKUP(C123,'Thời hạn'!$D$1:$E$10,2,0))+H123))))</f>
        <v/>
      </c>
      <c r="J123" s="59" t="str">
        <f t="shared" ca="1" si="1"/>
        <v/>
      </c>
      <c r="K123" s="25"/>
      <c r="L123" s="129"/>
      <c r="M123" s="130"/>
      <c r="N123" s="33"/>
      <c r="O123" s="34"/>
      <c r="P123" s="25"/>
      <c r="Q123" s="25"/>
      <c r="R123" s="34"/>
      <c r="S123" s="34"/>
      <c r="T123" s="137"/>
      <c r="U123" s="137"/>
      <c r="V123" s="36"/>
      <c r="W123" s="37"/>
      <c r="X123" s="71" t="str">
        <f>IF(C123="Trả lại đơn vụ","",IF(C123="Trả lại đơn việc","",IF((NETWORKDAYS(F123,G123,'Danh sách ngày nghỉ lễ'!$B$5:$B$25)-1-3)&gt;0,"Quá hạn"&amp;" "&amp;(NETWORKDAYS(F123,G123,'Danh sách ngày nghỉ lễ'!$B$5:$B$25)-1-3)&amp;" "&amp;"ngày","")))</f>
        <v/>
      </c>
      <c r="Y123" s="72" t="str">
        <f>IF(S123=0,"",IF(P123="Chuyển","",IF(P123="Nhập vào vụ khác","",IF(P123="BA",IF((S123-R123)&gt;10,"Quá hạn"&amp;" "&amp;(S123-R123-10)&amp;" "&amp;"ngày",""),IF((NETWORKDAYS(R123,S123,'Danh sách ngày nghỉ lễ'!$B$5:$B$25)-VLOOKUP(P123,'Thời hạn'!$A$17:$B$23,2,0))&gt;1,"Quá hạn"&amp;" "&amp;(NETWORKDAYS(R123,S123,'Danh sách ngày nghỉ lễ'!$B$5:$B$25)-1-VLOOKUP(P123,'Thời hạn'!$A$17:$B$23,2,0))&amp;" "&amp;"ngày","")))))</f>
        <v/>
      </c>
      <c r="Z123" s="23">
        <v>1</v>
      </c>
    </row>
    <row r="124" spans="1:26" s="24" customFormat="1" ht="15.6" x14ac:dyDescent="0.3">
      <c r="A124" s="24">
        <v>1</v>
      </c>
      <c r="B124" s="39"/>
      <c r="C124" s="33"/>
      <c r="D124" s="25"/>
      <c r="E124" s="25"/>
      <c r="F124" s="34"/>
      <c r="G124" s="34"/>
      <c r="H124" s="25"/>
      <c r="I124" s="70" t="str">
        <f>IF(C124="Trả lại đơn vụ","",IF(C124="Trả lại đơn việc","",IF(C124="Hòa giải thành","",IF(F124=0,"",EDATE(F124,VLOOKUP(C124,'Thời hạn'!$D$1:$E$10,2,0))+H124))))</f>
        <v/>
      </c>
      <c r="J124" s="59" t="str">
        <f t="shared" ca="1" si="1"/>
        <v/>
      </c>
      <c r="K124" s="25"/>
      <c r="L124" s="129"/>
      <c r="M124" s="130"/>
      <c r="N124" s="33"/>
      <c r="O124" s="34"/>
      <c r="P124" s="25"/>
      <c r="Q124" s="25"/>
      <c r="R124" s="34"/>
      <c r="S124" s="34"/>
      <c r="T124" s="137"/>
      <c r="U124" s="137"/>
      <c r="V124" s="36"/>
      <c r="W124" s="37"/>
      <c r="X124" s="71" t="str">
        <f>IF(C124="Trả lại đơn vụ","",IF(C124="Trả lại đơn việc","",IF((NETWORKDAYS(F124,G124,'Danh sách ngày nghỉ lễ'!$B$5:$B$25)-1-3)&gt;0,"Quá hạn"&amp;" "&amp;(NETWORKDAYS(F124,G124,'Danh sách ngày nghỉ lễ'!$B$5:$B$25)-1-3)&amp;" "&amp;"ngày","")))</f>
        <v/>
      </c>
      <c r="Y124" s="72" t="str">
        <f>IF(S124=0,"",IF(P124="Chuyển","",IF(P124="Nhập vào vụ khác","",IF(P124="BA",IF((S124-R124)&gt;10,"Quá hạn"&amp;" "&amp;(S124-R124-10)&amp;" "&amp;"ngày",""),IF((NETWORKDAYS(R124,S124,'Danh sách ngày nghỉ lễ'!$B$5:$B$25)-VLOOKUP(P124,'Thời hạn'!$A$17:$B$23,2,0))&gt;1,"Quá hạn"&amp;" "&amp;(NETWORKDAYS(R124,S124,'Danh sách ngày nghỉ lễ'!$B$5:$B$25)-1-VLOOKUP(P124,'Thời hạn'!$A$17:$B$23,2,0))&amp;" "&amp;"ngày","")))))</f>
        <v/>
      </c>
      <c r="Z124" s="23">
        <v>1</v>
      </c>
    </row>
    <row r="125" spans="1:26" s="24" customFormat="1" ht="15.6" x14ac:dyDescent="0.3">
      <c r="A125" s="24">
        <v>1</v>
      </c>
      <c r="B125" s="39"/>
      <c r="C125" s="33"/>
      <c r="D125" s="25"/>
      <c r="E125" s="25"/>
      <c r="F125" s="34"/>
      <c r="G125" s="34"/>
      <c r="H125" s="25"/>
      <c r="I125" s="70" t="str">
        <f>IF(C125="Trả lại đơn vụ","",IF(C125="Trả lại đơn việc","",IF(C125="Hòa giải thành","",IF(F125=0,"",EDATE(F125,VLOOKUP(C125,'Thời hạn'!$D$1:$E$10,2,0))+H125))))</f>
        <v/>
      </c>
      <c r="J125" s="59" t="str">
        <f t="shared" ca="1" si="1"/>
        <v/>
      </c>
      <c r="K125" s="25"/>
      <c r="L125" s="129"/>
      <c r="M125" s="130"/>
      <c r="N125" s="33"/>
      <c r="O125" s="34"/>
      <c r="P125" s="25"/>
      <c r="Q125" s="25"/>
      <c r="R125" s="34"/>
      <c r="S125" s="34"/>
      <c r="T125" s="137"/>
      <c r="U125" s="137"/>
      <c r="V125" s="36"/>
      <c r="W125" s="37"/>
      <c r="X125" s="71" t="str">
        <f>IF(C125="Trả lại đơn vụ","",IF(C125="Trả lại đơn việc","",IF((NETWORKDAYS(F125,G125,'Danh sách ngày nghỉ lễ'!$B$5:$B$25)-1-3)&gt;0,"Quá hạn"&amp;" "&amp;(NETWORKDAYS(F125,G125,'Danh sách ngày nghỉ lễ'!$B$5:$B$25)-1-3)&amp;" "&amp;"ngày","")))</f>
        <v/>
      </c>
      <c r="Y125" s="72" t="str">
        <f>IF(S125=0,"",IF(P125="Chuyển","",IF(P125="Nhập vào vụ khác","",IF(P125="BA",IF((S125-R125)&gt;10,"Quá hạn"&amp;" "&amp;(S125-R125-10)&amp;" "&amp;"ngày",""),IF((NETWORKDAYS(R125,S125,'Danh sách ngày nghỉ lễ'!$B$5:$B$25)-VLOOKUP(P125,'Thời hạn'!$A$17:$B$23,2,0))&gt;1,"Quá hạn"&amp;" "&amp;(NETWORKDAYS(R125,S125,'Danh sách ngày nghỉ lễ'!$B$5:$B$25)-1-VLOOKUP(P125,'Thời hạn'!$A$17:$B$23,2,0))&amp;" "&amp;"ngày","")))))</f>
        <v/>
      </c>
      <c r="Z125" s="23">
        <v>1</v>
      </c>
    </row>
    <row r="126" spans="1:26" s="24" customFormat="1" ht="15.6" x14ac:dyDescent="0.3">
      <c r="A126" s="24">
        <v>1</v>
      </c>
      <c r="B126" s="39"/>
      <c r="C126" s="33"/>
      <c r="D126" s="25"/>
      <c r="E126" s="25"/>
      <c r="F126" s="34"/>
      <c r="G126" s="34"/>
      <c r="H126" s="25"/>
      <c r="I126" s="70" t="str">
        <f>IF(C126="Trả lại đơn vụ","",IF(C126="Trả lại đơn việc","",IF(C126="Hòa giải thành","",IF(F126=0,"",EDATE(F126,VLOOKUP(C126,'Thời hạn'!$D$1:$E$10,2,0))+H126))))</f>
        <v/>
      </c>
      <c r="J126" s="59" t="str">
        <f t="shared" ca="1" si="1"/>
        <v/>
      </c>
      <c r="K126" s="25"/>
      <c r="L126" s="129"/>
      <c r="M126" s="130"/>
      <c r="N126" s="33"/>
      <c r="O126" s="34"/>
      <c r="P126" s="25"/>
      <c r="Q126" s="25"/>
      <c r="R126" s="34"/>
      <c r="S126" s="34"/>
      <c r="T126" s="137"/>
      <c r="U126" s="137"/>
      <c r="V126" s="36"/>
      <c r="W126" s="37"/>
      <c r="X126" s="71" t="str">
        <f>IF(C126="Trả lại đơn vụ","",IF(C126="Trả lại đơn việc","",IF((NETWORKDAYS(F126,G126,'Danh sách ngày nghỉ lễ'!$B$5:$B$25)-1-3)&gt;0,"Quá hạn"&amp;" "&amp;(NETWORKDAYS(F126,G126,'Danh sách ngày nghỉ lễ'!$B$5:$B$25)-1-3)&amp;" "&amp;"ngày","")))</f>
        <v/>
      </c>
      <c r="Y126" s="72" t="str">
        <f>IF(S126=0,"",IF(P126="Chuyển","",IF(P126="Nhập vào vụ khác","",IF(P126="BA",IF((S126-R126)&gt;10,"Quá hạn"&amp;" "&amp;(S126-R126-10)&amp;" "&amp;"ngày",""),IF((NETWORKDAYS(R126,S126,'Danh sách ngày nghỉ lễ'!$B$5:$B$25)-VLOOKUP(P126,'Thời hạn'!$A$17:$B$23,2,0))&gt;1,"Quá hạn"&amp;" "&amp;(NETWORKDAYS(R126,S126,'Danh sách ngày nghỉ lễ'!$B$5:$B$25)-1-VLOOKUP(P126,'Thời hạn'!$A$17:$B$23,2,0))&amp;" "&amp;"ngày","")))))</f>
        <v/>
      </c>
      <c r="Z126" s="23">
        <v>1</v>
      </c>
    </row>
    <row r="127" spans="1:26" s="24" customFormat="1" ht="15.6" x14ac:dyDescent="0.3">
      <c r="A127" s="24">
        <v>1</v>
      </c>
      <c r="B127" s="39"/>
      <c r="C127" s="33"/>
      <c r="D127" s="25"/>
      <c r="E127" s="25"/>
      <c r="F127" s="34"/>
      <c r="G127" s="34"/>
      <c r="H127" s="25"/>
      <c r="I127" s="70" t="str">
        <f>IF(C127="Trả lại đơn vụ","",IF(C127="Trả lại đơn việc","",IF(C127="Hòa giải thành","",IF(F127=0,"",EDATE(F127,VLOOKUP(C127,'Thời hạn'!$D$1:$E$10,2,0))+H127))))</f>
        <v/>
      </c>
      <c r="J127" s="59" t="str">
        <f t="shared" ca="1" si="1"/>
        <v/>
      </c>
      <c r="K127" s="25"/>
      <c r="L127" s="129"/>
      <c r="M127" s="130"/>
      <c r="N127" s="33"/>
      <c r="O127" s="34"/>
      <c r="P127" s="25"/>
      <c r="Q127" s="25"/>
      <c r="R127" s="34"/>
      <c r="S127" s="34"/>
      <c r="T127" s="137"/>
      <c r="U127" s="137"/>
      <c r="V127" s="36"/>
      <c r="W127" s="37"/>
      <c r="X127" s="71" t="str">
        <f>IF(C127="Trả lại đơn vụ","",IF(C127="Trả lại đơn việc","",IF((NETWORKDAYS(F127,G127,'Danh sách ngày nghỉ lễ'!$B$5:$B$25)-1-3)&gt;0,"Quá hạn"&amp;" "&amp;(NETWORKDAYS(F127,G127,'Danh sách ngày nghỉ lễ'!$B$5:$B$25)-1-3)&amp;" "&amp;"ngày","")))</f>
        <v/>
      </c>
      <c r="Y127" s="72" t="str">
        <f>IF(S127=0,"",IF(P127="Chuyển","",IF(P127="Nhập vào vụ khác","",IF(P127="BA",IF((S127-R127)&gt;10,"Quá hạn"&amp;" "&amp;(S127-R127-10)&amp;" "&amp;"ngày",""),IF((NETWORKDAYS(R127,S127,'Danh sách ngày nghỉ lễ'!$B$5:$B$25)-VLOOKUP(P127,'Thời hạn'!$A$17:$B$23,2,0))&gt;1,"Quá hạn"&amp;" "&amp;(NETWORKDAYS(R127,S127,'Danh sách ngày nghỉ lễ'!$B$5:$B$25)-1-VLOOKUP(P127,'Thời hạn'!$A$17:$B$23,2,0))&amp;" "&amp;"ngày","")))))</f>
        <v/>
      </c>
      <c r="Z127" s="23">
        <v>1</v>
      </c>
    </row>
    <row r="128" spans="1:26" s="24" customFormat="1" ht="15.6" x14ac:dyDescent="0.3">
      <c r="A128" s="24">
        <v>1</v>
      </c>
      <c r="B128" s="39"/>
      <c r="C128" s="33"/>
      <c r="D128" s="25"/>
      <c r="E128" s="25"/>
      <c r="F128" s="34"/>
      <c r="G128" s="34"/>
      <c r="H128" s="25"/>
      <c r="I128" s="70" t="str">
        <f>IF(C128="Trả lại đơn vụ","",IF(C128="Trả lại đơn việc","",IF(C128="Hòa giải thành","",IF(F128=0,"",EDATE(F128,VLOOKUP(C128,'Thời hạn'!$D$1:$E$10,2,0))+H128))))</f>
        <v/>
      </c>
      <c r="J128" s="59" t="str">
        <f t="shared" ca="1" si="1"/>
        <v/>
      </c>
      <c r="K128" s="25"/>
      <c r="L128" s="129"/>
      <c r="M128" s="130"/>
      <c r="N128" s="33"/>
      <c r="O128" s="34"/>
      <c r="P128" s="25"/>
      <c r="Q128" s="25"/>
      <c r="R128" s="34"/>
      <c r="S128" s="34"/>
      <c r="T128" s="137"/>
      <c r="U128" s="137"/>
      <c r="V128" s="36"/>
      <c r="W128" s="37"/>
      <c r="X128" s="71" t="str">
        <f>IF(C128="Trả lại đơn vụ","",IF(C128="Trả lại đơn việc","",IF((NETWORKDAYS(F128,G128,'Danh sách ngày nghỉ lễ'!$B$5:$B$25)-1-3)&gt;0,"Quá hạn"&amp;" "&amp;(NETWORKDAYS(F128,G128,'Danh sách ngày nghỉ lễ'!$B$5:$B$25)-1-3)&amp;" "&amp;"ngày","")))</f>
        <v/>
      </c>
      <c r="Y128" s="72" t="str">
        <f>IF(S128=0,"",IF(P128="Chuyển","",IF(P128="Nhập vào vụ khác","",IF(P128="BA",IF((S128-R128)&gt;10,"Quá hạn"&amp;" "&amp;(S128-R128-10)&amp;" "&amp;"ngày",""),IF((NETWORKDAYS(R128,S128,'Danh sách ngày nghỉ lễ'!$B$5:$B$25)-VLOOKUP(P128,'Thời hạn'!$A$17:$B$23,2,0))&gt;1,"Quá hạn"&amp;" "&amp;(NETWORKDAYS(R128,S128,'Danh sách ngày nghỉ lễ'!$B$5:$B$25)-1-VLOOKUP(P128,'Thời hạn'!$A$17:$B$23,2,0))&amp;" "&amp;"ngày","")))))</f>
        <v/>
      </c>
      <c r="Z128" s="23">
        <v>1</v>
      </c>
    </row>
    <row r="129" spans="1:26" s="24" customFormat="1" ht="15.6" x14ac:dyDescent="0.3">
      <c r="A129" s="24">
        <v>1</v>
      </c>
      <c r="B129" s="39"/>
      <c r="C129" s="33"/>
      <c r="D129" s="25"/>
      <c r="E129" s="25"/>
      <c r="F129" s="34"/>
      <c r="G129" s="34"/>
      <c r="H129" s="25"/>
      <c r="I129" s="70" t="str">
        <f>IF(C129="Trả lại đơn vụ","",IF(C129="Trả lại đơn việc","",IF(C129="Hòa giải thành","",IF(F129=0,"",EDATE(F129,VLOOKUP(C129,'Thời hạn'!$D$1:$E$10,2,0))+H129))))</f>
        <v/>
      </c>
      <c r="J129" s="59" t="str">
        <f t="shared" ca="1" si="1"/>
        <v/>
      </c>
      <c r="K129" s="25"/>
      <c r="L129" s="129"/>
      <c r="M129" s="130"/>
      <c r="N129" s="33"/>
      <c r="O129" s="34"/>
      <c r="P129" s="25"/>
      <c r="Q129" s="25"/>
      <c r="R129" s="34"/>
      <c r="S129" s="34"/>
      <c r="T129" s="137"/>
      <c r="U129" s="137"/>
      <c r="V129" s="36"/>
      <c r="W129" s="37"/>
      <c r="X129" s="71" t="str">
        <f>IF(C129="Trả lại đơn vụ","",IF(C129="Trả lại đơn việc","",IF((NETWORKDAYS(F129,G129,'Danh sách ngày nghỉ lễ'!$B$5:$B$25)-1-3)&gt;0,"Quá hạn"&amp;" "&amp;(NETWORKDAYS(F129,G129,'Danh sách ngày nghỉ lễ'!$B$5:$B$25)-1-3)&amp;" "&amp;"ngày","")))</f>
        <v/>
      </c>
      <c r="Y129" s="72" t="str">
        <f>IF(S129=0,"",IF(P129="Chuyển","",IF(P129="Nhập vào vụ khác","",IF(P129="BA",IF((S129-R129)&gt;10,"Quá hạn"&amp;" "&amp;(S129-R129-10)&amp;" "&amp;"ngày",""),IF((NETWORKDAYS(R129,S129,'Danh sách ngày nghỉ lễ'!$B$5:$B$25)-VLOOKUP(P129,'Thời hạn'!$A$17:$B$23,2,0))&gt;1,"Quá hạn"&amp;" "&amp;(NETWORKDAYS(R129,S129,'Danh sách ngày nghỉ lễ'!$B$5:$B$25)-1-VLOOKUP(P129,'Thời hạn'!$A$17:$B$23,2,0))&amp;" "&amp;"ngày","")))))</f>
        <v/>
      </c>
      <c r="Z129" s="23">
        <v>1</v>
      </c>
    </row>
    <row r="130" spans="1:26" s="24" customFormat="1" ht="15.6" x14ac:dyDescent="0.3">
      <c r="A130" s="24">
        <v>1</v>
      </c>
      <c r="B130" s="39"/>
      <c r="C130" s="33"/>
      <c r="D130" s="25"/>
      <c r="E130" s="25"/>
      <c r="F130" s="34"/>
      <c r="G130" s="34"/>
      <c r="H130" s="25"/>
      <c r="I130" s="70" t="str">
        <f>IF(C130="Trả lại đơn vụ","",IF(C130="Trả lại đơn việc","",IF(C130="Hòa giải thành","",IF(F130=0,"",EDATE(F130,VLOOKUP(C130,'Thời hạn'!$D$1:$E$10,2,0))+H130))))</f>
        <v/>
      </c>
      <c r="J130" s="59" t="str">
        <f t="shared" ca="1" si="1"/>
        <v/>
      </c>
      <c r="K130" s="25"/>
      <c r="L130" s="129"/>
      <c r="M130" s="130"/>
      <c r="N130" s="33"/>
      <c r="O130" s="34"/>
      <c r="P130" s="25"/>
      <c r="Q130" s="25"/>
      <c r="R130" s="34"/>
      <c r="S130" s="34"/>
      <c r="T130" s="137"/>
      <c r="U130" s="137"/>
      <c r="V130" s="36"/>
      <c r="W130" s="37"/>
      <c r="X130" s="71" t="str">
        <f>IF(C130="Trả lại đơn vụ","",IF(C130="Trả lại đơn việc","",IF((NETWORKDAYS(F130,G130,'Danh sách ngày nghỉ lễ'!$B$5:$B$25)-1-3)&gt;0,"Quá hạn"&amp;" "&amp;(NETWORKDAYS(F130,G130,'Danh sách ngày nghỉ lễ'!$B$5:$B$25)-1-3)&amp;" "&amp;"ngày","")))</f>
        <v/>
      </c>
      <c r="Y130" s="72" t="str">
        <f>IF(S130=0,"",IF(P130="Chuyển","",IF(P130="Nhập vào vụ khác","",IF(P130="BA",IF((S130-R130)&gt;10,"Quá hạn"&amp;" "&amp;(S130-R130-10)&amp;" "&amp;"ngày",""),IF((NETWORKDAYS(R130,S130,'Danh sách ngày nghỉ lễ'!$B$5:$B$25)-VLOOKUP(P130,'Thời hạn'!$A$17:$B$23,2,0))&gt;1,"Quá hạn"&amp;" "&amp;(NETWORKDAYS(R130,S130,'Danh sách ngày nghỉ lễ'!$B$5:$B$25)-1-VLOOKUP(P130,'Thời hạn'!$A$17:$B$23,2,0))&amp;" "&amp;"ngày","")))))</f>
        <v/>
      </c>
      <c r="Z130" s="23">
        <v>1</v>
      </c>
    </row>
    <row r="131" spans="1:26" s="24" customFormat="1" ht="15.6" x14ac:dyDescent="0.3">
      <c r="A131" s="24">
        <v>1</v>
      </c>
      <c r="B131" s="39"/>
      <c r="C131" s="33"/>
      <c r="D131" s="25"/>
      <c r="E131" s="25"/>
      <c r="F131" s="34"/>
      <c r="G131" s="34"/>
      <c r="H131" s="25"/>
      <c r="I131" s="70" t="str">
        <f>IF(C131="Trả lại đơn vụ","",IF(C131="Trả lại đơn việc","",IF(C131="Hòa giải thành","",IF(F131=0,"",EDATE(F131,VLOOKUP(C131,'Thời hạn'!$D$1:$E$10,2,0))+H131))))</f>
        <v/>
      </c>
      <c r="J131" s="59" t="str">
        <f t="shared" ca="1" si="1"/>
        <v/>
      </c>
      <c r="K131" s="25"/>
      <c r="L131" s="129"/>
      <c r="M131" s="130"/>
      <c r="N131" s="33"/>
      <c r="O131" s="34"/>
      <c r="P131" s="25"/>
      <c r="Q131" s="25"/>
      <c r="R131" s="34"/>
      <c r="S131" s="34"/>
      <c r="T131" s="137"/>
      <c r="U131" s="137"/>
      <c r="V131" s="36"/>
      <c r="W131" s="37"/>
      <c r="X131" s="71" t="str">
        <f>IF(C131="Trả lại đơn vụ","",IF(C131="Trả lại đơn việc","",IF((NETWORKDAYS(F131,G131,'Danh sách ngày nghỉ lễ'!$B$5:$B$25)-1-3)&gt;0,"Quá hạn"&amp;" "&amp;(NETWORKDAYS(F131,G131,'Danh sách ngày nghỉ lễ'!$B$5:$B$25)-1-3)&amp;" "&amp;"ngày","")))</f>
        <v/>
      </c>
      <c r="Y131" s="72" t="str">
        <f>IF(S131=0,"",IF(P131="Chuyển","",IF(P131="Nhập vào vụ khác","",IF(P131="BA",IF((S131-R131)&gt;10,"Quá hạn"&amp;" "&amp;(S131-R131-10)&amp;" "&amp;"ngày",""),IF((NETWORKDAYS(R131,S131,'Danh sách ngày nghỉ lễ'!$B$5:$B$25)-VLOOKUP(P131,'Thời hạn'!$A$17:$B$23,2,0))&gt;1,"Quá hạn"&amp;" "&amp;(NETWORKDAYS(R131,S131,'Danh sách ngày nghỉ lễ'!$B$5:$B$25)-1-VLOOKUP(P131,'Thời hạn'!$A$17:$B$23,2,0))&amp;" "&amp;"ngày","")))))</f>
        <v/>
      </c>
      <c r="Z131" s="23">
        <v>1</v>
      </c>
    </row>
    <row r="132" spans="1:26" s="24" customFormat="1" ht="15.6" x14ac:dyDescent="0.3">
      <c r="A132" s="24">
        <v>1</v>
      </c>
      <c r="B132" s="39"/>
      <c r="C132" s="33"/>
      <c r="D132" s="25"/>
      <c r="E132" s="25"/>
      <c r="F132" s="34"/>
      <c r="G132" s="34"/>
      <c r="H132" s="25"/>
      <c r="I132" s="70" t="str">
        <f>IF(C132="Trả lại đơn vụ","",IF(C132="Trả lại đơn việc","",IF(C132="Hòa giải thành","",IF(F132=0,"",EDATE(F132,VLOOKUP(C132,'Thời hạn'!$D$1:$E$10,2,0))+H132))))</f>
        <v/>
      </c>
      <c r="J132" s="59" t="str">
        <f t="shared" ca="1" si="1"/>
        <v/>
      </c>
      <c r="K132" s="25"/>
      <c r="L132" s="129"/>
      <c r="M132" s="130"/>
      <c r="N132" s="33"/>
      <c r="O132" s="34"/>
      <c r="P132" s="25"/>
      <c r="Q132" s="25"/>
      <c r="R132" s="34"/>
      <c r="S132" s="34"/>
      <c r="T132" s="137"/>
      <c r="U132" s="137"/>
      <c r="V132" s="36"/>
      <c r="W132" s="37"/>
      <c r="X132" s="71" t="str">
        <f>IF(C132="Trả lại đơn vụ","",IF(C132="Trả lại đơn việc","",IF((NETWORKDAYS(F132,G132,'Danh sách ngày nghỉ lễ'!$B$5:$B$25)-1-3)&gt;0,"Quá hạn"&amp;" "&amp;(NETWORKDAYS(F132,G132,'Danh sách ngày nghỉ lễ'!$B$5:$B$25)-1-3)&amp;" "&amp;"ngày","")))</f>
        <v/>
      </c>
      <c r="Y132" s="72" t="str">
        <f>IF(S132=0,"",IF(P132="Chuyển","",IF(P132="Nhập vào vụ khác","",IF(P132="BA",IF((S132-R132)&gt;10,"Quá hạn"&amp;" "&amp;(S132-R132-10)&amp;" "&amp;"ngày",""),IF((NETWORKDAYS(R132,S132,'Danh sách ngày nghỉ lễ'!$B$5:$B$25)-VLOOKUP(P132,'Thời hạn'!$A$17:$B$23,2,0))&gt;1,"Quá hạn"&amp;" "&amp;(NETWORKDAYS(R132,S132,'Danh sách ngày nghỉ lễ'!$B$5:$B$25)-1-VLOOKUP(P132,'Thời hạn'!$A$17:$B$23,2,0))&amp;" "&amp;"ngày","")))))</f>
        <v/>
      </c>
      <c r="Z132" s="23">
        <v>1</v>
      </c>
    </row>
    <row r="133" spans="1:26" s="24" customFormat="1" ht="15.6" x14ac:dyDescent="0.3">
      <c r="A133" s="24">
        <v>1</v>
      </c>
      <c r="B133" s="39"/>
      <c r="C133" s="33"/>
      <c r="D133" s="25"/>
      <c r="E133" s="25"/>
      <c r="F133" s="34"/>
      <c r="G133" s="34"/>
      <c r="H133" s="25"/>
      <c r="I133" s="70" t="str">
        <f>IF(C133="Trả lại đơn vụ","",IF(C133="Trả lại đơn việc","",IF(C133="Hòa giải thành","",IF(F133=0,"",EDATE(F133,VLOOKUP(C133,'Thời hạn'!$D$1:$E$10,2,0))+H133))))</f>
        <v/>
      </c>
      <c r="J133" s="59" t="str">
        <f t="shared" ca="1" si="1"/>
        <v/>
      </c>
      <c r="K133" s="25"/>
      <c r="L133" s="129"/>
      <c r="M133" s="130"/>
      <c r="N133" s="33"/>
      <c r="O133" s="34"/>
      <c r="P133" s="25"/>
      <c r="Q133" s="25"/>
      <c r="R133" s="34"/>
      <c r="S133" s="34"/>
      <c r="T133" s="137"/>
      <c r="U133" s="137"/>
      <c r="V133" s="36"/>
      <c r="W133" s="37"/>
      <c r="X133" s="71" t="str">
        <f>IF(C133="Trả lại đơn vụ","",IF(C133="Trả lại đơn việc","",IF((NETWORKDAYS(F133,G133,'Danh sách ngày nghỉ lễ'!$B$5:$B$25)-1-3)&gt;0,"Quá hạn"&amp;" "&amp;(NETWORKDAYS(F133,G133,'Danh sách ngày nghỉ lễ'!$B$5:$B$25)-1-3)&amp;" "&amp;"ngày","")))</f>
        <v/>
      </c>
      <c r="Y133" s="72" t="str">
        <f>IF(S133=0,"",IF(P133="Chuyển","",IF(P133="Nhập vào vụ khác","",IF(P133="BA",IF((S133-R133)&gt;10,"Quá hạn"&amp;" "&amp;(S133-R133-10)&amp;" "&amp;"ngày",""),IF((NETWORKDAYS(R133,S133,'Danh sách ngày nghỉ lễ'!$B$5:$B$25)-VLOOKUP(P133,'Thời hạn'!$A$17:$B$23,2,0))&gt;1,"Quá hạn"&amp;" "&amp;(NETWORKDAYS(R133,S133,'Danh sách ngày nghỉ lễ'!$B$5:$B$25)-1-VLOOKUP(P133,'Thời hạn'!$A$17:$B$23,2,0))&amp;" "&amp;"ngày","")))))</f>
        <v/>
      </c>
      <c r="Z133" s="23">
        <v>1</v>
      </c>
    </row>
    <row r="134" spans="1:26" s="24" customFormat="1" ht="15.6" x14ac:dyDescent="0.3">
      <c r="A134" s="24">
        <v>1</v>
      </c>
      <c r="B134" s="39"/>
      <c r="C134" s="33"/>
      <c r="D134" s="25"/>
      <c r="E134" s="25"/>
      <c r="F134" s="34"/>
      <c r="G134" s="34"/>
      <c r="H134" s="25"/>
      <c r="I134" s="70" t="str">
        <f>IF(C134="Trả lại đơn vụ","",IF(C134="Trả lại đơn việc","",IF(C134="Hòa giải thành","",IF(F134=0,"",EDATE(F134,VLOOKUP(C134,'Thời hạn'!$D$1:$E$10,2,0))+H134))))</f>
        <v/>
      </c>
      <c r="J134" s="59" t="str">
        <f t="shared" ca="1" si="1"/>
        <v/>
      </c>
      <c r="K134" s="25"/>
      <c r="L134" s="129"/>
      <c r="M134" s="130"/>
      <c r="N134" s="33"/>
      <c r="O134" s="34"/>
      <c r="P134" s="25"/>
      <c r="Q134" s="25"/>
      <c r="R134" s="34"/>
      <c r="S134" s="34"/>
      <c r="T134" s="137"/>
      <c r="U134" s="137"/>
      <c r="V134" s="36"/>
      <c r="W134" s="37"/>
      <c r="X134" s="71" t="str">
        <f>IF(C134="Trả lại đơn vụ","",IF(C134="Trả lại đơn việc","",IF((NETWORKDAYS(F134,G134,'Danh sách ngày nghỉ lễ'!$B$5:$B$25)-1-3)&gt;0,"Quá hạn"&amp;" "&amp;(NETWORKDAYS(F134,G134,'Danh sách ngày nghỉ lễ'!$B$5:$B$25)-1-3)&amp;" "&amp;"ngày","")))</f>
        <v/>
      </c>
      <c r="Y134" s="72" t="str">
        <f>IF(S134=0,"",IF(P134="Chuyển","",IF(P134="Nhập vào vụ khác","",IF(P134="BA",IF((S134-R134)&gt;10,"Quá hạn"&amp;" "&amp;(S134-R134-10)&amp;" "&amp;"ngày",""),IF((NETWORKDAYS(R134,S134,'Danh sách ngày nghỉ lễ'!$B$5:$B$25)-VLOOKUP(P134,'Thời hạn'!$A$17:$B$23,2,0))&gt;1,"Quá hạn"&amp;" "&amp;(NETWORKDAYS(R134,S134,'Danh sách ngày nghỉ lễ'!$B$5:$B$25)-1-VLOOKUP(P134,'Thời hạn'!$A$17:$B$23,2,0))&amp;" "&amp;"ngày","")))))</f>
        <v/>
      </c>
      <c r="Z134" s="23">
        <v>1</v>
      </c>
    </row>
    <row r="135" spans="1:26" s="24" customFormat="1" ht="15.6" x14ac:dyDescent="0.3">
      <c r="A135" s="24">
        <v>1</v>
      </c>
      <c r="B135" s="39"/>
      <c r="C135" s="33"/>
      <c r="D135" s="25"/>
      <c r="E135" s="25"/>
      <c r="F135" s="34"/>
      <c r="G135" s="34"/>
      <c r="H135" s="25"/>
      <c r="I135" s="70" t="str">
        <f>IF(C135="Trả lại đơn vụ","",IF(C135="Trả lại đơn việc","",IF(C135="Hòa giải thành","",IF(F135=0,"",EDATE(F135,VLOOKUP(C135,'Thời hạn'!$D$1:$E$10,2,0))+H135))))</f>
        <v/>
      </c>
      <c r="J135" s="59" t="str">
        <f t="shared" ca="1" si="1"/>
        <v/>
      </c>
      <c r="K135" s="25"/>
      <c r="L135" s="129"/>
      <c r="M135" s="130"/>
      <c r="N135" s="33"/>
      <c r="O135" s="34"/>
      <c r="P135" s="25"/>
      <c r="Q135" s="25"/>
      <c r="R135" s="34"/>
      <c r="S135" s="34"/>
      <c r="T135" s="137"/>
      <c r="U135" s="137"/>
      <c r="V135" s="36"/>
      <c r="W135" s="37"/>
      <c r="X135" s="71" t="str">
        <f>IF(C135="Trả lại đơn vụ","",IF(C135="Trả lại đơn việc","",IF((NETWORKDAYS(F135,G135,'Danh sách ngày nghỉ lễ'!$B$5:$B$25)-1-3)&gt;0,"Quá hạn"&amp;" "&amp;(NETWORKDAYS(F135,G135,'Danh sách ngày nghỉ lễ'!$B$5:$B$25)-1-3)&amp;" "&amp;"ngày","")))</f>
        <v/>
      </c>
      <c r="Y135" s="72" t="str">
        <f>IF(S135=0,"",IF(P135="Chuyển","",IF(P135="Nhập vào vụ khác","",IF(P135="BA",IF((S135-R135)&gt;10,"Quá hạn"&amp;" "&amp;(S135-R135-10)&amp;" "&amp;"ngày",""),IF((NETWORKDAYS(R135,S135,'Danh sách ngày nghỉ lễ'!$B$5:$B$25)-VLOOKUP(P135,'Thời hạn'!$A$17:$B$23,2,0))&gt;1,"Quá hạn"&amp;" "&amp;(NETWORKDAYS(R135,S135,'Danh sách ngày nghỉ lễ'!$B$5:$B$25)-1-VLOOKUP(P135,'Thời hạn'!$A$17:$B$23,2,0))&amp;" "&amp;"ngày","")))))</f>
        <v/>
      </c>
      <c r="Z135" s="23">
        <v>1</v>
      </c>
    </row>
    <row r="136" spans="1:26" s="24" customFormat="1" ht="15.6" x14ac:dyDescent="0.3">
      <c r="A136" s="24">
        <v>1</v>
      </c>
      <c r="B136" s="39"/>
      <c r="C136" s="33"/>
      <c r="D136" s="25"/>
      <c r="E136" s="25"/>
      <c r="F136" s="34"/>
      <c r="G136" s="34"/>
      <c r="H136" s="25"/>
      <c r="I136" s="70" t="str">
        <f>IF(C136="Trả lại đơn vụ","",IF(C136="Trả lại đơn việc","",IF(C136="Hòa giải thành","",IF(F136=0,"",EDATE(F136,VLOOKUP(C136,'Thời hạn'!$D$1:$E$10,2,0))+H136))))</f>
        <v/>
      </c>
      <c r="J136" s="59" t="str">
        <f t="shared" ca="1" si="1"/>
        <v/>
      </c>
      <c r="K136" s="25"/>
      <c r="L136" s="129"/>
      <c r="M136" s="130"/>
      <c r="N136" s="33"/>
      <c r="O136" s="34"/>
      <c r="P136" s="25"/>
      <c r="Q136" s="25"/>
      <c r="R136" s="34"/>
      <c r="S136" s="34"/>
      <c r="T136" s="137"/>
      <c r="U136" s="137"/>
      <c r="V136" s="36"/>
      <c r="W136" s="37"/>
      <c r="X136" s="71" t="str">
        <f>IF(C136="Trả lại đơn vụ","",IF(C136="Trả lại đơn việc","",IF((NETWORKDAYS(F136,G136,'Danh sách ngày nghỉ lễ'!$B$5:$B$25)-1-3)&gt;0,"Quá hạn"&amp;" "&amp;(NETWORKDAYS(F136,G136,'Danh sách ngày nghỉ lễ'!$B$5:$B$25)-1-3)&amp;" "&amp;"ngày","")))</f>
        <v/>
      </c>
      <c r="Y136" s="72" t="str">
        <f>IF(S136=0,"",IF(P136="Chuyển","",IF(P136="Nhập vào vụ khác","",IF(P136="BA",IF((S136-R136)&gt;10,"Quá hạn"&amp;" "&amp;(S136-R136-10)&amp;" "&amp;"ngày",""),IF((NETWORKDAYS(R136,S136,'Danh sách ngày nghỉ lễ'!$B$5:$B$25)-VLOOKUP(P136,'Thời hạn'!$A$17:$B$23,2,0))&gt;1,"Quá hạn"&amp;" "&amp;(NETWORKDAYS(R136,S136,'Danh sách ngày nghỉ lễ'!$B$5:$B$25)-1-VLOOKUP(P136,'Thời hạn'!$A$17:$B$23,2,0))&amp;" "&amp;"ngày","")))))</f>
        <v/>
      </c>
      <c r="Z136" s="23">
        <v>1</v>
      </c>
    </row>
    <row r="137" spans="1:26" s="24" customFormat="1" ht="15.6" x14ac:dyDescent="0.3">
      <c r="A137" s="24">
        <v>1</v>
      </c>
      <c r="B137" s="39"/>
      <c r="C137" s="33"/>
      <c r="D137" s="25"/>
      <c r="E137" s="25"/>
      <c r="F137" s="34"/>
      <c r="G137" s="34"/>
      <c r="H137" s="25"/>
      <c r="I137" s="70" t="str">
        <f>IF(C137="Trả lại đơn vụ","",IF(C137="Trả lại đơn việc","",IF(C137="Hòa giải thành","",IF(F137=0,"",EDATE(F137,VLOOKUP(C137,'Thời hạn'!$D$1:$E$10,2,0))+H137))))</f>
        <v/>
      </c>
      <c r="J137" s="59" t="str">
        <f t="shared" ca="1" si="1"/>
        <v/>
      </c>
      <c r="K137" s="25"/>
      <c r="L137" s="129"/>
      <c r="M137" s="130"/>
      <c r="N137" s="33"/>
      <c r="O137" s="34"/>
      <c r="P137" s="25"/>
      <c r="Q137" s="25"/>
      <c r="R137" s="34"/>
      <c r="S137" s="34"/>
      <c r="T137" s="137"/>
      <c r="U137" s="137"/>
      <c r="V137" s="36"/>
      <c r="W137" s="37"/>
      <c r="X137" s="71" t="str">
        <f>IF(C137="Trả lại đơn vụ","",IF(C137="Trả lại đơn việc","",IF((NETWORKDAYS(F137,G137,'Danh sách ngày nghỉ lễ'!$B$5:$B$25)-1-3)&gt;0,"Quá hạn"&amp;" "&amp;(NETWORKDAYS(F137,G137,'Danh sách ngày nghỉ lễ'!$B$5:$B$25)-1-3)&amp;" "&amp;"ngày","")))</f>
        <v/>
      </c>
      <c r="Y137" s="72" t="str">
        <f>IF(S137=0,"",IF(P137="Chuyển","",IF(P137="Nhập vào vụ khác","",IF(P137="BA",IF((S137-R137)&gt;10,"Quá hạn"&amp;" "&amp;(S137-R137-10)&amp;" "&amp;"ngày",""),IF((NETWORKDAYS(R137,S137,'Danh sách ngày nghỉ lễ'!$B$5:$B$25)-VLOOKUP(P137,'Thời hạn'!$A$17:$B$23,2,0))&gt;1,"Quá hạn"&amp;" "&amp;(NETWORKDAYS(R137,S137,'Danh sách ngày nghỉ lễ'!$B$5:$B$25)-1-VLOOKUP(P137,'Thời hạn'!$A$17:$B$23,2,0))&amp;" "&amp;"ngày","")))))</f>
        <v/>
      </c>
      <c r="Z137" s="23">
        <v>1</v>
      </c>
    </row>
    <row r="138" spans="1:26" s="24" customFormat="1" ht="15.6" x14ac:dyDescent="0.3">
      <c r="A138" s="24">
        <v>1</v>
      </c>
      <c r="B138" s="39"/>
      <c r="C138" s="33"/>
      <c r="D138" s="25"/>
      <c r="E138" s="25"/>
      <c r="F138" s="34"/>
      <c r="G138" s="34"/>
      <c r="H138" s="25"/>
      <c r="I138" s="70" t="str">
        <f>IF(C138="Trả lại đơn vụ","",IF(C138="Trả lại đơn việc","",IF(C138="Hòa giải thành","",IF(F138=0,"",EDATE(F138,VLOOKUP(C138,'Thời hạn'!$D$1:$E$10,2,0))+H138))))</f>
        <v/>
      </c>
      <c r="J138" s="59" t="str">
        <f t="shared" ca="1" si="1"/>
        <v/>
      </c>
      <c r="K138" s="25"/>
      <c r="L138" s="129"/>
      <c r="M138" s="130"/>
      <c r="N138" s="33"/>
      <c r="O138" s="34"/>
      <c r="P138" s="25"/>
      <c r="Q138" s="25"/>
      <c r="R138" s="34"/>
      <c r="S138" s="34"/>
      <c r="T138" s="137"/>
      <c r="U138" s="137"/>
      <c r="V138" s="36"/>
      <c r="W138" s="37"/>
      <c r="X138" s="71" t="str">
        <f>IF(C138="Trả lại đơn vụ","",IF(C138="Trả lại đơn việc","",IF((NETWORKDAYS(F138,G138,'Danh sách ngày nghỉ lễ'!$B$5:$B$25)-1-3)&gt;0,"Quá hạn"&amp;" "&amp;(NETWORKDAYS(F138,G138,'Danh sách ngày nghỉ lễ'!$B$5:$B$25)-1-3)&amp;" "&amp;"ngày","")))</f>
        <v/>
      </c>
      <c r="Y138" s="72" t="str">
        <f>IF(S138=0,"",IF(P138="Chuyển","",IF(P138="Nhập vào vụ khác","",IF(P138="BA",IF((S138-R138)&gt;10,"Quá hạn"&amp;" "&amp;(S138-R138-10)&amp;" "&amp;"ngày",""),IF((NETWORKDAYS(R138,S138,'Danh sách ngày nghỉ lễ'!$B$5:$B$25)-VLOOKUP(P138,'Thời hạn'!$A$17:$B$23,2,0))&gt;1,"Quá hạn"&amp;" "&amp;(NETWORKDAYS(R138,S138,'Danh sách ngày nghỉ lễ'!$B$5:$B$25)-1-VLOOKUP(P138,'Thời hạn'!$A$17:$B$23,2,0))&amp;" "&amp;"ngày","")))))</f>
        <v/>
      </c>
      <c r="Z138" s="23">
        <v>1</v>
      </c>
    </row>
    <row r="139" spans="1:26" s="24" customFormat="1" ht="15.6" x14ac:dyDescent="0.3">
      <c r="A139" s="24">
        <v>1</v>
      </c>
      <c r="B139" s="39"/>
      <c r="C139" s="33"/>
      <c r="D139" s="25"/>
      <c r="E139" s="25"/>
      <c r="F139" s="34"/>
      <c r="G139" s="34"/>
      <c r="H139" s="25"/>
      <c r="I139" s="70" t="str">
        <f>IF(C139="Trả lại đơn vụ","",IF(C139="Trả lại đơn việc","",IF(C139="Hòa giải thành","",IF(F139=0,"",EDATE(F139,VLOOKUP(C139,'Thời hạn'!$D$1:$E$10,2,0))+H139))))</f>
        <v/>
      </c>
      <c r="J139" s="59" t="str">
        <f t="shared" ref="J139:J202" ca="1" si="2">IF(C139="Trả lại đơn vụ","",IF(C139="Trả lại đơn việc","",IF(C139="Hòa giải thành","",IF(N139=0,IF(P139=0,IF(F139=0,"",I139-TODAY()+1),""),""))))</f>
        <v/>
      </c>
      <c r="K139" s="25"/>
      <c r="L139" s="129"/>
      <c r="M139" s="130"/>
      <c r="N139" s="33"/>
      <c r="O139" s="34"/>
      <c r="P139" s="25"/>
      <c r="Q139" s="25"/>
      <c r="R139" s="34"/>
      <c r="S139" s="34"/>
      <c r="T139" s="137"/>
      <c r="U139" s="137"/>
      <c r="V139" s="36"/>
      <c r="W139" s="37"/>
      <c r="X139" s="71" t="str">
        <f>IF(C139="Trả lại đơn vụ","",IF(C139="Trả lại đơn việc","",IF((NETWORKDAYS(F139,G139,'Danh sách ngày nghỉ lễ'!$B$5:$B$25)-1-3)&gt;0,"Quá hạn"&amp;" "&amp;(NETWORKDAYS(F139,G139,'Danh sách ngày nghỉ lễ'!$B$5:$B$25)-1-3)&amp;" "&amp;"ngày","")))</f>
        <v/>
      </c>
      <c r="Y139" s="72" t="str">
        <f>IF(S139=0,"",IF(P139="Chuyển","",IF(P139="Nhập vào vụ khác","",IF(P139="BA",IF((S139-R139)&gt;10,"Quá hạn"&amp;" "&amp;(S139-R139-10)&amp;" "&amp;"ngày",""),IF((NETWORKDAYS(R139,S139,'Danh sách ngày nghỉ lễ'!$B$5:$B$25)-VLOOKUP(P139,'Thời hạn'!$A$17:$B$23,2,0))&gt;1,"Quá hạn"&amp;" "&amp;(NETWORKDAYS(R139,S139,'Danh sách ngày nghỉ lễ'!$B$5:$B$25)-1-VLOOKUP(P139,'Thời hạn'!$A$17:$B$23,2,0))&amp;" "&amp;"ngày","")))))</f>
        <v/>
      </c>
      <c r="Z139" s="23">
        <v>1</v>
      </c>
    </row>
    <row r="140" spans="1:26" s="24" customFormat="1" ht="15.6" x14ac:dyDescent="0.3">
      <c r="A140" s="24">
        <v>1</v>
      </c>
      <c r="B140" s="39"/>
      <c r="C140" s="33"/>
      <c r="D140" s="25"/>
      <c r="E140" s="25"/>
      <c r="F140" s="34"/>
      <c r="G140" s="34"/>
      <c r="H140" s="25"/>
      <c r="I140" s="70" t="str">
        <f>IF(C140="Trả lại đơn vụ","",IF(C140="Trả lại đơn việc","",IF(C140="Hòa giải thành","",IF(F140=0,"",EDATE(F140,VLOOKUP(C140,'Thời hạn'!$D$1:$E$10,2,0))+H140))))</f>
        <v/>
      </c>
      <c r="J140" s="59" t="str">
        <f t="shared" ca="1" si="2"/>
        <v/>
      </c>
      <c r="K140" s="25"/>
      <c r="L140" s="129"/>
      <c r="M140" s="130"/>
      <c r="N140" s="33"/>
      <c r="O140" s="34"/>
      <c r="P140" s="25"/>
      <c r="Q140" s="25"/>
      <c r="R140" s="34"/>
      <c r="S140" s="34"/>
      <c r="T140" s="137"/>
      <c r="U140" s="137"/>
      <c r="V140" s="36"/>
      <c r="W140" s="37"/>
      <c r="X140" s="71" t="str">
        <f>IF(C140="Trả lại đơn vụ","",IF(C140="Trả lại đơn việc","",IF((NETWORKDAYS(F140,G140,'Danh sách ngày nghỉ lễ'!$B$5:$B$25)-1-3)&gt;0,"Quá hạn"&amp;" "&amp;(NETWORKDAYS(F140,G140,'Danh sách ngày nghỉ lễ'!$B$5:$B$25)-1-3)&amp;" "&amp;"ngày","")))</f>
        <v/>
      </c>
      <c r="Y140" s="72" t="str">
        <f>IF(S140=0,"",IF(P140="Chuyển","",IF(P140="Nhập vào vụ khác","",IF(P140="BA",IF((S140-R140)&gt;10,"Quá hạn"&amp;" "&amp;(S140-R140-10)&amp;" "&amp;"ngày",""),IF((NETWORKDAYS(R140,S140,'Danh sách ngày nghỉ lễ'!$B$5:$B$25)-VLOOKUP(P140,'Thời hạn'!$A$17:$B$23,2,0))&gt;1,"Quá hạn"&amp;" "&amp;(NETWORKDAYS(R140,S140,'Danh sách ngày nghỉ lễ'!$B$5:$B$25)-1-VLOOKUP(P140,'Thời hạn'!$A$17:$B$23,2,0))&amp;" "&amp;"ngày","")))))</f>
        <v/>
      </c>
      <c r="Z140" s="23">
        <v>1</v>
      </c>
    </row>
    <row r="141" spans="1:26" s="24" customFormat="1" ht="15.6" x14ac:dyDescent="0.3">
      <c r="A141" s="24">
        <v>1</v>
      </c>
      <c r="B141" s="39"/>
      <c r="C141" s="33"/>
      <c r="D141" s="25"/>
      <c r="E141" s="25"/>
      <c r="F141" s="34"/>
      <c r="G141" s="34"/>
      <c r="H141" s="25"/>
      <c r="I141" s="70" t="str">
        <f>IF(C141="Trả lại đơn vụ","",IF(C141="Trả lại đơn việc","",IF(C141="Hòa giải thành","",IF(F141=0,"",EDATE(F141,VLOOKUP(C141,'Thời hạn'!$D$1:$E$10,2,0))+H141))))</f>
        <v/>
      </c>
      <c r="J141" s="59" t="str">
        <f t="shared" ca="1" si="2"/>
        <v/>
      </c>
      <c r="K141" s="25"/>
      <c r="L141" s="129"/>
      <c r="M141" s="130"/>
      <c r="N141" s="33"/>
      <c r="O141" s="34"/>
      <c r="P141" s="25"/>
      <c r="Q141" s="25"/>
      <c r="R141" s="34"/>
      <c r="S141" s="34"/>
      <c r="T141" s="137"/>
      <c r="U141" s="137"/>
      <c r="V141" s="36"/>
      <c r="W141" s="37"/>
      <c r="X141" s="71" t="str">
        <f>IF(C141="Trả lại đơn vụ","",IF(C141="Trả lại đơn việc","",IF((NETWORKDAYS(F141,G141,'Danh sách ngày nghỉ lễ'!$B$5:$B$25)-1-3)&gt;0,"Quá hạn"&amp;" "&amp;(NETWORKDAYS(F141,G141,'Danh sách ngày nghỉ lễ'!$B$5:$B$25)-1-3)&amp;" "&amp;"ngày","")))</f>
        <v/>
      </c>
      <c r="Y141" s="72" t="str">
        <f>IF(S141=0,"",IF(P141="Chuyển","",IF(P141="Nhập vào vụ khác","",IF(P141="BA",IF((S141-R141)&gt;10,"Quá hạn"&amp;" "&amp;(S141-R141-10)&amp;" "&amp;"ngày",""),IF((NETWORKDAYS(R141,S141,'Danh sách ngày nghỉ lễ'!$B$5:$B$25)-VLOOKUP(P141,'Thời hạn'!$A$17:$B$23,2,0))&gt;1,"Quá hạn"&amp;" "&amp;(NETWORKDAYS(R141,S141,'Danh sách ngày nghỉ lễ'!$B$5:$B$25)-1-VLOOKUP(P141,'Thời hạn'!$A$17:$B$23,2,0))&amp;" "&amp;"ngày","")))))</f>
        <v/>
      </c>
      <c r="Z141" s="23">
        <v>1</v>
      </c>
    </row>
    <row r="142" spans="1:26" s="24" customFormat="1" ht="15.6" x14ac:dyDescent="0.3">
      <c r="A142" s="24">
        <v>1</v>
      </c>
      <c r="B142" s="39"/>
      <c r="C142" s="33"/>
      <c r="D142" s="25"/>
      <c r="E142" s="25"/>
      <c r="F142" s="34"/>
      <c r="G142" s="34"/>
      <c r="H142" s="25"/>
      <c r="I142" s="70" t="str">
        <f>IF(C142="Trả lại đơn vụ","",IF(C142="Trả lại đơn việc","",IF(C142="Hòa giải thành","",IF(F142=0,"",EDATE(F142,VLOOKUP(C142,'Thời hạn'!$D$1:$E$10,2,0))+H142))))</f>
        <v/>
      </c>
      <c r="J142" s="59" t="str">
        <f t="shared" ca="1" si="2"/>
        <v/>
      </c>
      <c r="K142" s="25"/>
      <c r="L142" s="129"/>
      <c r="M142" s="130"/>
      <c r="N142" s="33"/>
      <c r="O142" s="34"/>
      <c r="P142" s="25"/>
      <c r="Q142" s="25"/>
      <c r="R142" s="34"/>
      <c r="S142" s="34"/>
      <c r="T142" s="137"/>
      <c r="U142" s="137"/>
      <c r="V142" s="36"/>
      <c r="W142" s="37"/>
      <c r="X142" s="71" t="str">
        <f>IF(C142="Trả lại đơn vụ","",IF(C142="Trả lại đơn việc","",IF((NETWORKDAYS(F142,G142,'Danh sách ngày nghỉ lễ'!$B$5:$B$25)-1-3)&gt;0,"Quá hạn"&amp;" "&amp;(NETWORKDAYS(F142,G142,'Danh sách ngày nghỉ lễ'!$B$5:$B$25)-1-3)&amp;" "&amp;"ngày","")))</f>
        <v/>
      </c>
      <c r="Y142" s="72" t="str">
        <f>IF(S142=0,"",IF(P142="Chuyển","",IF(P142="Nhập vào vụ khác","",IF(P142="BA",IF((S142-R142)&gt;10,"Quá hạn"&amp;" "&amp;(S142-R142-10)&amp;" "&amp;"ngày",""),IF((NETWORKDAYS(R142,S142,'Danh sách ngày nghỉ lễ'!$B$5:$B$25)-VLOOKUP(P142,'Thời hạn'!$A$17:$B$23,2,0))&gt;1,"Quá hạn"&amp;" "&amp;(NETWORKDAYS(R142,S142,'Danh sách ngày nghỉ lễ'!$B$5:$B$25)-1-VLOOKUP(P142,'Thời hạn'!$A$17:$B$23,2,0))&amp;" "&amp;"ngày","")))))</f>
        <v/>
      </c>
      <c r="Z142" s="23">
        <v>1</v>
      </c>
    </row>
    <row r="143" spans="1:26" s="24" customFormat="1" ht="15.6" x14ac:dyDescent="0.3">
      <c r="A143" s="24">
        <v>1</v>
      </c>
      <c r="B143" s="39"/>
      <c r="C143" s="33"/>
      <c r="D143" s="25"/>
      <c r="E143" s="25"/>
      <c r="F143" s="34"/>
      <c r="G143" s="34"/>
      <c r="H143" s="25"/>
      <c r="I143" s="70" t="str">
        <f>IF(C143="Trả lại đơn vụ","",IF(C143="Trả lại đơn việc","",IF(C143="Hòa giải thành","",IF(F143=0,"",EDATE(F143,VLOOKUP(C143,'Thời hạn'!$D$1:$E$10,2,0))+H143))))</f>
        <v/>
      </c>
      <c r="J143" s="59" t="str">
        <f t="shared" ca="1" si="2"/>
        <v/>
      </c>
      <c r="K143" s="25"/>
      <c r="L143" s="129"/>
      <c r="M143" s="130"/>
      <c r="N143" s="33"/>
      <c r="O143" s="34"/>
      <c r="P143" s="25"/>
      <c r="Q143" s="25"/>
      <c r="R143" s="34"/>
      <c r="S143" s="34"/>
      <c r="T143" s="137"/>
      <c r="U143" s="137"/>
      <c r="V143" s="36"/>
      <c r="W143" s="37"/>
      <c r="X143" s="71" t="str">
        <f>IF(C143="Trả lại đơn vụ","",IF(C143="Trả lại đơn việc","",IF((NETWORKDAYS(F143,G143,'Danh sách ngày nghỉ lễ'!$B$5:$B$25)-1-3)&gt;0,"Quá hạn"&amp;" "&amp;(NETWORKDAYS(F143,G143,'Danh sách ngày nghỉ lễ'!$B$5:$B$25)-1-3)&amp;" "&amp;"ngày","")))</f>
        <v/>
      </c>
      <c r="Y143" s="72" t="str">
        <f>IF(S143=0,"",IF(P143="Chuyển","",IF(P143="Nhập vào vụ khác","",IF(P143="BA",IF((S143-R143)&gt;10,"Quá hạn"&amp;" "&amp;(S143-R143-10)&amp;" "&amp;"ngày",""),IF((NETWORKDAYS(R143,S143,'Danh sách ngày nghỉ lễ'!$B$5:$B$25)-VLOOKUP(P143,'Thời hạn'!$A$17:$B$23,2,0))&gt;1,"Quá hạn"&amp;" "&amp;(NETWORKDAYS(R143,S143,'Danh sách ngày nghỉ lễ'!$B$5:$B$25)-1-VLOOKUP(P143,'Thời hạn'!$A$17:$B$23,2,0))&amp;" "&amp;"ngày","")))))</f>
        <v/>
      </c>
      <c r="Z143" s="23">
        <v>1</v>
      </c>
    </row>
    <row r="144" spans="1:26" s="24" customFormat="1" ht="15.6" x14ac:dyDescent="0.3">
      <c r="A144" s="24">
        <v>1</v>
      </c>
      <c r="B144" s="39"/>
      <c r="C144" s="33"/>
      <c r="D144" s="25"/>
      <c r="E144" s="25"/>
      <c r="F144" s="34"/>
      <c r="G144" s="34"/>
      <c r="H144" s="25"/>
      <c r="I144" s="70" t="str">
        <f>IF(C144="Trả lại đơn vụ","",IF(C144="Trả lại đơn việc","",IF(C144="Hòa giải thành","",IF(F144=0,"",EDATE(F144,VLOOKUP(C144,'Thời hạn'!$D$1:$E$10,2,0))+H144))))</f>
        <v/>
      </c>
      <c r="J144" s="59" t="str">
        <f t="shared" ca="1" si="2"/>
        <v/>
      </c>
      <c r="K144" s="25"/>
      <c r="L144" s="129"/>
      <c r="M144" s="130"/>
      <c r="N144" s="33"/>
      <c r="O144" s="34"/>
      <c r="P144" s="25"/>
      <c r="Q144" s="25"/>
      <c r="R144" s="34"/>
      <c r="S144" s="34"/>
      <c r="T144" s="137"/>
      <c r="U144" s="137"/>
      <c r="V144" s="36"/>
      <c r="W144" s="37"/>
      <c r="X144" s="71" t="str">
        <f>IF(C144="Trả lại đơn vụ","",IF(C144="Trả lại đơn việc","",IF((NETWORKDAYS(F144,G144,'Danh sách ngày nghỉ lễ'!$B$5:$B$25)-1-3)&gt;0,"Quá hạn"&amp;" "&amp;(NETWORKDAYS(F144,G144,'Danh sách ngày nghỉ lễ'!$B$5:$B$25)-1-3)&amp;" "&amp;"ngày","")))</f>
        <v/>
      </c>
      <c r="Y144" s="72" t="str">
        <f>IF(S144=0,"",IF(P144="Chuyển","",IF(P144="Nhập vào vụ khác","",IF(P144="BA",IF((S144-R144)&gt;10,"Quá hạn"&amp;" "&amp;(S144-R144-10)&amp;" "&amp;"ngày",""),IF((NETWORKDAYS(R144,S144,'Danh sách ngày nghỉ lễ'!$B$5:$B$25)-VLOOKUP(P144,'Thời hạn'!$A$17:$B$23,2,0))&gt;1,"Quá hạn"&amp;" "&amp;(NETWORKDAYS(R144,S144,'Danh sách ngày nghỉ lễ'!$B$5:$B$25)-1-VLOOKUP(P144,'Thời hạn'!$A$17:$B$23,2,0))&amp;" "&amp;"ngày","")))))</f>
        <v/>
      </c>
      <c r="Z144" s="23">
        <v>1</v>
      </c>
    </row>
    <row r="145" spans="1:26" s="24" customFormat="1" ht="15.6" x14ac:dyDescent="0.3">
      <c r="A145" s="24">
        <v>1</v>
      </c>
      <c r="B145" s="39"/>
      <c r="C145" s="33"/>
      <c r="D145" s="25"/>
      <c r="E145" s="25"/>
      <c r="F145" s="34"/>
      <c r="G145" s="34"/>
      <c r="H145" s="25"/>
      <c r="I145" s="70" t="str">
        <f>IF(C145="Trả lại đơn vụ","",IF(C145="Trả lại đơn việc","",IF(C145="Hòa giải thành","",IF(F145=0,"",EDATE(F145,VLOOKUP(C145,'Thời hạn'!$D$1:$E$10,2,0))+H145))))</f>
        <v/>
      </c>
      <c r="J145" s="59" t="str">
        <f t="shared" ca="1" si="2"/>
        <v/>
      </c>
      <c r="K145" s="25"/>
      <c r="L145" s="129"/>
      <c r="M145" s="130"/>
      <c r="N145" s="33"/>
      <c r="O145" s="34"/>
      <c r="P145" s="25"/>
      <c r="Q145" s="25"/>
      <c r="R145" s="34"/>
      <c r="S145" s="34"/>
      <c r="T145" s="137"/>
      <c r="U145" s="137"/>
      <c r="V145" s="36"/>
      <c r="W145" s="37"/>
      <c r="X145" s="71" t="str">
        <f>IF(C145="Trả lại đơn vụ","",IF(C145="Trả lại đơn việc","",IF((NETWORKDAYS(F145,G145,'Danh sách ngày nghỉ lễ'!$B$5:$B$25)-1-3)&gt;0,"Quá hạn"&amp;" "&amp;(NETWORKDAYS(F145,G145,'Danh sách ngày nghỉ lễ'!$B$5:$B$25)-1-3)&amp;" "&amp;"ngày","")))</f>
        <v/>
      </c>
      <c r="Y145" s="72" t="str">
        <f>IF(S145=0,"",IF(P145="Chuyển","",IF(P145="Nhập vào vụ khác","",IF(P145="BA",IF((S145-R145)&gt;10,"Quá hạn"&amp;" "&amp;(S145-R145-10)&amp;" "&amp;"ngày",""),IF((NETWORKDAYS(R145,S145,'Danh sách ngày nghỉ lễ'!$B$5:$B$25)-VLOOKUP(P145,'Thời hạn'!$A$17:$B$23,2,0))&gt;1,"Quá hạn"&amp;" "&amp;(NETWORKDAYS(R145,S145,'Danh sách ngày nghỉ lễ'!$B$5:$B$25)-1-VLOOKUP(P145,'Thời hạn'!$A$17:$B$23,2,0))&amp;" "&amp;"ngày","")))))</f>
        <v/>
      </c>
      <c r="Z145" s="23">
        <v>1</v>
      </c>
    </row>
    <row r="146" spans="1:26" s="24" customFormat="1" ht="15.6" x14ac:dyDescent="0.3">
      <c r="A146" s="24">
        <v>1</v>
      </c>
      <c r="B146" s="39"/>
      <c r="C146" s="33"/>
      <c r="D146" s="25"/>
      <c r="E146" s="25"/>
      <c r="F146" s="34"/>
      <c r="G146" s="34"/>
      <c r="H146" s="25"/>
      <c r="I146" s="70" t="str">
        <f>IF(C146="Trả lại đơn vụ","",IF(C146="Trả lại đơn việc","",IF(C146="Hòa giải thành","",IF(F146=0,"",EDATE(F146,VLOOKUP(C146,'Thời hạn'!$D$1:$E$10,2,0))+H146))))</f>
        <v/>
      </c>
      <c r="J146" s="59" t="str">
        <f t="shared" ca="1" si="2"/>
        <v/>
      </c>
      <c r="K146" s="25"/>
      <c r="L146" s="129"/>
      <c r="M146" s="130"/>
      <c r="N146" s="33"/>
      <c r="O146" s="34"/>
      <c r="P146" s="25"/>
      <c r="Q146" s="25"/>
      <c r="R146" s="34"/>
      <c r="S146" s="34"/>
      <c r="T146" s="137"/>
      <c r="U146" s="137"/>
      <c r="V146" s="36"/>
      <c r="W146" s="37"/>
      <c r="X146" s="71" t="str">
        <f>IF(C146="Trả lại đơn vụ","",IF(C146="Trả lại đơn việc","",IF((NETWORKDAYS(F146,G146,'Danh sách ngày nghỉ lễ'!$B$5:$B$25)-1-3)&gt;0,"Quá hạn"&amp;" "&amp;(NETWORKDAYS(F146,G146,'Danh sách ngày nghỉ lễ'!$B$5:$B$25)-1-3)&amp;" "&amp;"ngày","")))</f>
        <v/>
      </c>
      <c r="Y146" s="72" t="str">
        <f>IF(S146=0,"",IF(P146="Chuyển","",IF(P146="Nhập vào vụ khác","",IF(P146="BA",IF((S146-R146)&gt;10,"Quá hạn"&amp;" "&amp;(S146-R146-10)&amp;" "&amp;"ngày",""),IF((NETWORKDAYS(R146,S146,'Danh sách ngày nghỉ lễ'!$B$5:$B$25)-VLOOKUP(P146,'Thời hạn'!$A$17:$B$23,2,0))&gt;1,"Quá hạn"&amp;" "&amp;(NETWORKDAYS(R146,S146,'Danh sách ngày nghỉ lễ'!$B$5:$B$25)-1-VLOOKUP(P146,'Thời hạn'!$A$17:$B$23,2,0))&amp;" "&amp;"ngày","")))))</f>
        <v/>
      </c>
      <c r="Z146" s="23">
        <v>1</v>
      </c>
    </row>
    <row r="147" spans="1:26" s="24" customFormat="1" ht="15.6" x14ac:dyDescent="0.3">
      <c r="A147" s="24">
        <v>1</v>
      </c>
      <c r="B147" s="39"/>
      <c r="C147" s="33"/>
      <c r="D147" s="25"/>
      <c r="E147" s="25"/>
      <c r="F147" s="34"/>
      <c r="G147" s="34"/>
      <c r="H147" s="25"/>
      <c r="I147" s="70" t="str">
        <f>IF(C147="Trả lại đơn vụ","",IF(C147="Trả lại đơn việc","",IF(C147="Hòa giải thành","",IF(F147=0,"",EDATE(F147,VLOOKUP(C147,'Thời hạn'!$D$1:$E$10,2,0))+H147))))</f>
        <v/>
      </c>
      <c r="J147" s="59" t="str">
        <f t="shared" ca="1" si="2"/>
        <v/>
      </c>
      <c r="K147" s="25"/>
      <c r="L147" s="129"/>
      <c r="M147" s="130"/>
      <c r="N147" s="33"/>
      <c r="O147" s="34"/>
      <c r="P147" s="25"/>
      <c r="Q147" s="25"/>
      <c r="R147" s="34"/>
      <c r="S147" s="34"/>
      <c r="T147" s="137"/>
      <c r="U147" s="137"/>
      <c r="V147" s="36"/>
      <c r="W147" s="37"/>
      <c r="X147" s="71" t="str">
        <f>IF(C147="Trả lại đơn vụ","",IF(C147="Trả lại đơn việc","",IF((NETWORKDAYS(F147,G147,'Danh sách ngày nghỉ lễ'!$B$5:$B$25)-1-3)&gt;0,"Quá hạn"&amp;" "&amp;(NETWORKDAYS(F147,G147,'Danh sách ngày nghỉ lễ'!$B$5:$B$25)-1-3)&amp;" "&amp;"ngày","")))</f>
        <v/>
      </c>
      <c r="Y147" s="72" t="str">
        <f>IF(S147=0,"",IF(P147="Chuyển","",IF(P147="Nhập vào vụ khác","",IF(P147="BA",IF((S147-R147)&gt;10,"Quá hạn"&amp;" "&amp;(S147-R147-10)&amp;" "&amp;"ngày",""),IF((NETWORKDAYS(R147,S147,'Danh sách ngày nghỉ lễ'!$B$5:$B$25)-VLOOKUP(P147,'Thời hạn'!$A$17:$B$23,2,0))&gt;1,"Quá hạn"&amp;" "&amp;(NETWORKDAYS(R147,S147,'Danh sách ngày nghỉ lễ'!$B$5:$B$25)-1-VLOOKUP(P147,'Thời hạn'!$A$17:$B$23,2,0))&amp;" "&amp;"ngày","")))))</f>
        <v/>
      </c>
      <c r="Z147" s="23">
        <v>1</v>
      </c>
    </row>
    <row r="148" spans="1:26" s="24" customFormat="1" ht="15.6" x14ac:dyDescent="0.3">
      <c r="A148" s="24">
        <v>1</v>
      </c>
      <c r="B148" s="39"/>
      <c r="C148" s="33"/>
      <c r="D148" s="25"/>
      <c r="E148" s="25"/>
      <c r="F148" s="34"/>
      <c r="G148" s="34"/>
      <c r="H148" s="25"/>
      <c r="I148" s="70" t="str">
        <f>IF(C148="Trả lại đơn vụ","",IF(C148="Trả lại đơn việc","",IF(C148="Hòa giải thành","",IF(F148=0,"",EDATE(F148,VLOOKUP(C148,'Thời hạn'!$D$1:$E$10,2,0))+H148))))</f>
        <v/>
      </c>
      <c r="J148" s="59" t="str">
        <f t="shared" ca="1" si="2"/>
        <v/>
      </c>
      <c r="K148" s="25"/>
      <c r="L148" s="129"/>
      <c r="M148" s="130"/>
      <c r="N148" s="33"/>
      <c r="O148" s="34"/>
      <c r="P148" s="25"/>
      <c r="Q148" s="25"/>
      <c r="R148" s="34"/>
      <c r="S148" s="34"/>
      <c r="T148" s="137"/>
      <c r="U148" s="137"/>
      <c r="V148" s="36"/>
      <c r="W148" s="37"/>
      <c r="X148" s="71" t="str">
        <f>IF(C148="Trả lại đơn vụ","",IF(C148="Trả lại đơn việc","",IF((NETWORKDAYS(F148,G148,'Danh sách ngày nghỉ lễ'!$B$5:$B$25)-1-3)&gt;0,"Quá hạn"&amp;" "&amp;(NETWORKDAYS(F148,G148,'Danh sách ngày nghỉ lễ'!$B$5:$B$25)-1-3)&amp;" "&amp;"ngày","")))</f>
        <v/>
      </c>
      <c r="Y148" s="72" t="str">
        <f>IF(S148=0,"",IF(P148="Chuyển","",IF(P148="Nhập vào vụ khác","",IF(P148="BA",IF((S148-R148)&gt;10,"Quá hạn"&amp;" "&amp;(S148-R148-10)&amp;" "&amp;"ngày",""),IF((NETWORKDAYS(R148,S148,'Danh sách ngày nghỉ lễ'!$B$5:$B$25)-VLOOKUP(P148,'Thời hạn'!$A$17:$B$23,2,0))&gt;1,"Quá hạn"&amp;" "&amp;(NETWORKDAYS(R148,S148,'Danh sách ngày nghỉ lễ'!$B$5:$B$25)-1-VLOOKUP(P148,'Thời hạn'!$A$17:$B$23,2,0))&amp;" "&amp;"ngày","")))))</f>
        <v/>
      </c>
      <c r="Z148" s="23">
        <v>1</v>
      </c>
    </row>
    <row r="149" spans="1:26" s="24" customFormat="1" ht="15.6" x14ac:dyDescent="0.3">
      <c r="A149" s="24">
        <v>1</v>
      </c>
      <c r="B149" s="39"/>
      <c r="C149" s="33"/>
      <c r="D149" s="25"/>
      <c r="E149" s="25"/>
      <c r="F149" s="34"/>
      <c r="G149" s="34"/>
      <c r="H149" s="25"/>
      <c r="I149" s="70" t="str">
        <f>IF(C149="Trả lại đơn vụ","",IF(C149="Trả lại đơn việc","",IF(C149="Hòa giải thành","",IF(F149=0,"",EDATE(F149,VLOOKUP(C149,'Thời hạn'!$D$1:$E$10,2,0))+H149))))</f>
        <v/>
      </c>
      <c r="J149" s="59" t="str">
        <f t="shared" ca="1" si="2"/>
        <v/>
      </c>
      <c r="K149" s="25"/>
      <c r="L149" s="129"/>
      <c r="M149" s="130"/>
      <c r="N149" s="33"/>
      <c r="O149" s="34"/>
      <c r="P149" s="25"/>
      <c r="Q149" s="25"/>
      <c r="R149" s="34"/>
      <c r="S149" s="34"/>
      <c r="T149" s="137"/>
      <c r="U149" s="137"/>
      <c r="V149" s="36"/>
      <c r="W149" s="37"/>
      <c r="X149" s="71" t="str">
        <f>IF(C149="Trả lại đơn vụ","",IF(C149="Trả lại đơn việc","",IF((NETWORKDAYS(F149,G149,'Danh sách ngày nghỉ lễ'!$B$5:$B$25)-1-3)&gt;0,"Quá hạn"&amp;" "&amp;(NETWORKDAYS(F149,G149,'Danh sách ngày nghỉ lễ'!$B$5:$B$25)-1-3)&amp;" "&amp;"ngày","")))</f>
        <v/>
      </c>
      <c r="Y149" s="72" t="str">
        <f>IF(S149=0,"",IF(P149="Chuyển","",IF(P149="Nhập vào vụ khác","",IF(P149="BA",IF((S149-R149)&gt;10,"Quá hạn"&amp;" "&amp;(S149-R149-10)&amp;" "&amp;"ngày",""),IF((NETWORKDAYS(R149,S149,'Danh sách ngày nghỉ lễ'!$B$5:$B$25)-VLOOKUP(P149,'Thời hạn'!$A$17:$B$23,2,0))&gt;1,"Quá hạn"&amp;" "&amp;(NETWORKDAYS(R149,S149,'Danh sách ngày nghỉ lễ'!$B$5:$B$25)-1-VLOOKUP(P149,'Thời hạn'!$A$17:$B$23,2,0))&amp;" "&amp;"ngày","")))))</f>
        <v/>
      </c>
      <c r="Z149" s="23">
        <v>1</v>
      </c>
    </row>
    <row r="150" spans="1:26" s="24" customFormat="1" ht="15.6" x14ac:dyDescent="0.3">
      <c r="A150" s="24">
        <v>1</v>
      </c>
      <c r="B150" s="39"/>
      <c r="C150" s="33"/>
      <c r="D150" s="25"/>
      <c r="E150" s="25"/>
      <c r="F150" s="34"/>
      <c r="G150" s="34"/>
      <c r="H150" s="25"/>
      <c r="I150" s="70" t="str">
        <f>IF(C150="Trả lại đơn vụ","",IF(C150="Trả lại đơn việc","",IF(C150="Hòa giải thành","",IF(F150=0,"",EDATE(F150,VLOOKUP(C150,'Thời hạn'!$D$1:$E$10,2,0))+H150))))</f>
        <v/>
      </c>
      <c r="J150" s="59" t="str">
        <f t="shared" ca="1" si="2"/>
        <v/>
      </c>
      <c r="K150" s="25"/>
      <c r="L150" s="129"/>
      <c r="M150" s="130"/>
      <c r="N150" s="33"/>
      <c r="O150" s="34"/>
      <c r="P150" s="25"/>
      <c r="Q150" s="25"/>
      <c r="R150" s="34"/>
      <c r="S150" s="34"/>
      <c r="T150" s="137"/>
      <c r="U150" s="137"/>
      <c r="V150" s="36"/>
      <c r="W150" s="37"/>
      <c r="X150" s="71" t="str">
        <f>IF(C150="Trả lại đơn vụ","",IF(C150="Trả lại đơn việc","",IF((NETWORKDAYS(F150,G150,'Danh sách ngày nghỉ lễ'!$B$5:$B$25)-1-3)&gt;0,"Quá hạn"&amp;" "&amp;(NETWORKDAYS(F150,G150,'Danh sách ngày nghỉ lễ'!$B$5:$B$25)-1-3)&amp;" "&amp;"ngày","")))</f>
        <v/>
      </c>
      <c r="Y150" s="72" t="str">
        <f>IF(S150=0,"",IF(P150="Chuyển","",IF(P150="Nhập vào vụ khác","",IF(P150="BA",IF((S150-R150)&gt;10,"Quá hạn"&amp;" "&amp;(S150-R150-10)&amp;" "&amp;"ngày",""),IF((NETWORKDAYS(R150,S150,'Danh sách ngày nghỉ lễ'!$B$5:$B$25)-VLOOKUP(P150,'Thời hạn'!$A$17:$B$23,2,0))&gt;1,"Quá hạn"&amp;" "&amp;(NETWORKDAYS(R150,S150,'Danh sách ngày nghỉ lễ'!$B$5:$B$25)-1-VLOOKUP(P150,'Thời hạn'!$A$17:$B$23,2,0))&amp;" "&amp;"ngày","")))))</f>
        <v/>
      </c>
      <c r="Z150" s="23">
        <v>1</v>
      </c>
    </row>
    <row r="151" spans="1:26" s="24" customFormat="1" ht="15.6" x14ac:dyDescent="0.3">
      <c r="A151" s="24">
        <v>1</v>
      </c>
      <c r="B151" s="39"/>
      <c r="C151" s="33"/>
      <c r="D151" s="25"/>
      <c r="E151" s="25"/>
      <c r="F151" s="34"/>
      <c r="G151" s="34"/>
      <c r="H151" s="25"/>
      <c r="I151" s="70" t="str">
        <f>IF(C151="Trả lại đơn vụ","",IF(C151="Trả lại đơn việc","",IF(C151="Hòa giải thành","",IF(F151=0,"",EDATE(F151,VLOOKUP(C151,'Thời hạn'!$D$1:$E$10,2,0))+H151))))</f>
        <v/>
      </c>
      <c r="J151" s="59" t="str">
        <f t="shared" ca="1" si="2"/>
        <v/>
      </c>
      <c r="K151" s="25"/>
      <c r="L151" s="129"/>
      <c r="M151" s="130"/>
      <c r="N151" s="33"/>
      <c r="O151" s="34"/>
      <c r="P151" s="25"/>
      <c r="Q151" s="25"/>
      <c r="R151" s="34"/>
      <c r="S151" s="34"/>
      <c r="T151" s="137"/>
      <c r="U151" s="137"/>
      <c r="V151" s="36"/>
      <c r="W151" s="37"/>
      <c r="X151" s="71" t="str">
        <f>IF(C151="Trả lại đơn vụ","",IF(C151="Trả lại đơn việc","",IF((NETWORKDAYS(F151,G151,'Danh sách ngày nghỉ lễ'!$B$5:$B$25)-1-3)&gt;0,"Quá hạn"&amp;" "&amp;(NETWORKDAYS(F151,G151,'Danh sách ngày nghỉ lễ'!$B$5:$B$25)-1-3)&amp;" "&amp;"ngày","")))</f>
        <v/>
      </c>
      <c r="Y151" s="72" t="str">
        <f>IF(S151=0,"",IF(P151="Chuyển","",IF(P151="Nhập vào vụ khác","",IF(P151="BA",IF((S151-R151)&gt;10,"Quá hạn"&amp;" "&amp;(S151-R151-10)&amp;" "&amp;"ngày",""),IF((NETWORKDAYS(R151,S151,'Danh sách ngày nghỉ lễ'!$B$5:$B$25)-VLOOKUP(P151,'Thời hạn'!$A$17:$B$23,2,0))&gt;1,"Quá hạn"&amp;" "&amp;(NETWORKDAYS(R151,S151,'Danh sách ngày nghỉ lễ'!$B$5:$B$25)-1-VLOOKUP(P151,'Thời hạn'!$A$17:$B$23,2,0))&amp;" "&amp;"ngày","")))))</f>
        <v/>
      </c>
      <c r="Z151" s="23">
        <v>1</v>
      </c>
    </row>
    <row r="152" spans="1:26" s="24" customFormat="1" ht="15.6" x14ac:dyDescent="0.3">
      <c r="A152" s="24">
        <v>1</v>
      </c>
      <c r="B152" s="39"/>
      <c r="C152" s="33"/>
      <c r="D152" s="25"/>
      <c r="E152" s="25"/>
      <c r="F152" s="34"/>
      <c r="G152" s="34"/>
      <c r="H152" s="25"/>
      <c r="I152" s="70" t="str">
        <f>IF(C152="Trả lại đơn vụ","",IF(C152="Trả lại đơn việc","",IF(C152="Hòa giải thành","",IF(F152=0,"",EDATE(F152,VLOOKUP(C152,'Thời hạn'!$D$1:$E$10,2,0))+H152))))</f>
        <v/>
      </c>
      <c r="J152" s="59" t="str">
        <f t="shared" ca="1" si="2"/>
        <v/>
      </c>
      <c r="K152" s="25"/>
      <c r="L152" s="129"/>
      <c r="M152" s="130"/>
      <c r="N152" s="33"/>
      <c r="O152" s="34"/>
      <c r="P152" s="25"/>
      <c r="Q152" s="25"/>
      <c r="R152" s="34"/>
      <c r="S152" s="34"/>
      <c r="T152" s="137"/>
      <c r="U152" s="137"/>
      <c r="V152" s="36"/>
      <c r="W152" s="37"/>
      <c r="X152" s="71" t="str">
        <f>IF(C152="Trả lại đơn vụ","",IF(C152="Trả lại đơn việc","",IF((NETWORKDAYS(F152,G152,'Danh sách ngày nghỉ lễ'!$B$5:$B$25)-1-3)&gt;0,"Quá hạn"&amp;" "&amp;(NETWORKDAYS(F152,G152,'Danh sách ngày nghỉ lễ'!$B$5:$B$25)-1-3)&amp;" "&amp;"ngày","")))</f>
        <v/>
      </c>
      <c r="Y152" s="72" t="str">
        <f>IF(S152=0,"",IF(P152="Chuyển","",IF(P152="Nhập vào vụ khác","",IF(P152="BA",IF((S152-R152)&gt;10,"Quá hạn"&amp;" "&amp;(S152-R152-10)&amp;" "&amp;"ngày",""),IF((NETWORKDAYS(R152,S152,'Danh sách ngày nghỉ lễ'!$B$5:$B$25)-VLOOKUP(P152,'Thời hạn'!$A$17:$B$23,2,0))&gt;1,"Quá hạn"&amp;" "&amp;(NETWORKDAYS(R152,S152,'Danh sách ngày nghỉ lễ'!$B$5:$B$25)-1-VLOOKUP(P152,'Thời hạn'!$A$17:$B$23,2,0))&amp;" "&amp;"ngày","")))))</f>
        <v/>
      </c>
      <c r="Z152" s="23">
        <v>1</v>
      </c>
    </row>
    <row r="153" spans="1:26" s="24" customFormat="1" ht="15.6" x14ac:dyDescent="0.3">
      <c r="A153" s="24">
        <v>1</v>
      </c>
      <c r="B153" s="39"/>
      <c r="C153" s="33"/>
      <c r="D153" s="25"/>
      <c r="E153" s="25"/>
      <c r="F153" s="34"/>
      <c r="G153" s="34"/>
      <c r="H153" s="25"/>
      <c r="I153" s="70" t="str">
        <f>IF(C153="Trả lại đơn vụ","",IF(C153="Trả lại đơn việc","",IF(C153="Hòa giải thành","",IF(F153=0,"",EDATE(F153,VLOOKUP(C153,'Thời hạn'!$D$1:$E$10,2,0))+H153))))</f>
        <v/>
      </c>
      <c r="J153" s="59" t="str">
        <f t="shared" ca="1" si="2"/>
        <v/>
      </c>
      <c r="K153" s="25"/>
      <c r="L153" s="129"/>
      <c r="M153" s="130"/>
      <c r="N153" s="33"/>
      <c r="O153" s="34"/>
      <c r="P153" s="25"/>
      <c r="Q153" s="25"/>
      <c r="R153" s="34"/>
      <c r="S153" s="34"/>
      <c r="T153" s="137"/>
      <c r="U153" s="137"/>
      <c r="V153" s="36"/>
      <c r="W153" s="37"/>
      <c r="X153" s="71" t="str">
        <f>IF(C153="Trả lại đơn vụ","",IF(C153="Trả lại đơn việc","",IF((NETWORKDAYS(F153,G153,'Danh sách ngày nghỉ lễ'!$B$5:$B$25)-1-3)&gt;0,"Quá hạn"&amp;" "&amp;(NETWORKDAYS(F153,G153,'Danh sách ngày nghỉ lễ'!$B$5:$B$25)-1-3)&amp;" "&amp;"ngày","")))</f>
        <v/>
      </c>
      <c r="Y153" s="72" t="str">
        <f>IF(S153=0,"",IF(P153="Chuyển","",IF(P153="Nhập vào vụ khác","",IF(P153="BA",IF((S153-R153)&gt;10,"Quá hạn"&amp;" "&amp;(S153-R153-10)&amp;" "&amp;"ngày",""),IF((NETWORKDAYS(R153,S153,'Danh sách ngày nghỉ lễ'!$B$5:$B$25)-VLOOKUP(P153,'Thời hạn'!$A$17:$B$23,2,0))&gt;1,"Quá hạn"&amp;" "&amp;(NETWORKDAYS(R153,S153,'Danh sách ngày nghỉ lễ'!$B$5:$B$25)-1-VLOOKUP(P153,'Thời hạn'!$A$17:$B$23,2,0))&amp;" "&amp;"ngày","")))))</f>
        <v/>
      </c>
      <c r="Z153" s="23">
        <v>1</v>
      </c>
    </row>
    <row r="154" spans="1:26" s="24" customFormat="1" ht="15.6" x14ac:dyDescent="0.3">
      <c r="A154" s="24">
        <v>1</v>
      </c>
      <c r="B154" s="39"/>
      <c r="C154" s="33"/>
      <c r="D154" s="25"/>
      <c r="E154" s="25"/>
      <c r="F154" s="34"/>
      <c r="G154" s="34"/>
      <c r="H154" s="25"/>
      <c r="I154" s="70" t="str">
        <f>IF(C154="Trả lại đơn vụ","",IF(C154="Trả lại đơn việc","",IF(C154="Hòa giải thành","",IF(F154=0,"",EDATE(F154,VLOOKUP(C154,'Thời hạn'!$D$1:$E$10,2,0))+H154))))</f>
        <v/>
      </c>
      <c r="J154" s="59" t="str">
        <f t="shared" ca="1" si="2"/>
        <v/>
      </c>
      <c r="K154" s="25"/>
      <c r="L154" s="129"/>
      <c r="M154" s="130"/>
      <c r="N154" s="33"/>
      <c r="O154" s="34"/>
      <c r="P154" s="25"/>
      <c r="Q154" s="25"/>
      <c r="R154" s="34"/>
      <c r="S154" s="34"/>
      <c r="T154" s="137"/>
      <c r="U154" s="137"/>
      <c r="V154" s="36"/>
      <c r="W154" s="37"/>
      <c r="X154" s="71" t="str">
        <f>IF(C154="Trả lại đơn vụ","",IF(C154="Trả lại đơn việc","",IF((NETWORKDAYS(F154,G154,'Danh sách ngày nghỉ lễ'!$B$5:$B$25)-1-3)&gt;0,"Quá hạn"&amp;" "&amp;(NETWORKDAYS(F154,G154,'Danh sách ngày nghỉ lễ'!$B$5:$B$25)-1-3)&amp;" "&amp;"ngày","")))</f>
        <v/>
      </c>
      <c r="Y154" s="72" t="str">
        <f>IF(S154=0,"",IF(P154="Chuyển","",IF(P154="Nhập vào vụ khác","",IF(P154="BA",IF((S154-R154)&gt;10,"Quá hạn"&amp;" "&amp;(S154-R154-10)&amp;" "&amp;"ngày",""),IF((NETWORKDAYS(R154,S154,'Danh sách ngày nghỉ lễ'!$B$5:$B$25)-VLOOKUP(P154,'Thời hạn'!$A$17:$B$23,2,0))&gt;1,"Quá hạn"&amp;" "&amp;(NETWORKDAYS(R154,S154,'Danh sách ngày nghỉ lễ'!$B$5:$B$25)-1-VLOOKUP(P154,'Thời hạn'!$A$17:$B$23,2,0))&amp;" "&amp;"ngày","")))))</f>
        <v/>
      </c>
      <c r="Z154" s="23">
        <v>1</v>
      </c>
    </row>
    <row r="155" spans="1:26" s="24" customFormat="1" ht="15.6" x14ac:dyDescent="0.3">
      <c r="A155" s="24">
        <v>1</v>
      </c>
      <c r="B155" s="39"/>
      <c r="C155" s="33"/>
      <c r="D155" s="25"/>
      <c r="E155" s="25"/>
      <c r="F155" s="34"/>
      <c r="G155" s="34"/>
      <c r="H155" s="25"/>
      <c r="I155" s="70" t="str">
        <f>IF(C155="Trả lại đơn vụ","",IF(C155="Trả lại đơn việc","",IF(C155="Hòa giải thành","",IF(F155=0,"",EDATE(F155,VLOOKUP(C155,'Thời hạn'!$D$1:$E$10,2,0))+H155))))</f>
        <v/>
      </c>
      <c r="J155" s="59" t="str">
        <f t="shared" ca="1" si="2"/>
        <v/>
      </c>
      <c r="K155" s="25"/>
      <c r="L155" s="129"/>
      <c r="M155" s="130"/>
      <c r="N155" s="33"/>
      <c r="O155" s="34"/>
      <c r="P155" s="25"/>
      <c r="Q155" s="25"/>
      <c r="R155" s="34"/>
      <c r="S155" s="34"/>
      <c r="T155" s="137"/>
      <c r="U155" s="137"/>
      <c r="V155" s="36"/>
      <c r="W155" s="37"/>
      <c r="X155" s="71" t="str">
        <f>IF(C155="Trả lại đơn vụ","",IF(C155="Trả lại đơn việc","",IF((NETWORKDAYS(F155,G155,'Danh sách ngày nghỉ lễ'!$B$5:$B$25)-1-3)&gt;0,"Quá hạn"&amp;" "&amp;(NETWORKDAYS(F155,G155,'Danh sách ngày nghỉ lễ'!$B$5:$B$25)-1-3)&amp;" "&amp;"ngày","")))</f>
        <v/>
      </c>
      <c r="Y155" s="72" t="str">
        <f>IF(S155=0,"",IF(P155="Chuyển","",IF(P155="Nhập vào vụ khác","",IF(P155="BA",IF((S155-R155)&gt;10,"Quá hạn"&amp;" "&amp;(S155-R155-10)&amp;" "&amp;"ngày",""),IF((NETWORKDAYS(R155,S155,'Danh sách ngày nghỉ lễ'!$B$5:$B$25)-VLOOKUP(P155,'Thời hạn'!$A$17:$B$23,2,0))&gt;1,"Quá hạn"&amp;" "&amp;(NETWORKDAYS(R155,S155,'Danh sách ngày nghỉ lễ'!$B$5:$B$25)-1-VLOOKUP(P155,'Thời hạn'!$A$17:$B$23,2,0))&amp;" "&amp;"ngày","")))))</f>
        <v/>
      </c>
      <c r="Z155" s="23">
        <v>1</v>
      </c>
    </row>
    <row r="156" spans="1:26" s="24" customFormat="1" ht="15.6" x14ac:dyDescent="0.3">
      <c r="A156" s="24">
        <v>1</v>
      </c>
      <c r="B156" s="39"/>
      <c r="C156" s="33"/>
      <c r="D156" s="25"/>
      <c r="E156" s="25"/>
      <c r="F156" s="34"/>
      <c r="G156" s="34"/>
      <c r="H156" s="25"/>
      <c r="I156" s="70" t="str">
        <f>IF(C156="Trả lại đơn vụ","",IF(C156="Trả lại đơn việc","",IF(C156="Hòa giải thành","",IF(F156=0,"",EDATE(F156,VLOOKUP(C156,'Thời hạn'!$D$1:$E$10,2,0))+H156))))</f>
        <v/>
      </c>
      <c r="J156" s="59" t="str">
        <f t="shared" ca="1" si="2"/>
        <v/>
      </c>
      <c r="K156" s="25"/>
      <c r="L156" s="129"/>
      <c r="M156" s="130"/>
      <c r="N156" s="33"/>
      <c r="O156" s="34"/>
      <c r="P156" s="25"/>
      <c r="Q156" s="25"/>
      <c r="R156" s="34"/>
      <c r="S156" s="34"/>
      <c r="T156" s="137"/>
      <c r="U156" s="137"/>
      <c r="V156" s="36"/>
      <c r="W156" s="37"/>
      <c r="X156" s="71" t="str">
        <f>IF(C156="Trả lại đơn vụ","",IF(C156="Trả lại đơn việc","",IF((NETWORKDAYS(F156,G156,'Danh sách ngày nghỉ lễ'!$B$5:$B$25)-1-3)&gt;0,"Quá hạn"&amp;" "&amp;(NETWORKDAYS(F156,G156,'Danh sách ngày nghỉ lễ'!$B$5:$B$25)-1-3)&amp;" "&amp;"ngày","")))</f>
        <v/>
      </c>
      <c r="Y156" s="72" t="str">
        <f>IF(S156=0,"",IF(P156="Chuyển","",IF(P156="Nhập vào vụ khác","",IF(P156="BA",IF((S156-R156)&gt;10,"Quá hạn"&amp;" "&amp;(S156-R156-10)&amp;" "&amp;"ngày",""),IF((NETWORKDAYS(R156,S156,'Danh sách ngày nghỉ lễ'!$B$5:$B$25)-VLOOKUP(P156,'Thời hạn'!$A$17:$B$23,2,0))&gt;1,"Quá hạn"&amp;" "&amp;(NETWORKDAYS(R156,S156,'Danh sách ngày nghỉ lễ'!$B$5:$B$25)-1-VLOOKUP(P156,'Thời hạn'!$A$17:$B$23,2,0))&amp;" "&amp;"ngày","")))))</f>
        <v/>
      </c>
      <c r="Z156" s="23">
        <v>1</v>
      </c>
    </row>
    <row r="157" spans="1:26" s="24" customFormat="1" ht="15.6" x14ac:dyDescent="0.3">
      <c r="A157" s="24">
        <v>1</v>
      </c>
      <c r="B157" s="39"/>
      <c r="C157" s="33"/>
      <c r="D157" s="25"/>
      <c r="E157" s="25"/>
      <c r="F157" s="34"/>
      <c r="G157" s="34"/>
      <c r="H157" s="25"/>
      <c r="I157" s="70" t="str">
        <f>IF(C157="Trả lại đơn vụ","",IF(C157="Trả lại đơn việc","",IF(C157="Hòa giải thành","",IF(F157=0,"",EDATE(F157,VLOOKUP(C157,'Thời hạn'!$D$1:$E$10,2,0))+H157))))</f>
        <v/>
      </c>
      <c r="J157" s="59" t="str">
        <f t="shared" ca="1" si="2"/>
        <v/>
      </c>
      <c r="K157" s="25"/>
      <c r="L157" s="129"/>
      <c r="M157" s="130"/>
      <c r="N157" s="33"/>
      <c r="O157" s="34"/>
      <c r="P157" s="25"/>
      <c r="Q157" s="25"/>
      <c r="R157" s="34"/>
      <c r="S157" s="34"/>
      <c r="T157" s="137"/>
      <c r="U157" s="137"/>
      <c r="V157" s="36"/>
      <c r="W157" s="37"/>
      <c r="X157" s="71" t="str">
        <f>IF(C157="Trả lại đơn vụ","",IF(C157="Trả lại đơn việc","",IF((NETWORKDAYS(F157,G157,'Danh sách ngày nghỉ lễ'!$B$5:$B$25)-1-3)&gt;0,"Quá hạn"&amp;" "&amp;(NETWORKDAYS(F157,G157,'Danh sách ngày nghỉ lễ'!$B$5:$B$25)-1-3)&amp;" "&amp;"ngày","")))</f>
        <v/>
      </c>
      <c r="Y157" s="72" t="str">
        <f>IF(S157=0,"",IF(P157="Chuyển","",IF(P157="Nhập vào vụ khác","",IF(P157="BA",IF((S157-R157)&gt;10,"Quá hạn"&amp;" "&amp;(S157-R157-10)&amp;" "&amp;"ngày",""),IF((NETWORKDAYS(R157,S157,'Danh sách ngày nghỉ lễ'!$B$5:$B$25)-VLOOKUP(P157,'Thời hạn'!$A$17:$B$23,2,0))&gt;1,"Quá hạn"&amp;" "&amp;(NETWORKDAYS(R157,S157,'Danh sách ngày nghỉ lễ'!$B$5:$B$25)-1-VLOOKUP(P157,'Thời hạn'!$A$17:$B$23,2,0))&amp;" "&amp;"ngày","")))))</f>
        <v/>
      </c>
      <c r="Z157" s="23">
        <v>1</v>
      </c>
    </row>
    <row r="158" spans="1:26" s="24" customFormat="1" ht="15.6" x14ac:dyDescent="0.3">
      <c r="A158" s="24">
        <v>1</v>
      </c>
      <c r="B158" s="39"/>
      <c r="C158" s="33"/>
      <c r="D158" s="25"/>
      <c r="E158" s="25"/>
      <c r="F158" s="34"/>
      <c r="G158" s="34"/>
      <c r="H158" s="25"/>
      <c r="I158" s="70" t="str">
        <f>IF(C158="Trả lại đơn vụ","",IF(C158="Trả lại đơn việc","",IF(C158="Hòa giải thành","",IF(F158=0,"",EDATE(F158,VLOOKUP(C158,'Thời hạn'!$D$1:$E$10,2,0))+H158))))</f>
        <v/>
      </c>
      <c r="J158" s="59" t="str">
        <f t="shared" ca="1" si="2"/>
        <v/>
      </c>
      <c r="K158" s="25"/>
      <c r="L158" s="129"/>
      <c r="M158" s="130"/>
      <c r="N158" s="33"/>
      <c r="O158" s="34"/>
      <c r="P158" s="25"/>
      <c r="Q158" s="25"/>
      <c r="R158" s="34"/>
      <c r="S158" s="34"/>
      <c r="T158" s="137"/>
      <c r="U158" s="137"/>
      <c r="V158" s="36"/>
      <c r="W158" s="37"/>
      <c r="X158" s="71" t="str">
        <f>IF(C158="Trả lại đơn vụ","",IF(C158="Trả lại đơn việc","",IF((NETWORKDAYS(F158,G158,'Danh sách ngày nghỉ lễ'!$B$5:$B$25)-1-3)&gt;0,"Quá hạn"&amp;" "&amp;(NETWORKDAYS(F158,G158,'Danh sách ngày nghỉ lễ'!$B$5:$B$25)-1-3)&amp;" "&amp;"ngày","")))</f>
        <v/>
      </c>
      <c r="Y158" s="72" t="str">
        <f>IF(S158=0,"",IF(P158="Chuyển","",IF(P158="Nhập vào vụ khác","",IF(P158="BA",IF((S158-R158)&gt;10,"Quá hạn"&amp;" "&amp;(S158-R158-10)&amp;" "&amp;"ngày",""),IF((NETWORKDAYS(R158,S158,'Danh sách ngày nghỉ lễ'!$B$5:$B$25)-VLOOKUP(P158,'Thời hạn'!$A$17:$B$23,2,0))&gt;1,"Quá hạn"&amp;" "&amp;(NETWORKDAYS(R158,S158,'Danh sách ngày nghỉ lễ'!$B$5:$B$25)-1-VLOOKUP(P158,'Thời hạn'!$A$17:$B$23,2,0))&amp;" "&amp;"ngày","")))))</f>
        <v/>
      </c>
      <c r="Z158" s="23">
        <v>1</v>
      </c>
    </row>
    <row r="159" spans="1:26" s="24" customFormat="1" ht="15.6" x14ac:dyDescent="0.3">
      <c r="A159" s="24">
        <v>1</v>
      </c>
      <c r="B159" s="39"/>
      <c r="C159" s="33"/>
      <c r="D159" s="25"/>
      <c r="E159" s="25"/>
      <c r="F159" s="34"/>
      <c r="G159" s="34"/>
      <c r="H159" s="25"/>
      <c r="I159" s="70" t="str">
        <f>IF(C159="Trả lại đơn vụ","",IF(C159="Trả lại đơn việc","",IF(C159="Hòa giải thành","",IF(F159=0,"",EDATE(F159,VLOOKUP(C159,'Thời hạn'!$D$1:$E$10,2,0))+H159))))</f>
        <v/>
      </c>
      <c r="J159" s="59" t="str">
        <f t="shared" ca="1" si="2"/>
        <v/>
      </c>
      <c r="K159" s="25"/>
      <c r="L159" s="129"/>
      <c r="M159" s="130"/>
      <c r="N159" s="33"/>
      <c r="O159" s="34"/>
      <c r="P159" s="25"/>
      <c r="Q159" s="25"/>
      <c r="R159" s="34"/>
      <c r="S159" s="34"/>
      <c r="T159" s="137"/>
      <c r="U159" s="137"/>
      <c r="V159" s="36"/>
      <c r="W159" s="37"/>
      <c r="X159" s="71" t="str">
        <f>IF(C159="Trả lại đơn vụ","",IF(C159="Trả lại đơn việc","",IF((NETWORKDAYS(F159,G159,'Danh sách ngày nghỉ lễ'!$B$5:$B$25)-1-3)&gt;0,"Quá hạn"&amp;" "&amp;(NETWORKDAYS(F159,G159,'Danh sách ngày nghỉ lễ'!$B$5:$B$25)-1-3)&amp;" "&amp;"ngày","")))</f>
        <v/>
      </c>
      <c r="Y159" s="72" t="str">
        <f>IF(S159=0,"",IF(P159="Chuyển","",IF(P159="Nhập vào vụ khác","",IF(P159="BA",IF((S159-R159)&gt;10,"Quá hạn"&amp;" "&amp;(S159-R159-10)&amp;" "&amp;"ngày",""),IF((NETWORKDAYS(R159,S159,'Danh sách ngày nghỉ lễ'!$B$5:$B$25)-VLOOKUP(P159,'Thời hạn'!$A$17:$B$23,2,0))&gt;1,"Quá hạn"&amp;" "&amp;(NETWORKDAYS(R159,S159,'Danh sách ngày nghỉ lễ'!$B$5:$B$25)-1-VLOOKUP(P159,'Thời hạn'!$A$17:$B$23,2,0))&amp;" "&amp;"ngày","")))))</f>
        <v/>
      </c>
      <c r="Z159" s="23">
        <v>1</v>
      </c>
    </row>
    <row r="160" spans="1:26" s="24" customFormat="1" ht="15.6" x14ac:dyDescent="0.3">
      <c r="A160" s="24">
        <v>1</v>
      </c>
      <c r="B160" s="39"/>
      <c r="C160" s="33"/>
      <c r="D160" s="25"/>
      <c r="E160" s="25"/>
      <c r="F160" s="34"/>
      <c r="G160" s="34"/>
      <c r="H160" s="25"/>
      <c r="I160" s="70" t="str">
        <f>IF(C160="Trả lại đơn vụ","",IF(C160="Trả lại đơn việc","",IF(C160="Hòa giải thành","",IF(F160=0,"",EDATE(F160,VLOOKUP(C160,'Thời hạn'!$D$1:$E$10,2,0))+H160))))</f>
        <v/>
      </c>
      <c r="J160" s="59" t="str">
        <f t="shared" ca="1" si="2"/>
        <v/>
      </c>
      <c r="K160" s="25"/>
      <c r="L160" s="129"/>
      <c r="M160" s="130"/>
      <c r="N160" s="33"/>
      <c r="O160" s="34"/>
      <c r="P160" s="25"/>
      <c r="Q160" s="25"/>
      <c r="R160" s="34"/>
      <c r="S160" s="34"/>
      <c r="T160" s="137"/>
      <c r="U160" s="137"/>
      <c r="V160" s="36"/>
      <c r="W160" s="37"/>
      <c r="X160" s="71" t="str">
        <f>IF(C160="Trả lại đơn vụ","",IF(C160="Trả lại đơn việc","",IF((NETWORKDAYS(F160,G160,'Danh sách ngày nghỉ lễ'!$B$5:$B$25)-1-3)&gt;0,"Quá hạn"&amp;" "&amp;(NETWORKDAYS(F160,G160,'Danh sách ngày nghỉ lễ'!$B$5:$B$25)-1-3)&amp;" "&amp;"ngày","")))</f>
        <v/>
      </c>
      <c r="Y160" s="72" t="str">
        <f>IF(S160=0,"",IF(P160="Chuyển","",IF(P160="Nhập vào vụ khác","",IF(P160="BA",IF((S160-R160)&gt;10,"Quá hạn"&amp;" "&amp;(S160-R160-10)&amp;" "&amp;"ngày",""),IF((NETWORKDAYS(R160,S160,'Danh sách ngày nghỉ lễ'!$B$5:$B$25)-VLOOKUP(P160,'Thời hạn'!$A$17:$B$23,2,0))&gt;1,"Quá hạn"&amp;" "&amp;(NETWORKDAYS(R160,S160,'Danh sách ngày nghỉ lễ'!$B$5:$B$25)-1-VLOOKUP(P160,'Thời hạn'!$A$17:$B$23,2,0))&amp;" "&amp;"ngày","")))))</f>
        <v/>
      </c>
      <c r="Z160" s="23">
        <v>1</v>
      </c>
    </row>
    <row r="161" spans="1:26" s="24" customFormat="1" ht="15.6" x14ac:dyDescent="0.3">
      <c r="A161" s="24">
        <v>1</v>
      </c>
      <c r="B161" s="39"/>
      <c r="C161" s="33"/>
      <c r="D161" s="25"/>
      <c r="E161" s="25"/>
      <c r="F161" s="34"/>
      <c r="G161" s="34"/>
      <c r="H161" s="25"/>
      <c r="I161" s="70" t="str">
        <f>IF(C161="Trả lại đơn vụ","",IF(C161="Trả lại đơn việc","",IF(C161="Hòa giải thành","",IF(F161=0,"",EDATE(F161,VLOOKUP(C161,'Thời hạn'!$D$1:$E$10,2,0))+H161))))</f>
        <v/>
      </c>
      <c r="J161" s="59" t="str">
        <f t="shared" ca="1" si="2"/>
        <v/>
      </c>
      <c r="K161" s="25"/>
      <c r="L161" s="129"/>
      <c r="M161" s="130"/>
      <c r="N161" s="33"/>
      <c r="O161" s="34"/>
      <c r="P161" s="25"/>
      <c r="Q161" s="25"/>
      <c r="R161" s="34"/>
      <c r="S161" s="34"/>
      <c r="T161" s="137"/>
      <c r="U161" s="137"/>
      <c r="V161" s="36"/>
      <c r="W161" s="37"/>
      <c r="X161" s="71" t="str">
        <f>IF(C161="Trả lại đơn vụ","",IF(C161="Trả lại đơn việc","",IF((NETWORKDAYS(F161,G161,'Danh sách ngày nghỉ lễ'!$B$5:$B$25)-1-3)&gt;0,"Quá hạn"&amp;" "&amp;(NETWORKDAYS(F161,G161,'Danh sách ngày nghỉ lễ'!$B$5:$B$25)-1-3)&amp;" "&amp;"ngày","")))</f>
        <v/>
      </c>
      <c r="Y161" s="72" t="str">
        <f>IF(S161=0,"",IF(P161="Chuyển","",IF(P161="Nhập vào vụ khác","",IF(P161="BA",IF((S161-R161)&gt;10,"Quá hạn"&amp;" "&amp;(S161-R161-10)&amp;" "&amp;"ngày",""),IF((NETWORKDAYS(R161,S161,'Danh sách ngày nghỉ lễ'!$B$5:$B$25)-VLOOKUP(P161,'Thời hạn'!$A$17:$B$23,2,0))&gt;1,"Quá hạn"&amp;" "&amp;(NETWORKDAYS(R161,S161,'Danh sách ngày nghỉ lễ'!$B$5:$B$25)-1-VLOOKUP(P161,'Thời hạn'!$A$17:$B$23,2,0))&amp;" "&amp;"ngày","")))))</f>
        <v/>
      </c>
      <c r="Z161" s="23">
        <v>1</v>
      </c>
    </row>
    <row r="162" spans="1:26" s="24" customFormat="1" ht="15.6" x14ac:dyDescent="0.3">
      <c r="A162" s="24">
        <v>1</v>
      </c>
      <c r="B162" s="39"/>
      <c r="C162" s="33"/>
      <c r="D162" s="25"/>
      <c r="E162" s="25"/>
      <c r="F162" s="34"/>
      <c r="G162" s="34"/>
      <c r="H162" s="25"/>
      <c r="I162" s="70" t="str">
        <f>IF(C162="Trả lại đơn vụ","",IF(C162="Trả lại đơn việc","",IF(C162="Hòa giải thành","",IF(F162=0,"",EDATE(F162,VLOOKUP(C162,'Thời hạn'!$D$1:$E$10,2,0))+H162))))</f>
        <v/>
      </c>
      <c r="J162" s="59" t="str">
        <f t="shared" ca="1" si="2"/>
        <v/>
      </c>
      <c r="K162" s="25"/>
      <c r="L162" s="129"/>
      <c r="M162" s="130"/>
      <c r="N162" s="33"/>
      <c r="O162" s="34"/>
      <c r="P162" s="25"/>
      <c r="Q162" s="25"/>
      <c r="R162" s="34"/>
      <c r="S162" s="34"/>
      <c r="T162" s="137"/>
      <c r="U162" s="137"/>
      <c r="V162" s="36"/>
      <c r="W162" s="37"/>
      <c r="X162" s="71" t="str">
        <f>IF(C162="Trả lại đơn vụ","",IF(C162="Trả lại đơn việc","",IF((NETWORKDAYS(F162,G162,'Danh sách ngày nghỉ lễ'!$B$5:$B$25)-1-3)&gt;0,"Quá hạn"&amp;" "&amp;(NETWORKDAYS(F162,G162,'Danh sách ngày nghỉ lễ'!$B$5:$B$25)-1-3)&amp;" "&amp;"ngày","")))</f>
        <v/>
      </c>
      <c r="Y162" s="72" t="str">
        <f>IF(S162=0,"",IF(P162="Chuyển","",IF(P162="Nhập vào vụ khác","",IF(P162="BA",IF((S162-R162)&gt;10,"Quá hạn"&amp;" "&amp;(S162-R162-10)&amp;" "&amp;"ngày",""),IF((NETWORKDAYS(R162,S162,'Danh sách ngày nghỉ lễ'!$B$5:$B$25)-VLOOKUP(P162,'Thời hạn'!$A$17:$B$23,2,0))&gt;1,"Quá hạn"&amp;" "&amp;(NETWORKDAYS(R162,S162,'Danh sách ngày nghỉ lễ'!$B$5:$B$25)-1-VLOOKUP(P162,'Thời hạn'!$A$17:$B$23,2,0))&amp;" "&amp;"ngày","")))))</f>
        <v/>
      </c>
      <c r="Z162" s="23">
        <v>1</v>
      </c>
    </row>
    <row r="163" spans="1:26" s="24" customFormat="1" ht="15.6" x14ac:dyDescent="0.3">
      <c r="A163" s="24">
        <v>1</v>
      </c>
      <c r="B163" s="39"/>
      <c r="C163" s="33"/>
      <c r="D163" s="25"/>
      <c r="E163" s="25"/>
      <c r="F163" s="34"/>
      <c r="G163" s="34"/>
      <c r="H163" s="25"/>
      <c r="I163" s="70" t="str">
        <f>IF(C163="Trả lại đơn vụ","",IF(C163="Trả lại đơn việc","",IF(C163="Hòa giải thành","",IF(F163=0,"",EDATE(F163,VLOOKUP(C163,'Thời hạn'!$D$1:$E$10,2,0))+H163))))</f>
        <v/>
      </c>
      <c r="J163" s="59" t="str">
        <f t="shared" ca="1" si="2"/>
        <v/>
      </c>
      <c r="K163" s="25"/>
      <c r="L163" s="129"/>
      <c r="M163" s="130"/>
      <c r="N163" s="33"/>
      <c r="O163" s="34"/>
      <c r="P163" s="25"/>
      <c r="Q163" s="25"/>
      <c r="R163" s="34"/>
      <c r="S163" s="34"/>
      <c r="T163" s="137"/>
      <c r="U163" s="137"/>
      <c r="V163" s="36"/>
      <c r="W163" s="37"/>
      <c r="X163" s="71" t="str">
        <f>IF(C163="Trả lại đơn vụ","",IF(C163="Trả lại đơn việc","",IF((NETWORKDAYS(F163,G163,'Danh sách ngày nghỉ lễ'!$B$5:$B$25)-1-3)&gt;0,"Quá hạn"&amp;" "&amp;(NETWORKDAYS(F163,G163,'Danh sách ngày nghỉ lễ'!$B$5:$B$25)-1-3)&amp;" "&amp;"ngày","")))</f>
        <v/>
      </c>
      <c r="Y163" s="72" t="str">
        <f>IF(S163=0,"",IF(P163="Chuyển","",IF(P163="Nhập vào vụ khác","",IF(P163="BA",IF((S163-R163)&gt;10,"Quá hạn"&amp;" "&amp;(S163-R163-10)&amp;" "&amp;"ngày",""),IF((NETWORKDAYS(R163,S163,'Danh sách ngày nghỉ lễ'!$B$5:$B$25)-VLOOKUP(P163,'Thời hạn'!$A$17:$B$23,2,0))&gt;1,"Quá hạn"&amp;" "&amp;(NETWORKDAYS(R163,S163,'Danh sách ngày nghỉ lễ'!$B$5:$B$25)-1-VLOOKUP(P163,'Thời hạn'!$A$17:$B$23,2,0))&amp;" "&amp;"ngày","")))))</f>
        <v/>
      </c>
      <c r="Z163" s="23">
        <v>1</v>
      </c>
    </row>
    <row r="164" spans="1:26" s="24" customFormat="1" ht="15.6" x14ac:dyDescent="0.3">
      <c r="A164" s="24">
        <v>1</v>
      </c>
      <c r="B164" s="39"/>
      <c r="C164" s="33"/>
      <c r="D164" s="25"/>
      <c r="E164" s="25"/>
      <c r="F164" s="34"/>
      <c r="G164" s="34"/>
      <c r="H164" s="25"/>
      <c r="I164" s="70" t="str">
        <f>IF(C164="Trả lại đơn vụ","",IF(C164="Trả lại đơn việc","",IF(C164="Hòa giải thành","",IF(F164=0,"",EDATE(F164,VLOOKUP(C164,'Thời hạn'!$D$1:$E$10,2,0))+H164))))</f>
        <v/>
      </c>
      <c r="J164" s="59" t="str">
        <f t="shared" ca="1" si="2"/>
        <v/>
      </c>
      <c r="K164" s="25"/>
      <c r="L164" s="129"/>
      <c r="M164" s="130"/>
      <c r="N164" s="33"/>
      <c r="O164" s="34"/>
      <c r="P164" s="25"/>
      <c r="Q164" s="25"/>
      <c r="R164" s="34"/>
      <c r="S164" s="34"/>
      <c r="T164" s="137"/>
      <c r="U164" s="137"/>
      <c r="V164" s="36"/>
      <c r="W164" s="37"/>
      <c r="X164" s="71" t="str">
        <f>IF(C164="Trả lại đơn vụ","",IF(C164="Trả lại đơn việc","",IF((NETWORKDAYS(F164,G164,'Danh sách ngày nghỉ lễ'!$B$5:$B$25)-1-3)&gt;0,"Quá hạn"&amp;" "&amp;(NETWORKDAYS(F164,G164,'Danh sách ngày nghỉ lễ'!$B$5:$B$25)-1-3)&amp;" "&amp;"ngày","")))</f>
        <v/>
      </c>
      <c r="Y164" s="72" t="str">
        <f>IF(S164=0,"",IF(P164="Chuyển","",IF(P164="Nhập vào vụ khác","",IF(P164="BA",IF((S164-R164)&gt;10,"Quá hạn"&amp;" "&amp;(S164-R164-10)&amp;" "&amp;"ngày",""),IF((NETWORKDAYS(R164,S164,'Danh sách ngày nghỉ lễ'!$B$5:$B$25)-VLOOKUP(P164,'Thời hạn'!$A$17:$B$23,2,0))&gt;1,"Quá hạn"&amp;" "&amp;(NETWORKDAYS(R164,S164,'Danh sách ngày nghỉ lễ'!$B$5:$B$25)-1-VLOOKUP(P164,'Thời hạn'!$A$17:$B$23,2,0))&amp;" "&amp;"ngày","")))))</f>
        <v/>
      </c>
      <c r="Z164" s="23">
        <v>1</v>
      </c>
    </row>
    <row r="165" spans="1:26" s="24" customFormat="1" ht="15.6" x14ac:dyDescent="0.3">
      <c r="A165" s="24">
        <v>1</v>
      </c>
      <c r="B165" s="39"/>
      <c r="C165" s="33"/>
      <c r="D165" s="25"/>
      <c r="E165" s="25"/>
      <c r="F165" s="34"/>
      <c r="G165" s="34"/>
      <c r="H165" s="25"/>
      <c r="I165" s="70" t="str">
        <f>IF(C165="Trả lại đơn vụ","",IF(C165="Trả lại đơn việc","",IF(C165="Hòa giải thành","",IF(F165=0,"",EDATE(F165,VLOOKUP(C165,'Thời hạn'!$D$1:$E$10,2,0))+H165))))</f>
        <v/>
      </c>
      <c r="J165" s="59" t="str">
        <f t="shared" ca="1" si="2"/>
        <v/>
      </c>
      <c r="K165" s="25"/>
      <c r="L165" s="129"/>
      <c r="M165" s="130"/>
      <c r="N165" s="33"/>
      <c r="O165" s="34"/>
      <c r="P165" s="25"/>
      <c r="Q165" s="25"/>
      <c r="R165" s="34"/>
      <c r="S165" s="34"/>
      <c r="T165" s="137"/>
      <c r="U165" s="137"/>
      <c r="V165" s="36"/>
      <c r="W165" s="37"/>
      <c r="X165" s="71" t="str">
        <f>IF(C165="Trả lại đơn vụ","",IF(C165="Trả lại đơn việc","",IF((NETWORKDAYS(F165,G165,'Danh sách ngày nghỉ lễ'!$B$5:$B$25)-1-3)&gt;0,"Quá hạn"&amp;" "&amp;(NETWORKDAYS(F165,G165,'Danh sách ngày nghỉ lễ'!$B$5:$B$25)-1-3)&amp;" "&amp;"ngày","")))</f>
        <v/>
      </c>
      <c r="Y165" s="72" t="str">
        <f>IF(S165=0,"",IF(P165="Chuyển","",IF(P165="Nhập vào vụ khác","",IF(P165="BA",IF((S165-R165)&gt;10,"Quá hạn"&amp;" "&amp;(S165-R165-10)&amp;" "&amp;"ngày",""),IF((NETWORKDAYS(R165,S165,'Danh sách ngày nghỉ lễ'!$B$5:$B$25)-VLOOKUP(P165,'Thời hạn'!$A$17:$B$23,2,0))&gt;1,"Quá hạn"&amp;" "&amp;(NETWORKDAYS(R165,S165,'Danh sách ngày nghỉ lễ'!$B$5:$B$25)-1-VLOOKUP(P165,'Thời hạn'!$A$17:$B$23,2,0))&amp;" "&amp;"ngày","")))))</f>
        <v/>
      </c>
      <c r="Z165" s="23">
        <v>1</v>
      </c>
    </row>
    <row r="166" spans="1:26" s="24" customFormat="1" ht="15.6" x14ac:dyDescent="0.3">
      <c r="A166" s="24">
        <v>1</v>
      </c>
      <c r="B166" s="39"/>
      <c r="C166" s="33"/>
      <c r="D166" s="25"/>
      <c r="E166" s="25"/>
      <c r="F166" s="34"/>
      <c r="G166" s="34"/>
      <c r="H166" s="25"/>
      <c r="I166" s="70" t="str">
        <f>IF(C166="Trả lại đơn vụ","",IF(C166="Trả lại đơn việc","",IF(C166="Hòa giải thành","",IF(F166=0,"",EDATE(F166,VLOOKUP(C166,'Thời hạn'!$D$1:$E$10,2,0))+H166))))</f>
        <v/>
      </c>
      <c r="J166" s="59" t="str">
        <f t="shared" ca="1" si="2"/>
        <v/>
      </c>
      <c r="K166" s="25"/>
      <c r="L166" s="129"/>
      <c r="M166" s="130"/>
      <c r="N166" s="33"/>
      <c r="O166" s="34"/>
      <c r="P166" s="25"/>
      <c r="Q166" s="25"/>
      <c r="R166" s="34"/>
      <c r="S166" s="34"/>
      <c r="T166" s="137"/>
      <c r="U166" s="137"/>
      <c r="V166" s="36"/>
      <c r="W166" s="37"/>
      <c r="X166" s="71" t="str">
        <f>IF(C166="Trả lại đơn vụ","",IF(C166="Trả lại đơn việc","",IF((NETWORKDAYS(F166,G166,'Danh sách ngày nghỉ lễ'!$B$5:$B$25)-1-3)&gt;0,"Quá hạn"&amp;" "&amp;(NETWORKDAYS(F166,G166,'Danh sách ngày nghỉ lễ'!$B$5:$B$25)-1-3)&amp;" "&amp;"ngày","")))</f>
        <v/>
      </c>
      <c r="Y166" s="72" t="str">
        <f>IF(S166=0,"",IF(P166="Chuyển","",IF(P166="Nhập vào vụ khác","",IF(P166="BA",IF((S166-R166)&gt;10,"Quá hạn"&amp;" "&amp;(S166-R166-10)&amp;" "&amp;"ngày",""),IF((NETWORKDAYS(R166,S166,'Danh sách ngày nghỉ lễ'!$B$5:$B$25)-VLOOKUP(P166,'Thời hạn'!$A$17:$B$23,2,0))&gt;1,"Quá hạn"&amp;" "&amp;(NETWORKDAYS(R166,S166,'Danh sách ngày nghỉ lễ'!$B$5:$B$25)-1-VLOOKUP(P166,'Thời hạn'!$A$17:$B$23,2,0))&amp;" "&amp;"ngày","")))))</f>
        <v/>
      </c>
      <c r="Z166" s="23">
        <v>1</v>
      </c>
    </row>
    <row r="167" spans="1:26" s="24" customFormat="1" ht="15.6" x14ac:dyDescent="0.3">
      <c r="A167" s="24">
        <v>1</v>
      </c>
      <c r="B167" s="39"/>
      <c r="C167" s="33"/>
      <c r="D167" s="25"/>
      <c r="E167" s="25"/>
      <c r="F167" s="34"/>
      <c r="G167" s="34"/>
      <c r="H167" s="25"/>
      <c r="I167" s="70" t="str">
        <f>IF(C167="Trả lại đơn vụ","",IF(C167="Trả lại đơn việc","",IF(C167="Hòa giải thành","",IF(F167=0,"",EDATE(F167,VLOOKUP(C167,'Thời hạn'!$D$1:$E$10,2,0))+H167))))</f>
        <v/>
      </c>
      <c r="J167" s="59" t="str">
        <f t="shared" ca="1" si="2"/>
        <v/>
      </c>
      <c r="K167" s="25"/>
      <c r="L167" s="129"/>
      <c r="M167" s="130"/>
      <c r="N167" s="33"/>
      <c r="O167" s="34"/>
      <c r="P167" s="25"/>
      <c r="Q167" s="25"/>
      <c r="R167" s="34"/>
      <c r="S167" s="34"/>
      <c r="T167" s="137"/>
      <c r="U167" s="137"/>
      <c r="V167" s="36"/>
      <c r="W167" s="37"/>
      <c r="X167" s="71" t="str">
        <f>IF(C167="Trả lại đơn vụ","",IF(C167="Trả lại đơn việc","",IF((NETWORKDAYS(F167,G167,'Danh sách ngày nghỉ lễ'!$B$5:$B$25)-1-3)&gt;0,"Quá hạn"&amp;" "&amp;(NETWORKDAYS(F167,G167,'Danh sách ngày nghỉ lễ'!$B$5:$B$25)-1-3)&amp;" "&amp;"ngày","")))</f>
        <v/>
      </c>
      <c r="Y167" s="72" t="str">
        <f>IF(S167=0,"",IF(P167="Chuyển","",IF(P167="Nhập vào vụ khác","",IF(P167="BA",IF((S167-R167)&gt;10,"Quá hạn"&amp;" "&amp;(S167-R167-10)&amp;" "&amp;"ngày",""),IF((NETWORKDAYS(R167,S167,'Danh sách ngày nghỉ lễ'!$B$5:$B$25)-VLOOKUP(P167,'Thời hạn'!$A$17:$B$23,2,0))&gt;1,"Quá hạn"&amp;" "&amp;(NETWORKDAYS(R167,S167,'Danh sách ngày nghỉ lễ'!$B$5:$B$25)-1-VLOOKUP(P167,'Thời hạn'!$A$17:$B$23,2,0))&amp;" "&amp;"ngày","")))))</f>
        <v/>
      </c>
      <c r="Z167" s="23">
        <v>1</v>
      </c>
    </row>
    <row r="168" spans="1:26" s="24" customFormat="1" ht="15.6" x14ac:dyDescent="0.3">
      <c r="A168" s="24">
        <v>1</v>
      </c>
      <c r="B168" s="39"/>
      <c r="C168" s="33"/>
      <c r="D168" s="25"/>
      <c r="E168" s="25"/>
      <c r="F168" s="34"/>
      <c r="G168" s="34"/>
      <c r="H168" s="25"/>
      <c r="I168" s="70" t="str">
        <f>IF(C168="Trả lại đơn vụ","",IF(C168="Trả lại đơn việc","",IF(C168="Hòa giải thành","",IF(F168=0,"",EDATE(F168,VLOOKUP(C168,'Thời hạn'!$D$1:$E$10,2,0))+H168))))</f>
        <v/>
      </c>
      <c r="J168" s="59" t="str">
        <f t="shared" ca="1" si="2"/>
        <v/>
      </c>
      <c r="K168" s="25"/>
      <c r="L168" s="129"/>
      <c r="M168" s="130"/>
      <c r="N168" s="33"/>
      <c r="O168" s="34"/>
      <c r="P168" s="25"/>
      <c r="Q168" s="25"/>
      <c r="R168" s="34"/>
      <c r="S168" s="34"/>
      <c r="T168" s="137"/>
      <c r="U168" s="137"/>
      <c r="V168" s="36"/>
      <c r="W168" s="37"/>
      <c r="X168" s="71" t="str">
        <f>IF(C168="Trả lại đơn vụ","",IF(C168="Trả lại đơn việc","",IF((NETWORKDAYS(F168,G168,'Danh sách ngày nghỉ lễ'!$B$5:$B$25)-1-3)&gt;0,"Quá hạn"&amp;" "&amp;(NETWORKDAYS(F168,G168,'Danh sách ngày nghỉ lễ'!$B$5:$B$25)-1-3)&amp;" "&amp;"ngày","")))</f>
        <v/>
      </c>
      <c r="Y168" s="72" t="str">
        <f>IF(S168=0,"",IF(P168="Chuyển","",IF(P168="Nhập vào vụ khác","",IF(P168="BA",IF((S168-R168)&gt;10,"Quá hạn"&amp;" "&amp;(S168-R168-10)&amp;" "&amp;"ngày",""),IF((NETWORKDAYS(R168,S168,'Danh sách ngày nghỉ lễ'!$B$5:$B$25)-VLOOKUP(P168,'Thời hạn'!$A$17:$B$23,2,0))&gt;1,"Quá hạn"&amp;" "&amp;(NETWORKDAYS(R168,S168,'Danh sách ngày nghỉ lễ'!$B$5:$B$25)-1-VLOOKUP(P168,'Thời hạn'!$A$17:$B$23,2,0))&amp;" "&amp;"ngày","")))))</f>
        <v/>
      </c>
      <c r="Z168" s="23">
        <v>1</v>
      </c>
    </row>
    <row r="169" spans="1:26" s="24" customFormat="1" ht="15.6" x14ac:dyDescent="0.3">
      <c r="A169" s="24">
        <v>1</v>
      </c>
      <c r="B169" s="39"/>
      <c r="C169" s="33"/>
      <c r="D169" s="25"/>
      <c r="E169" s="25"/>
      <c r="F169" s="34"/>
      <c r="G169" s="34"/>
      <c r="H169" s="25"/>
      <c r="I169" s="70" t="str">
        <f>IF(C169="Trả lại đơn vụ","",IF(C169="Trả lại đơn việc","",IF(C169="Hòa giải thành","",IF(F169=0,"",EDATE(F169,VLOOKUP(C169,'Thời hạn'!$D$1:$E$10,2,0))+H169))))</f>
        <v/>
      </c>
      <c r="J169" s="59" t="str">
        <f t="shared" ca="1" si="2"/>
        <v/>
      </c>
      <c r="K169" s="25"/>
      <c r="L169" s="129"/>
      <c r="M169" s="130"/>
      <c r="N169" s="33"/>
      <c r="O169" s="34"/>
      <c r="P169" s="25"/>
      <c r="Q169" s="25"/>
      <c r="R169" s="34"/>
      <c r="S169" s="34"/>
      <c r="T169" s="137"/>
      <c r="U169" s="137"/>
      <c r="V169" s="36"/>
      <c r="W169" s="37"/>
      <c r="X169" s="71" t="str">
        <f>IF(C169="Trả lại đơn vụ","",IF(C169="Trả lại đơn việc","",IF((NETWORKDAYS(F169,G169,'Danh sách ngày nghỉ lễ'!$B$5:$B$25)-1-3)&gt;0,"Quá hạn"&amp;" "&amp;(NETWORKDAYS(F169,G169,'Danh sách ngày nghỉ lễ'!$B$5:$B$25)-1-3)&amp;" "&amp;"ngày","")))</f>
        <v/>
      </c>
      <c r="Y169" s="72" t="str">
        <f>IF(S169=0,"",IF(P169="Chuyển","",IF(P169="Nhập vào vụ khác","",IF(P169="BA",IF((S169-R169)&gt;10,"Quá hạn"&amp;" "&amp;(S169-R169-10)&amp;" "&amp;"ngày",""),IF((NETWORKDAYS(R169,S169,'Danh sách ngày nghỉ lễ'!$B$5:$B$25)-VLOOKUP(P169,'Thời hạn'!$A$17:$B$23,2,0))&gt;1,"Quá hạn"&amp;" "&amp;(NETWORKDAYS(R169,S169,'Danh sách ngày nghỉ lễ'!$B$5:$B$25)-1-VLOOKUP(P169,'Thời hạn'!$A$17:$B$23,2,0))&amp;" "&amp;"ngày","")))))</f>
        <v/>
      </c>
      <c r="Z169" s="23">
        <v>1</v>
      </c>
    </row>
    <row r="170" spans="1:26" s="24" customFormat="1" ht="15.6" x14ac:dyDescent="0.3">
      <c r="A170" s="24">
        <v>1</v>
      </c>
      <c r="B170" s="39"/>
      <c r="C170" s="33"/>
      <c r="D170" s="25"/>
      <c r="E170" s="25"/>
      <c r="F170" s="34"/>
      <c r="G170" s="34"/>
      <c r="H170" s="25"/>
      <c r="I170" s="70" t="str">
        <f>IF(C170="Trả lại đơn vụ","",IF(C170="Trả lại đơn việc","",IF(C170="Hòa giải thành","",IF(F170=0,"",EDATE(F170,VLOOKUP(C170,'Thời hạn'!$D$1:$E$10,2,0))+H170))))</f>
        <v/>
      </c>
      <c r="J170" s="59" t="str">
        <f t="shared" ca="1" si="2"/>
        <v/>
      </c>
      <c r="K170" s="25"/>
      <c r="L170" s="129"/>
      <c r="M170" s="130"/>
      <c r="N170" s="33"/>
      <c r="O170" s="34"/>
      <c r="P170" s="25"/>
      <c r="Q170" s="25"/>
      <c r="R170" s="34"/>
      <c r="S170" s="34"/>
      <c r="T170" s="137"/>
      <c r="U170" s="137"/>
      <c r="V170" s="36"/>
      <c r="W170" s="37"/>
      <c r="X170" s="71" t="str">
        <f>IF(C170="Trả lại đơn vụ","",IF(C170="Trả lại đơn việc","",IF((NETWORKDAYS(F170,G170,'Danh sách ngày nghỉ lễ'!$B$5:$B$25)-1-3)&gt;0,"Quá hạn"&amp;" "&amp;(NETWORKDAYS(F170,G170,'Danh sách ngày nghỉ lễ'!$B$5:$B$25)-1-3)&amp;" "&amp;"ngày","")))</f>
        <v/>
      </c>
      <c r="Y170" s="72" t="str">
        <f>IF(S170=0,"",IF(P170="Chuyển","",IF(P170="Nhập vào vụ khác","",IF(P170="BA",IF((S170-R170)&gt;10,"Quá hạn"&amp;" "&amp;(S170-R170-10)&amp;" "&amp;"ngày",""),IF((NETWORKDAYS(R170,S170,'Danh sách ngày nghỉ lễ'!$B$5:$B$25)-VLOOKUP(P170,'Thời hạn'!$A$17:$B$23,2,0))&gt;1,"Quá hạn"&amp;" "&amp;(NETWORKDAYS(R170,S170,'Danh sách ngày nghỉ lễ'!$B$5:$B$25)-1-VLOOKUP(P170,'Thời hạn'!$A$17:$B$23,2,0))&amp;" "&amp;"ngày","")))))</f>
        <v/>
      </c>
      <c r="Z170" s="23">
        <v>1</v>
      </c>
    </row>
    <row r="171" spans="1:26" s="24" customFormat="1" ht="15.6" x14ac:dyDescent="0.3">
      <c r="A171" s="24">
        <v>1</v>
      </c>
      <c r="B171" s="39"/>
      <c r="C171" s="33"/>
      <c r="D171" s="25"/>
      <c r="E171" s="25"/>
      <c r="F171" s="34"/>
      <c r="G171" s="34"/>
      <c r="H171" s="25"/>
      <c r="I171" s="70" t="str">
        <f>IF(C171="Trả lại đơn vụ","",IF(C171="Trả lại đơn việc","",IF(C171="Hòa giải thành","",IF(F171=0,"",EDATE(F171,VLOOKUP(C171,'Thời hạn'!$D$1:$E$10,2,0))+H171))))</f>
        <v/>
      </c>
      <c r="J171" s="59" t="str">
        <f t="shared" ca="1" si="2"/>
        <v/>
      </c>
      <c r="K171" s="25"/>
      <c r="L171" s="129"/>
      <c r="M171" s="130"/>
      <c r="N171" s="33"/>
      <c r="O171" s="34"/>
      <c r="P171" s="25"/>
      <c r="Q171" s="25"/>
      <c r="R171" s="34"/>
      <c r="S171" s="34"/>
      <c r="T171" s="137"/>
      <c r="U171" s="137"/>
      <c r="V171" s="36"/>
      <c r="W171" s="37"/>
      <c r="X171" s="71" t="str">
        <f>IF(C171="Trả lại đơn vụ","",IF(C171="Trả lại đơn việc","",IF((NETWORKDAYS(F171,G171,'Danh sách ngày nghỉ lễ'!$B$5:$B$25)-1-3)&gt;0,"Quá hạn"&amp;" "&amp;(NETWORKDAYS(F171,G171,'Danh sách ngày nghỉ lễ'!$B$5:$B$25)-1-3)&amp;" "&amp;"ngày","")))</f>
        <v/>
      </c>
      <c r="Y171" s="72" t="str">
        <f>IF(S171=0,"",IF(P171="Chuyển","",IF(P171="Nhập vào vụ khác","",IF(P171="BA",IF((S171-R171)&gt;10,"Quá hạn"&amp;" "&amp;(S171-R171-10)&amp;" "&amp;"ngày",""),IF((NETWORKDAYS(R171,S171,'Danh sách ngày nghỉ lễ'!$B$5:$B$25)-VLOOKUP(P171,'Thời hạn'!$A$17:$B$23,2,0))&gt;1,"Quá hạn"&amp;" "&amp;(NETWORKDAYS(R171,S171,'Danh sách ngày nghỉ lễ'!$B$5:$B$25)-1-VLOOKUP(P171,'Thời hạn'!$A$17:$B$23,2,0))&amp;" "&amp;"ngày","")))))</f>
        <v/>
      </c>
      <c r="Z171" s="23">
        <v>1</v>
      </c>
    </row>
    <row r="172" spans="1:26" s="24" customFormat="1" ht="15.6" x14ac:dyDescent="0.3">
      <c r="A172" s="24">
        <v>1</v>
      </c>
      <c r="B172" s="39"/>
      <c r="C172" s="33"/>
      <c r="D172" s="25"/>
      <c r="E172" s="25"/>
      <c r="F172" s="34"/>
      <c r="G172" s="34"/>
      <c r="H172" s="25"/>
      <c r="I172" s="70" t="str">
        <f>IF(C172="Trả lại đơn vụ","",IF(C172="Trả lại đơn việc","",IF(C172="Hòa giải thành","",IF(F172=0,"",EDATE(F172,VLOOKUP(C172,'Thời hạn'!$D$1:$E$10,2,0))+H172))))</f>
        <v/>
      </c>
      <c r="J172" s="59" t="str">
        <f t="shared" ca="1" si="2"/>
        <v/>
      </c>
      <c r="K172" s="25"/>
      <c r="L172" s="129"/>
      <c r="M172" s="130"/>
      <c r="N172" s="33"/>
      <c r="O172" s="34"/>
      <c r="P172" s="25"/>
      <c r="Q172" s="25"/>
      <c r="R172" s="34"/>
      <c r="S172" s="34"/>
      <c r="T172" s="137"/>
      <c r="U172" s="137"/>
      <c r="V172" s="36"/>
      <c r="W172" s="37"/>
      <c r="X172" s="71" t="str">
        <f>IF(C172="Trả lại đơn vụ","",IF(C172="Trả lại đơn việc","",IF((NETWORKDAYS(F172,G172,'Danh sách ngày nghỉ lễ'!$B$5:$B$25)-1-3)&gt;0,"Quá hạn"&amp;" "&amp;(NETWORKDAYS(F172,G172,'Danh sách ngày nghỉ lễ'!$B$5:$B$25)-1-3)&amp;" "&amp;"ngày","")))</f>
        <v/>
      </c>
      <c r="Y172" s="72" t="str">
        <f>IF(S172=0,"",IF(P172="Chuyển","",IF(P172="Nhập vào vụ khác","",IF(P172="BA",IF((S172-R172)&gt;10,"Quá hạn"&amp;" "&amp;(S172-R172-10)&amp;" "&amp;"ngày",""),IF((NETWORKDAYS(R172,S172,'Danh sách ngày nghỉ lễ'!$B$5:$B$25)-VLOOKUP(P172,'Thời hạn'!$A$17:$B$23,2,0))&gt;1,"Quá hạn"&amp;" "&amp;(NETWORKDAYS(R172,S172,'Danh sách ngày nghỉ lễ'!$B$5:$B$25)-1-VLOOKUP(P172,'Thời hạn'!$A$17:$B$23,2,0))&amp;" "&amp;"ngày","")))))</f>
        <v/>
      </c>
      <c r="Z172" s="23">
        <v>1</v>
      </c>
    </row>
    <row r="173" spans="1:26" s="24" customFormat="1" ht="15.6" x14ac:dyDescent="0.3">
      <c r="A173" s="24">
        <v>1</v>
      </c>
      <c r="B173" s="39"/>
      <c r="C173" s="33"/>
      <c r="D173" s="25"/>
      <c r="E173" s="25"/>
      <c r="F173" s="34"/>
      <c r="G173" s="34"/>
      <c r="H173" s="25"/>
      <c r="I173" s="70" t="str">
        <f>IF(C173="Trả lại đơn vụ","",IF(C173="Trả lại đơn việc","",IF(C173="Hòa giải thành","",IF(F173=0,"",EDATE(F173,VLOOKUP(C173,'Thời hạn'!$D$1:$E$10,2,0))+H173))))</f>
        <v/>
      </c>
      <c r="J173" s="59" t="str">
        <f t="shared" ca="1" si="2"/>
        <v/>
      </c>
      <c r="K173" s="25"/>
      <c r="L173" s="129"/>
      <c r="M173" s="130"/>
      <c r="N173" s="33"/>
      <c r="O173" s="34"/>
      <c r="P173" s="25"/>
      <c r="Q173" s="25"/>
      <c r="R173" s="34"/>
      <c r="S173" s="34"/>
      <c r="T173" s="137"/>
      <c r="U173" s="137"/>
      <c r="V173" s="36"/>
      <c r="W173" s="37"/>
      <c r="X173" s="71" t="str">
        <f>IF(C173="Trả lại đơn vụ","",IF(C173="Trả lại đơn việc","",IF((NETWORKDAYS(F173,G173,'Danh sách ngày nghỉ lễ'!$B$5:$B$25)-1-3)&gt;0,"Quá hạn"&amp;" "&amp;(NETWORKDAYS(F173,G173,'Danh sách ngày nghỉ lễ'!$B$5:$B$25)-1-3)&amp;" "&amp;"ngày","")))</f>
        <v/>
      </c>
      <c r="Y173" s="72" t="str">
        <f>IF(S173=0,"",IF(P173="Chuyển","",IF(P173="Nhập vào vụ khác","",IF(P173="BA",IF((S173-R173)&gt;10,"Quá hạn"&amp;" "&amp;(S173-R173-10)&amp;" "&amp;"ngày",""),IF((NETWORKDAYS(R173,S173,'Danh sách ngày nghỉ lễ'!$B$5:$B$25)-VLOOKUP(P173,'Thời hạn'!$A$17:$B$23,2,0))&gt;1,"Quá hạn"&amp;" "&amp;(NETWORKDAYS(R173,S173,'Danh sách ngày nghỉ lễ'!$B$5:$B$25)-1-VLOOKUP(P173,'Thời hạn'!$A$17:$B$23,2,0))&amp;" "&amp;"ngày","")))))</f>
        <v/>
      </c>
      <c r="Z173" s="23">
        <v>1</v>
      </c>
    </row>
    <row r="174" spans="1:26" s="24" customFormat="1" ht="15.6" x14ac:dyDescent="0.3">
      <c r="A174" s="24">
        <v>1</v>
      </c>
      <c r="B174" s="39"/>
      <c r="C174" s="33"/>
      <c r="D174" s="25"/>
      <c r="E174" s="25"/>
      <c r="F174" s="34"/>
      <c r="G174" s="34"/>
      <c r="H174" s="25"/>
      <c r="I174" s="70" t="str">
        <f>IF(C174="Trả lại đơn vụ","",IF(C174="Trả lại đơn việc","",IF(C174="Hòa giải thành","",IF(F174=0,"",EDATE(F174,VLOOKUP(C174,'Thời hạn'!$D$1:$E$10,2,0))+H174))))</f>
        <v/>
      </c>
      <c r="J174" s="59" t="str">
        <f t="shared" ca="1" si="2"/>
        <v/>
      </c>
      <c r="K174" s="25"/>
      <c r="L174" s="129"/>
      <c r="M174" s="130"/>
      <c r="N174" s="33"/>
      <c r="O174" s="34"/>
      <c r="P174" s="25"/>
      <c r="Q174" s="25"/>
      <c r="R174" s="34"/>
      <c r="S174" s="34"/>
      <c r="T174" s="137"/>
      <c r="U174" s="137"/>
      <c r="V174" s="36"/>
      <c r="W174" s="37"/>
      <c r="X174" s="71" t="str">
        <f>IF(C174="Trả lại đơn vụ","",IF(C174="Trả lại đơn việc","",IF((NETWORKDAYS(F174,G174,'Danh sách ngày nghỉ lễ'!$B$5:$B$25)-1-3)&gt;0,"Quá hạn"&amp;" "&amp;(NETWORKDAYS(F174,G174,'Danh sách ngày nghỉ lễ'!$B$5:$B$25)-1-3)&amp;" "&amp;"ngày","")))</f>
        <v/>
      </c>
      <c r="Y174" s="72" t="str">
        <f>IF(S174=0,"",IF(P174="Chuyển","",IF(P174="Nhập vào vụ khác","",IF(P174="BA",IF((S174-R174)&gt;10,"Quá hạn"&amp;" "&amp;(S174-R174-10)&amp;" "&amp;"ngày",""),IF((NETWORKDAYS(R174,S174,'Danh sách ngày nghỉ lễ'!$B$5:$B$25)-VLOOKUP(P174,'Thời hạn'!$A$17:$B$23,2,0))&gt;1,"Quá hạn"&amp;" "&amp;(NETWORKDAYS(R174,S174,'Danh sách ngày nghỉ lễ'!$B$5:$B$25)-1-VLOOKUP(P174,'Thời hạn'!$A$17:$B$23,2,0))&amp;" "&amp;"ngày","")))))</f>
        <v/>
      </c>
      <c r="Z174" s="23">
        <v>1</v>
      </c>
    </row>
    <row r="175" spans="1:26" s="24" customFormat="1" ht="15.6" x14ac:dyDescent="0.3">
      <c r="A175" s="24">
        <v>1</v>
      </c>
      <c r="B175" s="39"/>
      <c r="C175" s="33"/>
      <c r="D175" s="25"/>
      <c r="E175" s="25"/>
      <c r="F175" s="34"/>
      <c r="G175" s="34"/>
      <c r="H175" s="25"/>
      <c r="I175" s="70" t="str">
        <f>IF(C175="Trả lại đơn vụ","",IF(C175="Trả lại đơn việc","",IF(C175="Hòa giải thành","",IF(F175=0,"",EDATE(F175,VLOOKUP(C175,'Thời hạn'!$D$1:$E$10,2,0))+H175))))</f>
        <v/>
      </c>
      <c r="J175" s="59" t="str">
        <f t="shared" ca="1" si="2"/>
        <v/>
      </c>
      <c r="K175" s="25"/>
      <c r="L175" s="129"/>
      <c r="M175" s="130"/>
      <c r="N175" s="33"/>
      <c r="O175" s="34"/>
      <c r="P175" s="25"/>
      <c r="Q175" s="25"/>
      <c r="R175" s="34"/>
      <c r="S175" s="34"/>
      <c r="T175" s="137"/>
      <c r="U175" s="137"/>
      <c r="V175" s="36"/>
      <c r="W175" s="37"/>
      <c r="X175" s="71" t="str">
        <f>IF(C175="Trả lại đơn vụ","",IF(C175="Trả lại đơn việc","",IF((NETWORKDAYS(F175,G175,'Danh sách ngày nghỉ lễ'!$B$5:$B$25)-1-3)&gt;0,"Quá hạn"&amp;" "&amp;(NETWORKDAYS(F175,G175,'Danh sách ngày nghỉ lễ'!$B$5:$B$25)-1-3)&amp;" "&amp;"ngày","")))</f>
        <v/>
      </c>
      <c r="Y175" s="72" t="str">
        <f>IF(S175=0,"",IF(P175="Chuyển","",IF(P175="Nhập vào vụ khác","",IF(P175="BA",IF((S175-R175)&gt;10,"Quá hạn"&amp;" "&amp;(S175-R175-10)&amp;" "&amp;"ngày",""),IF((NETWORKDAYS(R175,S175,'Danh sách ngày nghỉ lễ'!$B$5:$B$25)-VLOOKUP(P175,'Thời hạn'!$A$17:$B$23,2,0))&gt;1,"Quá hạn"&amp;" "&amp;(NETWORKDAYS(R175,S175,'Danh sách ngày nghỉ lễ'!$B$5:$B$25)-1-VLOOKUP(P175,'Thời hạn'!$A$17:$B$23,2,0))&amp;" "&amp;"ngày","")))))</f>
        <v/>
      </c>
      <c r="Z175" s="23">
        <v>1</v>
      </c>
    </row>
    <row r="176" spans="1:26" s="24" customFormat="1" ht="15.6" x14ac:dyDescent="0.3">
      <c r="A176" s="24">
        <v>1</v>
      </c>
      <c r="B176" s="39"/>
      <c r="C176" s="33"/>
      <c r="D176" s="25"/>
      <c r="E176" s="25"/>
      <c r="F176" s="34"/>
      <c r="G176" s="34"/>
      <c r="H176" s="25"/>
      <c r="I176" s="70" t="str">
        <f>IF(C176="Trả lại đơn vụ","",IF(C176="Trả lại đơn việc","",IF(C176="Hòa giải thành","",IF(F176=0,"",EDATE(F176,VLOOKUP(C176,'Thời hạn'!$D$1:$E$10,2,0))+H176))))</f>
        <v/>
      </c>
      <c r="J176" s="59" t="str">
        <f t="shared" ca="1" si="2"/>
        <v/>
      </c>
      <c r="K176" s="25"/>
      <c r="L176" s="129"/>
      <c r="M176" s="130"/>
      <c r="N176" s="33"/>
      <c r="O176" s="34"/>
      <c r="P176" s="25"/>
      <c r="Q176" s="25"/>
      <c r="R176" s="34"/>
      <c r="S176" s="34"/>
      <c r="T176" s="137"/>
      <c r="U176" s="137"/>
      <c r="V176" s="36"/>
      <c r="W176" s="37"/>
      <c r="X176" s="71" t="str">
        <f>IF(C176="Trả lại đơn vụ","",IF(C176="Trả lại đơn việc","",IF((NETWORKDAYS(F176,G176,'Danh sách ngày nghỉ lễ'!$B$5:$B$25)-1-3)&gt;0,"Quá hạn"&amp;" "&amp;(NETWORKDAYS(F176,G176,'Danh sách ngày nghỉ lễ'!$B$5:$B$25)-1-3)&amp;" "&amp;"ngày","")))</f>
        <v/>
      </c>
      <c r="Y176" s="72" t="str">
        <f>IF(S176=0,"",IF(P176="Chuyển","",IF(P176="Nhập vào vụ khác","",IF(P176="BA",IF((S176-R176)&gt;10,"Quá hạn"&amp;" "&amp;(S176-R176-10)&amp;" "&amp;"ngày",""),IF((NETWORKDAYS(R176,S176,'Danh sách ngày nghỉ lễ'!$B$5:$B$25)-VLOOKUP(P176,'Thời hạn'!$A$17:$B$23,2,0))&gt;1,"Quá hạn"&amp;" "&amp;(NETWORKDAYS(R176,S176,'Danh sách ngày nghỉ lễ'!$B$5:$B$25)-1-VLOOKUP(P176,'Thời hạn'!$A$17:$B$23,2,0))&amp;" "&amp;"ngày","")))))</f>
        <v/>
      </c>
      <c r="Z176" s="23">
        <v>1</v>
      </c>
    </row>
    <row r="177" spans="1:26" s="24" customFormat="1" ht="15.6" x14ac:dyDescent="0.3">
      <c r="A177" s="24">
        <v>1</v>
      </c>
      <c r="B177" s="39"/>
      <c r="C177" s="33"/>
      <c r="D177" s="25"/>
      <c r="E177" s="25"/>
      <c r="F177" s="34"/>
      <c r="G177" s="34"/>
      <c r="H177" s="25"/>
      <c r="I177" s="70" t="str">
        <f>IF(C177="Trả lại đơn vụ","",IF(C177="Trả lại đơn việc","",IF(C177="Hòa giải thành","",IF(F177=0,"",EDATE(F177,VLOOKUP(C177,'Thời hạn'!$D$1:$E$10,2,0))+H177))))</f>
        <v/>
      </c>
      <c r="J177" s="59" t="str">
        <f t="shared" ca="1" si="2"/>
        <v/>
      </c>
      <c r="K177" s="25"/>
      <c r="L177" s="129"/>
      <c r="M177" s="130"/>
      <c r="N177" s="33"/>
      <c r="O177" s="34"/>
      <c r="P177" s="25"/>
      <c r="Q177" s="25"/>
      <c r="R177" s="34"/>
      <c r="S177" s="34"/>
      <c r="T177" s="137"/>
      <c r="U177" s="137"/>
      <c r="V177" s="36"/>
      <c r="W177" s="37"/>
      <c r="X177" s="71" t="str">
        <f>IF(C177="Trả lại đơn vụ","",IF(C177="Trả lại đơn việc","",IF((NETWORKDAYS(F177,G177,'Danh sách ngày nghỉ lễ'!$B$5:$B$25)-1-3)&gt;0,"Quá hạn"&amp;" "&amp;(NETWORKDAYS(F177,G177,'Danh sách ngày nghỉ lễ'!$B$5:$B$25)-1-3)&amp;" "&amp;"ngày","")))</f>
        <v/>
      </c>
      <c r="Y177" s="72" t="str">
        <f>IF(S177=0,"",IF(P177="Chuyển","",IF(P177="Nhập vào vụ khác","",IF(P177="BA",IF((S177-R177)&gt;10,"Quá hạn"&amp;" "&amp;(S177-R177-10)&amp;" "&amp;"ngày",""),IF((NETWORKDAYS(R177,S177,'Danh sách ngày nghỉ lễ'!$B$5:$B$25)-VLOOKUP(P177,'Thời hạn'!$A$17:$B$23,2,0))&gt;1,"Quá hạn"&amp;" "&amp;(NETWORKDAYS(R177,S177,'Danh sách ngày nghỉ lễ'!$B$5:$B$25)-1-VLOOKUP(P177,'Thời hạn'!$A$17:$B$23,2,0))&amp;" "&amp;"ngày","")))))</f>
        <v/>
      </c>
      <c r="Z177" s="23">
        <v>1</v>
      </c>
    </row>
    <row r="178" spans="1:26" s="24" customFormat="1" ht="15.6" x14ac:dyDescent="0.3">
      <c r="A178" s="24">
        <v>1</v>
      </c>
      <c r="B178" s="39"/>
      <c r="C178" s="33"/>
      <c r="D178" s="25"/>
      <c r="E178" s="25"/>
      <c r="F178" s="34"/>
      <c r="G178" s="34"/>
      <c r="H178" s="25"/>
      <c r="I178" s="70" t="str">
        <f>IF(C178="Trả lại đơn vụ","",IF(C178="Trả lại đơn việc","",IF(C178="Hòa giải thành","",IF(F178=0,"",EDATE(F178,VLOOKUP(C178,'Thời hạn'!$D$1:$E$10,2,0))+H178))))</f>
        <v/>
      </c>
      <c r="J178" s="59" t="str">
        <f t="shared" ca="1" si="2"/>
        <v/>
      </c>
      <c r="K178" s="25"/>
      <c r="L178" s="129"/>
      <c r="M178" s="130"/>
      <c r="N178" s="33"/>
      <c r="O178" s="34"/>
      <c r="P178" s="25"/>
      <c r="Q178" s="25"/>
      <c r="R178" s="34"/>
      <c r="S178" s="34"/>
      <c r="T178" s="137"/>
      <c r="U178" s="137"/>
      <c r="V178" s="36"/>
      <c r="W178" s="37"/>
      <c r="X178" s="71" t="str">
        <f>IF(C178="Trả lại đơn vụ","",IF(C178="Trả lại đơn việc","",IF((NETWORKDAYS(F178,G178,'Danh sách ngày nghỉ lễ'!$B$5:$B$25)-1-3)&gt;0,"Quá hạn"&amp;" "&amp;(NETWORKDAYS(F178,G178,'Danh sách ngày nghỉ lễ'!$B$5:$B$25)-1-3)&amp;" "&amp;"ngày","")))</f>
        <v/>
      </c>
      <c r="Y178" s="72" t="str">
        <f>IF(S178=0,"",IF(P178="Chuyển","",IF(P178="Nhập vào vụ khác","",IF(P178="BA",IF((S178-R178)&gt;10,"Quá hạn"&amp;" "&amp;(S178-R178-10)&amp;" "&amp;"ngày",""),IF((NETWORKDAYS(R178,S178,'Danh sách ngày nghỉ lễ'!$B$5:$B$25)-VLOOKUP(P178,'Thời hạn'!$A$17:$B$23,2,0))&gt;1,"Quá hạn"&amp;" "&amp;(NETWORKDAYS(R178,S178,'Danh sách ngày nghỉ lễ'!$B$5:$B$25)-1-VLOOKUP(P178,'Thời hạn'!$A$17:$B$23,2,0))&amp;" "&amp;"ngày","")))))</f>
        <v/>
      </c>
      <c r="Z178" s="23">
        <v>1</v>
      </c>
    </row>
    <row r="179" spans="1:26" s="24" customFormat="1" ht="15.6" x14ac:dyDescent="0.3">
      <c r="A179" s="24">
        <v>1</v>
      </c>
      <c r="B179" s="39"/>
      <c r="C179" s="33"/>
      <c r="D179" s="25"/>
      <c r="E179" s="25"/>
      <c r="F179" s="34"/>
      <c r="G179" s="34"/>
      <c r="H179" s="25"/>
      <c r="I179" s="70" t="str">
        <f>IF(C179="Trả lại đơn vụ","",IF(C179="Trả lại đơn việc","",IF(C179="Hòa giải thành","",IF(F179=0,"",EDATE(F179,VLOOKUP(C179,'Thời hạn'!$D$1:$E$10,2,0))+H179))))</f>
        <v/>
      </c>
      <c r="J179" s="59" t="str">
        <f t="shared" ca="1" si="2"/>
        <v/>
      </c>
      <c r="K179" s="25"/>
      <c r="L179" s="129"/>
      <c r="M179" s="130"/>
      <c r="N179" s="33"/>
      <c r="O179" s="34"/>
      <c r="P179" s="25"/>
      <c r="Q179" s="25"/>
      <c r="R179" s="34"/>
      <c r="S179" s="34"/>
      <c r="T179" s="137"/>
      <c r="U179" s="137"/>
      <c r="V179" s="36"/>
      <c r="W179" s="37"/>
      <c r="X179" s="71" t="str">
        <f>IF(C179="Trả lại đơn vụ","",IF(C179="Trả lại đơn việc","",IF((NETWORKDAYS(F179,G179,'Danh sách ngày nghỉ lễ'!$B$5:$B$25)-1-3)&gt;0,"Quá hạn"&amp;" "&amp;(NETWORKDAYS(F179,G179,'Danh sách ngày nghỉ lễ'!$B$5:$B$25)-1-3)&amp;" "&amp;"ngày","")))</f>
        <v/>
      </c>
      <c r="Y179" s="72" t="str">
        <f>IF(S179=0,"",IF(P179="Chuyển","",IF(P179="Nhập vào vụ khác","",IF(P179="BA",IF((S179-R179)&gt;10,"Quá hạn"&amp;" "&amp;(S179-R179-10)&amp;" "&amp;"ngày",""),IF((NETWORKDAYS(R179,S179,'Danh sách ngày nghỉ lễ'!$B$5:$B$25)-VLOOKUP(P179,'Thời hạn'!$A$17:$B$23,2,0))&gt;1,"Quá hạn"&amp;" "&amp;(NETWORKDAYS(R179,S179,'Danh sách ngày nghỉ lễ'!$B$5:$B$25)-1-VLOOKUP(P179,'Thời hạn'!$A$17:$B$23,2,0))&amp;" "&amp;"ngày","")))))</f>
        <v/>
      </c>
      <c r="Z179" s="23">
        <v>1</v>
      </c>
    </row>
    <row r="180" spans="1:26" s="24" customFormat="1" ht="15.6" x14ac:dyDescent="0.3">
      <c r="A180" s="24">
        <v>1</v>
      </c>
      <c r="B180" s="39"/>
      <c r="C180" s="33"/>
      <c r="D180" s="25"/>
      <c r="E180" s="25"/>
      <c r="F180" s="34"/>
      <c r="G180" s="34"/>
      <c r="H180" s="25"/>
      <c r="I180" s="70" t="str">
        <f>IF(C180="Trả lại đơn vụ","",IF(C180="Trả lại đơn việc","",IF(C180="Hòa giải thành","",IF(F180=0,"",EDATE(F180,VLOOKUP(C180,'Thời hạn'!$D$1:$E$10,2,0))+H180))))</f>
        <v/>
      </c>
      <c r="J180" s="59" t="str">
        <f t="shared" ca="1" si="2"/>
        <v/>
      </c>
      <c r="K180" s="25"/>
      <c r="L180" s="129"/>
      <c r="M180" s="130"/>
      <c r="N180" s="33"/>
      <c r="O180" s="34"/>
      <c r="P180" s="25"/>
      <c r="Q180" s="25"/>
      <c r="R180" s="34"/>
      <c r="S180" s="34"/>
      <c r="T180" s="137"/>
      <c r="U180" s="137"/>
      <c r="V180" s="36"/>
      <c r="W180" s="37"/>
      <c r="X180" s="71" t="str">
        <f>IF(C180="Trả lại đơn vụ","",IF(C180="Trả lại đơn việc","",IF((NETWORKDAYS(F180,G180,'Danh sách ngày nghỉ lễ'!$B$5:$B$25)-1-3)&gt;0,"Quá hạn"&amp;" "&amp;(NETWORKDAYS(F180,G180,'Danh sách ngày nghỉ lễ'!$B$5:$B$25)-1-3)&amp;" "&amp;"ngày","")))</f>
        <v/>
      </c>
      <c r="Y180" s="72" t="str">
        <f>IF(S180=0,"",IF(P180="Chuyển","",IF(P180="Nhập vào vụ khác","",IF(P180="BA",IF((S180-R180)&gt;10,"Quá hạn"&amp;" "&amp;(S180-R180-10)&amp;" "&amp;"ngày",""),IF((NETWORKDAYS(R180,S180,'Danh sách ngày nghỉ lễ'!$B$5:$B$25)-VLOOKUP(P180,'Thời hạn'!$A$17:$B$23,2,0))&gt;1,"Quá hạn"&amp;" "&amp;(NETWORKDAYS(R180,S180,'Danh sách ngày nghỉ lễ'!$B$5:$B$25)-1-VLOOKUP(P180,'Thời hạn'!$A$17:$B$23,2,0))&amp;" "&amp;"ngày","")))))</f>
        <v/>
      </c>
      <c r="Z180" s="23">
        <v>1</v>
      </c>
    </row>
    <row r="181" spans="1:26" s="24" customFormat="1" ht="15.6" x14ac:dyDescent="0.3">
      <c r="A181" s="24">
        <v>1</v>
      </c>
      <c r="B181" s="39"/>
      <c r="C181" s="33"/>
      <c r="D181" s="25"/>
      <c r="E181" s="25"/>
      <c r="F181" s="34"/>
      <c r="G181" s="34"/>
      <c r="H181" s="25"/>
      <c r="I181" s="70" t="str">
        <f>IF(C181="Trả lại đơn vụ","",IF(C181="Trả lại đơn việc","",IF(C181="Hòa giải thành","",IF(F181=0,"",EDATE(F181,VLOOKUP(C181,'Thời hạn'!$D$1:$E$10,2,0))+H181))))</f>
        <v/>
      </c>
      <c r="J181" s="59" t="str">
        <f t="shared" ca="1" si="2"/>
        <v/>
      </c>
      <c r="K181" s="25"/>
      <c r="L181" s="129"/>
      <c r="M181" s="130"/>
      <c r="N181" s="33"/>
      <c r="O181" s="34"/>
      <c r="P181" s="25"/>
      <c r="Q181" s="25"/>
      <c r="R181" s="34"/>
      <c r="S181" s="34"/>
      <c r="T181" s="137"/>
      <c r="U181" s="137"/>
      <c r="V181" s="36"/>
      <c r="W181" s="37"/>
      <c r="X181" s="71" t="str">
        <f>IF(C181="Trả lại đơn vụ","",IF(C181="Trả lại đơn việc","",IF((NETWORKDAYS(F181,G181,'Danh sách ngày nghỉ lễ'!$B$5:$B$25)-1-3)&gt;0,"Quá hạn"&amp;" "&amp;(NETWORKDAYS(F181,G181,'Danh sách ngày nghỉ lễ'!$B$5:$B$25)-1-3)&amp;" "&amp;"ngày","")))</f>
        <v/>
      </c>
      <c r="Y181" s="72" t="str">
        <f>IF(S181=0,"",IF(P181="Chuyển","",IF(P181="Nhập vào vụ khác","",IF(P181="BA",IF((S181-R181)&gt;10,"Quá hạn"&amp;" "&amp;(S181-R181-10)&amp;" "&amp;"ngày",""),IF((NETWORKDAYS(R181,S181,'Danh sách ngày nghỉ lễ'!$B$5:$B$25)-VLOOKUP(P181,'Thời hạn'!$A$17:$B$23,2,0))&gt;1,"Quá hạn"&amp;" "&amp;(NETWORKDAYS(R181,S181,'Danh sách ngày nghỉ lễ'!$B$5:$B$25)-1-VLOOKUP(P181,'Thời hạn'!$A$17:$B$23,2,0))&amp;" "&amp;"ngày","")))))</f>
        <v/>
      </c>
      <c r="Z181" s="23">
        <v>1</v>
      </c>
    </row>
    <row r="182" spans="1:26" s="24" customFormat="1" ht="15.6" x14ac:dyDescent="0.3">
      <c r="A182" s="24">
        <v>1</v>
      </c>
      <c r="B182" s="39"/>
      <c r="C182" s="33"/>
      <c r="D182" s="25"/>
      <c r="E182" s="25"/>
      <c r="F182" s="34"/>
      <c r="G182" s="34"/>
      <c r="H182" s="25"/>
      <c r="I182" s="70" t="str">
        <f>IF(C182="Trả lại đơn vụ","",IF(C182="Trả lại đơn việc","",IF(C182="Hòa giải thành","",IF(F182=0,"",EDATE(F182,VLOOKUP(C182,'Thời hạn'!$D$1:$E$10,2,0))+H182))))</f>
        <v/>
      </c>
      <c r="J182" s="59" t="str">
        <f t="shared" ca="1" si="2"/>
        <v/>
      </c>
      <c r="K182" s="25"/>
      <c r="L182" s="129"/>
      <c r="M182" s="130"/>
      <c r="N182" s="33"/>
      <c r="O182" s="34"/>
      <c r="P182" s="25"/>
      <c r="Q182" s="25"/>
      <c r="R182" s="34"/>
      <c r="S182" s="34"/>
      <c r="T182" s="137"/>
      <c r="U182" s="137"/>
      <c r="V182" s="36"/>
      <c r="W182" s="37"/>
      <c r="X182" s="71" t="str">
        <f>IF(C182="Trả lại đơn vụ","",IF(C182="Trả lại đơn việc","",IF((NETWORKDAYS(F182,G182,'Danh sách ngày nghỉ lễ'!$B$5:$B$25)-1-3)&gt;0,"Quá hạn"&amp;" "&amp;(NETWORKDAYS(F182,G182,'Danh sách ngày nghỉ lễ'!$B$5:$B$25)-1-3)&amp;" "&amp;"ngày","")))</f>
        <v/>
      </c>
      <c r="Y182" s="72" t="str">
        <f>IF(S182=0,"",IF(P182="Chuyển","",IF(P182="Nhập vào vụ khác","",IF(P182="BA",IF((S182-R182)&gt;10,"Quá hạn"&amp;" "&amp;(S182-R182-10)&amp;" "&amp;"ngày",""),IF((NETWORKDAYS(R182,S182,'Danh sách ngày nghỉ lễ'!$B$5:$B$25)-VLOOKUP(P182,'Thời hạn'!$A$17:$B$23,2,0))&gt;1,"Quá hạn"&amp;" "&amp;(NETWORKDAYS(R182,S182,'Danh sách ngày nghỉ lễ'!$B$5:$B$25)-1-VLOOKUP(P182,'Thời hạn'!$A$17:$B$23,2,0))&amp;" "&amp;"ngày","")))))</f>
        <v/>
      </c>
      <c r="Z182" s="23">
        <v>1</v>
      </c>
    </row>
    <row r="183" spans="1:26" s="24" customFormat="1" ht="15.6" x14ac:dyDescent="0.3">
      <c r="A183" s="24">
        <v>1</v>
      </c>
      <c r="B183" s="39"/>
      <c r="C183" s="33"/>
      <c r="D183" s="25"/>
      <c r="E183" s="25"/>
      <c r="F183" s="34"/>
      <c r="G183" s="34"/>
      <c r="H183" s="25"/>
      <c r="I183" s="70" t="str">
        <f>IF(C183="Trả lại đơn vụ","",IF(C183="Trả lại đơn việc","",IF(C183="Hòa giải thành","",IF(F183=0,"",EDATE(F183,VLOOKUP(C183,'Thời hạn'!$D$1:$E$10,2,0))+H183))))</f>
        <v/>
      </c>
      <c r="J183" s="59" t="str">
        <f t="shared" ca="1" si="2"/>
        <v/>
      </c>
      <c r="K183" s="25"/>
      <c r="L183" s="129"/>
      <c r="M183" s="130"/>
      <c r="N183" s="33"/>
      <c r="O183" s="34"/>
      <c r="P183" s="25"/>
      <c r="Q183" s="25"/>
      <c r="R183" s="34"/>
      <c r="S183" s="34"/>
      <c r="T183" s="137"/>
      <c r="U183" s="137"/>
      <c r="V183" s="36"/>
      <c r="W183" s="37"/>
      <c r="X183" s="71" t="str">
        <f>IF(C183="Trả lại đơn vụ","",IF(C183="Trả lại đơn việc","",IF((NETWORKDAYS(F183,G183,'Danh sách ngày nghỉ lễ'!$B$5:$B$25)-1-3)&gt;0,"Quá hạn"&amp;" "&amp;(NETWORKDAYS(F183,G183,'Danh sách ngày nghỉ lễ'!$B$5:$B$25)-1-3)&amp;" "&amp;"ngày","")))</f>
        <v/>
      </c>
      <c r="Y183" s="72" t="str">
        <f>IF(S183=0,"",IF(P183="Chuyển","",IF(P183="Nhập vào vụ khác","",IF(P183="BA",IF((S183-R183)&gt;10,"Quá hạn"&amp;" "&amp;(S183-R183-10)&amp;" "&amp;"ngày",""),IF((NETWORKDAYS(R183,S183,'Danh sách ngày nghỉ lễ'!$B$5:$B$25)-VLOOKUP(P183,'Thời hạn'!$A$17:$B$23,2,0))&gt;1,"Quá hạn"&amp;" "&amp;(NETWORKDAYS(R183,S183,'Danh sách ngày nghỉ lễ'!$B$5:$B$25)-1-VLOOKUP(P183,'Thời hạn'!$A$17:$B$23,2,0))&amp;" "&amp;"ngày","")))))</f>
        <v/>
      </c>
      <c r="Z183" s="23">
        <v>1</v>
      </c>
    </row>
    <row r="184" spans="1:26" s="24" customFormat="1" ht="15.6" x14ac:dyDescent="0.3">
      <c r="A184" s="24">
        <v>1</v>
      </c>
      <c r="B184" s="39"/>
      <c r="C184" s="33"/>
      <c r="D184" s="25"/>
      <c r="E184" s="25"/>
      <c r="F184" s="34"/>
      <c r="G184" s="34"/>
      <c r="H184" s="25"/>
      <c r="I184" s="70" t="str">
        <f>IF(C184="Trả lại đơn vụ","",IF(C184="Trả lại đơn việc","",IF(C184="Hòa giải thành","",IF(F184=0,"",EDATE(F184,VLOOKUP(C184,'Thời hạn'!$D$1:$E$10,2,0))+H184))))</f>
        <v/>
      </c>
      <c r="J184" s="59" t="str">
        <f t="shared" ca="1" si="2"/>
        <v/>
      </c>
      <c r="K184" s="25"/>
      <c r="L184" s="129"/>
      <c r="M184" s="130"/>
      <c r="N184" s="33"/>
      <c r="O184" s="34"/>
      <c r="P184" s="25"/>
      <c r="Q184" s="25"/>
      <c r="R184" s="34"/>
      <c r="S184" s="34"/>
      <c r="T184" s="137"/>
      <c r="U184" s="137"/>
      <c r="V184" s="36"/>
      <c r="W184" s="37"/>
      <c r="X184" s="71" t="str">
        <f>IF(C184="Trả lại đơn vụ","",IF(C184="Trả lại đơn việc","",IF((NETWORKDAYS(F184,G184,'Danh sách ngày nghỉ lễ'!$B$5:$B$25)-1-3)&gt;0,"Quá hạn"&amp;" "&amp;(NETWORKDAYS(F184,G184,'Danh sách ngày nghỉ lễ'!$B$5:$B$25)-1-3)&amp;" "&amp;"ngày","")))</f>
        <v/>
      </c>
      <c r="Y184" s="72" t="str">
        <f>IF(S184=0,"",IF(P184="Chuyển","",IF(P184="Nhập vào vụ khác","",IF(P184="BA",IF((S184-R184)&gt;10,"Quá hạn"&amp;" "&amp;(S184-R184-10)&amp;" "&amp;"ngày",""),IF((NETWORKDAYS(R184,S184,'Danh sách ngày nghỉ lễ'!$B$5:$B$25)-VLOOKUP(P184,'Thời hạn'!$A$17:$B$23,2,0))&gt;1,"Quá hạn"&amp;" "&amp;(NETWORKDAYS(R184,S184,'Danh sách ngày nghỉ lễ'!$B$5:$B$25)-1-VLOOKUP(P184,'Thời hạn'!$A$17:$B$23,2,0))&amp;" "&amp;"ngày","")))))</f>
        <v/>
      </c>
      <c r="Z184" s="23">
        <v>1</v>
      </c>
    </row>
    <row r="185" spans="1:26" s="24" customFormat="1" ht="15.6" x14ac:dyDescent="0.3">
      <c r="A185" s="24">
        <v>1</v>
      </c>
      <c r="B185" s="39"/>
      <c r="C185" s="33"/>
      <c r="D185" s="25"/>
      <c r="E185" s="25"/>
      <c r="F185" s="34"/>
      <c r="G185" s="34"/>
      <c r="H185" s="25"/>
      <c r="I185" s="70" t="str">
        <f>IF(C185="Trả lại đơn vụ","",IF(C185="Trả lại đơn việc","",IF(C185="Hòa giải thành","",IF(F185=0,"",EDATE(F185,VLOOKUP(C185,'Thời hạn'!$D$1:$E$10,2,0))+H185))))</f>
        <v/>
      </c>
      <c r="J185" s="59" t="str">
        <f t="shared" ca="1" si="2"/>
        <v/>
      </c>
      <c r="K185" s="25"/>
      <c r="L185" s="129"/>
      <c r="M185" s="130"/>
      <c r="N185" s="33"/>
      <c r="O185" s="34"/>
      <c r="P185" s="25"/>
      <c r="Q185" s="25"/>
      <c r="R185" s="34"/>
      <c r="S185" s="34"/>
      <c r="T185" s="137"/>
      <c r="U185" s="137"/>
      <c r="V185" s="36"/>
      <c r="W185" s="37"/>
      <c r="X185" s="71" t="str">
        <f>IF(C185="Trả lại đơn vụ","",IF(C185="Trả lại đơn việc","",IF((NETWORKDAYS(F185,G185,'Danh sách ngày nghỉ lễ'!$B$5:$B$25)-1-3)&gt;0,"Quá hạn"&amp;" "&amp;(NETWORKDAYS(F185,G185,'Danh sách ngày nghỉ lễ'!$B$5:$B$25)-1-3)&amp;" "&amp;"ngày","")))</f>
        <v/>
      </c>
      <c r="Y185" s="72" t="str">
        <f>IF(S185=0,"",IF(P185="Chuyển","",IF(P185="Nhập vào vụ khác","",IF(P185="BA",IF((S185-R185)&gt;10,"Quá hạn"&amp;" "&amp;(S185-R185-10)&amp;" "&amp;"ngày",""),IF((NETWORKDAYS(R185,S185,'Danh sách ngày nghỉ lễ'!$B$5:$B$25)-VLOOKUP(P185,'Thời hạn'!$A$17:$B$23,2,0))&gt;1,"Quá hạn"&amp;" "&amp;(NETWORKDAYS(R185,S185,'Danh sách ngày nghỉ lễ'!$B$5:$B$25)-1-VLOOKUP(P185,'Thời hạn'!$A$17:$B$23,2,0))&amp;" "&amp;"ngày","")))))</f>
        <v/>
      </c>
      <c r="Z185" s="23">
        <v>1</v>
      </c>
    </row>
    <row r="186" spans="1:26" s="24" customFormat="1" ht="15.6" x14ac:dyDescent="0.3">
      <c r="A186" s="24">
        <v>1</v>
      </c>
      <c r="B186" s="39"/>
      <c r="C186" s="33"/>
      <c r="D186" s="25"/>
      <c r="E186" s="25"/>
      <c r="F186" s="34"/>
      <c r="G186" s="34"/>
      <c r="H186" s="25"/>
      <c r="I186" s="70" t="str">
        <f>IF(C186="Trả lại đơn vụ","",IF(C186="Trả lại đơn việc","",IF(C186="Hòa giải thành","",IF(F186=0,"",EDATE(F186,VLOOKUP(C186,'Thời hạn'!$D$1:$E$10,2,0))+H186))))</f>
        <v/>
      </c>
      <c r="J186" s="59" t="str">
        <f t="shared" ca="1" si="2"/>
        <v/>
      </c>
      <c r="K186" s="25"/>
      <c r="L186" s="129"/>
      <c r="M186" s="130"/>
      <c r="N186" s="33"/>
      <c r="O186" s="34"/>
      <c r="P186" s="25"/>
      <c r="Q186" s="25"/>
      <c r="R186" s="34"/>
      <c r="S186" s="34"/>
      <c r="T186" s="137"/>
      <c r="U186" s="137"/>
      <c r="V186" s="36"/>
      <c r="W186" s="37"/>
      <c r="X186" s="71" t="str">
        <f>IF(C186="Trả lại đơn vụ","",IF(C186="Trả lại đơn việc","",IF((NETWORKDAYS(F186,G186,'Danh sách ngày nghỉ lễ'!$B$5:$B$25)-1-3)&gt;0,"Quá hạn"&amp;" "&amp;(NETWORKDAYS(F186,G186,'Danh sách ngày nghỉ lễ'!$B$5:$B$25)-1-3)&amp;" "&amp;"ngày","")))</f>
        <v/>
      </c>
      <c r="Y186" s="72" t="str">
        <f>IF(S186=0,"",IF(P186="Chuyển","",IF(P186="Nhập vào vụ khác","",IF(P186="BA",IF((S186-R186)&gt;10,"Quá hạn"&amp;" "&amp;(S186-R186-10)&amp;" "&amp;"ngày",""),IF((NETWORKDAYS(R186,S186,'Danh sách ngày nghỉ lễ'!$B$5:$B$25)-VLOOKUP(P186,'Thời hạn'!$A$17:$B$23,2,0))&gt;1,"Quá hạn"&amp;" "&amp;(NETWORKDAYS(R186,S186,'Danh sách ngày nghỉ lễ'!$B$5:$B$25)-1-VLOOKUP(P186,'Thời hạn'!$A$17:$B$23,2,0))&amp;" "&amp;"ngày","")))))</f>
        <v/>
      </c>
      <c r="Z186" s="23">
        <v>1</v>
      </c>
    </row>
    <row r="187" spans="1:26" s="24" customFormat="1" ht="15.6" x14ac:dyDescent="0.3">
      <c r="A187" s="24">
        <v>1</v>
      </c>
      <c r="B187" s="39"/>
      <c r="C187" s="33"/>
      <c r="D187" s="25"/>
      <c r="E187" s="25"/>
      <c r="F187" s="34"/>
      <c r="G187" s="34"/>
      <c r="H187" s="25"/>
      <c r="I187" s="70" t="str">
        <f>IF(C187="Trả lại đơn vụ","",IF(C187="Trả lại đơn việc","",IF(C187="Hòa giải thành","",IF(F187=0,"",EDATE(F187,VLOOKUP(C187,'Thời hạn'!$D$1:$E$10,2,0))+H187))))</f>
        <v/>
      </c>
      <c r="J187" s="59" t="str">
        <f t="shared" ca="1" si="2"/>
        <v/>
      </c>
      <c r="K187" s="25"/>
      <c r="L187" s="129"/>
      <c r="M187" s="130"/>
      <c r="N187" s="33"/>
      <c r="O187" s="34"/>
      <c r="P187" s="25"/>
      <c r="Q187" s="25"/>
      <c r="R187" s="34"/>
      <c r="S187" s="34"/>
      <c r="T187" s="137"/>
      <c r="U187" s="137"/>
      <c r="V187" s="36"/>
      <c r="W187" s="37"/>
      <c r="X187" s="71" t="str">
        <f>IF(C187="Trả lại đơn vụ","",IF(C187="Trả lại đơn việc","",IF((NETWORKDAYS(F187,G187,'Danh sách ngày nghỉ lễ'!$B$5:$B$25)-1-3)&gt;0,"Quá hạn"&amp;" "&amp;(NETWORKDAYS(F187,G187,'Danh sách ngày nghỉ lễ'!$B$5:$B$25)-1-3)&amp;" "&amp;"ngày","")))</f>
        <v/>
      </c>
      <c r="Y187" s="72" t="str">
        <f>IF(S187=0,"",IF(P187="Chuyển","",IF(P187="Nhập vào vụ khác","",IF(P187="BA",IF((S187-R187)&gt;10,"Quá hạn"&amp;" "&amp;(S187-R187-10)&amp;" "&amp;"ngày",""),IF((NETWORKDAYS(R187,S187,'Danh sách ngày nghỉ lễ'!$B$5:$B$25)-VLOOKUP(P187,'Thời hạn'!$A$17:$B$23,2,0))&gt;1,"Quá hạn"&amp;" "&amp;(NETWORKDAYS(R187,S187,'Danh sách ngày nghỉ lễ'!$B$5:$B$25)-1-VLOOKUP(P187,'Thời hạn'!$A$17:$B$23,2,0))&amp;" "&amp;"ngày","")))))</f>
        <v/>
      </c>
      <c r="Z187" s="23">
        <v>1</v>
      </c>
    </row>
    <row r="188" spans="1:26" s="24" customFormat="1" ht="15.6" x14ac:dyDescent="0.3">
      <c r="A188" s="24">
        <v>1</v>
      </c>
      <c r="B188" s="39"/>
      <c r="C188" s="33"/>
      <c r="D188" s="25"/>
      <c r="E188" s="25"/>
      <c r="F188" s="34"/>
      <c r="G188" s="34"/>
      <c r="H188" s="25"/>
      <c r="I188" s="70" t="str">
        <f>IF(C188="Trả lại đơn vụ","",IF(C188="Trả lại đơn việc","",IF(C188="Hòa giải thành","",IF(F188=0,"",EDATE(F188,VLOOKUP(C188,'Thời hạn'!$D$1:$E$10,2,0))+H188))))</f>
        <v/>
      </c>
      <c r="J188" s="59" t="str">
        <f t="shared" ca="1" si="2"/>
        <v/>
      </c>
      <c r="K188" s="25"/>
      <c r="L188" s="129"/>
      <c r="M188" s="130"/>
      <c r="N188" s="33"/>
      <c r="O188" s="34"/>
      <c r="P188" s="25"/>
      <c r="Q188" s="25"/>
      <c r="R188" s="34"/>
      <c r="S188" s="34"/>
      <c r="T188" s="137"/>
      <c r="U188" s="137"/>
      <c r="V188" s="36"/>
      <c r="W188" s="37"/>
      <c r="X188" s="71" t="str">
        <f>IF(C188="Trả lại đơn vụ","",IF(C188="Trả lại đơn việc","",IF((NETWORKDAYS(F188,G188,'Danh sách ngày nghỉ lễ'!$B$5:$B$25)-1-3)&gt;0,"Quá hạn"&amp;" "&amp;(NETWORKDAYS(F188,G188,'Danh sách ngày nghỉ lễ'!$B$5:$B$25)-1-3)&amp;" "&amp;"ngày","")))</f>
        <v/>
      </c>
      <c r="Y188" s="72" t="str">
        <f>IF(S188=0,"",IF(P188="Chuyển","",IF(P188="Nhập vào vụ khác","",IF(P188="BA",IF((S188-R188)&gt;10,"Quá hạn"&amp;" "&amp;(S188-R188-10)&amp;" "&amp;"ngày",""),IF((NETWORKDAYS(R188,S188,'Danh sách ngày nghỉ lễ'!$B$5:$B$25)-VLOOKUP(P188,'Thời hạn'!$A$17:$B$23,2,0))&gt;1,"Quá hạn"&amp;" "&amp;(NETWORKDAYS(R188,S188,'Danh sách ngày nghỉ lễ'!$B$5:$B$25)-1-VLOOKUP(P188,'Thời hạn'!$A$17:$B$23,2,0))&amp;" "&amp;"ngày","")))))</f>
        <v/>
      </c>
      <c r="Z188" s="23">
        <v>1</v>
      </c>
    </row>
    <row r="189" spans="1:26" s="24" customFormat="1" ht="15.6" x14ac:dyDescent="0.3">
      <c r="A189" s="24">
        <v>1</v>
      </c>
      <c r="B189" s="39"/>
      <c r="C189" s="33"/>
      <c r="D189" s="25"/>
      <c r="E189" s="25"/>
      <c r="F189" s="34"/>
      <c r="G189" s="34"/>
      <c r="H189" s="25"/>
      <c r="I189" s="70" t="str">
        <f>IF(C189="Trả lại đơn vụ","",IF(C189="Trả lại đơn việc","",IF(C189="Hòa giải thành","",IF(F189=0,"",EDATE(F189,VLOOKUP(C189,'Thời hạn'!$D$1:$E$10,2,0))+H189))))</f>
        <v/>
      </c>
      <c r="J189" s="59" t="str">
        <f t="shared" ca="1" si="2"/>
        <v/>
      </c>
      <c r="K189" s="25"/>
      <c r="L189" s="129"/>
      <c r="M189" s="130"/>
      <c r="N189" s="33"/>
      <c r="O189" s="34"/>
      <c r="P189" s="25"/>
      <c r="Q189" s="25"/>
      <c r="R189" s="34"/>
      <c r="S189" s="34"/>
      <c r="T189" s="137"/>
      <c r="U189" s="137"/>
      <c r="V189" s="36"/>
      <c r="W189" s="37"/>
      <c r="X189" s="71" t="str">
        <f>IF(C189="Trả lại đơn vụ","",IF(C189="Trả lại đơn việc","",IF((NETWORKDAYS(F189,G189,'Danh sách ngày nghỉ lễ'!$B$5:$B$25)-1-3)&gt;0,"Quá hạn"&amp;" "&amp;(NETWORKDAYS(F189,G189,'Danh sách ngày nghỉ lễ'!$B$5:$B$25)-1-3)&amp;" "&amp;"ngày","")))</f>
        <v/>
      </c>
      <c r="Y189" s="72" t="str">
        <f>IF(S189=0,"",IF(P189="Chuyển","",IF(P189="Nhập vào vụ khác","",IF(P189="BA",IF((S189-R189)&gt;10,"Quá hạn"&amp;" "&amp;(S189-R189-10)&amp;" "&amp;"ngày",""),IF((NETWORKDAYS(R189,S189,'Danh sách ngày nghỉ lễ'!$B$5:$B$25)-VLOOKUP(P189,'Thời hạn'!$A$17:$B$23,2,0))&gt;1,"Quá hạn"&amp;" "&amp;(NETWORKDAYS(R189,S189,'Danh sách ngày nghỉ lễ'!$B$5:$B$25)-1-VLOOKUP(P189,'Thời hạn'!$A$17:$B$23,2,0))&amp;" "&amp;"ngày","")))))</f>
        <v/>
      </c>
      <c r="Z189" s="23">
        <v>1</v>
      </c>
    </row>
    <row r="190" spans="1:26" s="24" customFormat="1" ht="15.6" x14ac:dyDescent="0.3">
      <c r="A190" s="24">
        <v>1</v>
      </c>
      <c r="B190" s="39"/>
      <c r="C190" s="33"/>
      <c r="D190" s="25"/>
      <c r="E190" s="25"/>
      <c r="F190" s="34"/>
      <c r="G190" s="34"/>
      <c r="H190" s="25"/>
      <c r="I190" s="70" t="str">
        <f>IF(C190="Trả lại đơn vụ","",IF(C190="Trả lại đơn việc","",IF(C190="Hòa giải thành","",IF(F190=0,"",EDATE(F190,VLOOKUP(C190,'Thời hạn'!$D$1:$E$10,2,0))+H190))))</f>
        <v/>
      </c>
      <c r="J190" s="59" t="str">
        <f t="shared" ca="1" si="2"/>
        <v/>
      </c>
      <c r="K190" s="25"/>
      <c r="L190" s="129"/>
      <c r="M190" s="130"/>
      <c r="N190" s="33"/>
      <c r="O190" s="34"/>
      <c r="P190" s="25"/>
      <c r="Q190" s="25"/>
      <c r="R190" s="34"/>
      <c r="S190" s="34"/>
      <c r="T190" s="137"/>
      <c r="U190" s="137"/>
      <c r="V190" s="36"/>
      <c r="W190" s="37"/>
      <c r="X190" s="71" t="str">
        <f>IF(C190="Trả lại đơn vụ","",IF(C190="Trả lại đơn việc","",IF((NETWORKDAYS(F190,G190,'Danh sách ngày nghỉ lễ'!$B$5:$B$25)-1-3)&gt;0,"Quá hạn"&amp;" "&amp;(NETWORKDAYS(F190,G190,'Danh sách ngày nghỉ lễ'!$B$5:$B$25)-1-3)&amp;" "&amp;"ngày","")))</f>
        <v/>
      </c>
      <c r="Y190" s="72" t="str">
        <f>IF(S190=0,"",IF(P190="Chuyển","",IF(P190="Nhập vào vụ khác","",IF(P190="BA",IF((S190-R190)&gt;10,"Quá hạn"&amp;" "&amp;(S190-R190-10)&amp;" "&amp;"ngày",""),IF((NETWORKDAYS(R190,S190,'Danh sách ngày nghỉ lễ'!$B$5:$B$25)-VLOOKUP(P190,'Thời hạn'!$A$17:$B$23,2,0))&gt;1,"Quá hạn"&amp;" "&amp;(NETWORKDAYS(R190,S190,'Danh sách ngày nghỉ lễ'!$B$5:$B$25)-1-VLOOKUP(P190,'Thời hạn'!$A$17:$B$23,2,0))&amp;" "&amp;"ngày","")))))</f>
        <v/>
      </c>
      <c r="Z190" s="23">
        <v>1</v>
      </c>
    </row>
    <row r="191" spans="1:26" s="24" customFormat="1" ht="15.6" x14ac:dyDescent="0.3">
      <c r="A191" s="24">
        <v>1</v>
      </c>
      <c r="B191" s="39"/>
      <c r="C191" s="33"/>
      <c r="D191" s="25"/>
      <c r="E191" s="25"/>
      <c r="F191" s="34"/>
      <c r="G191" s="34"/>
      <c r="H191" s="25"/>
      <c r="I191" s="70" t="str">
        <f>IF(C191="Trả lại đơn vụ","",IF(C191="Trả lại đơn việc","",IF(C191="Hòa giải thành","",IF(F191=0,"",EDATE(F191,VLOOKUP(C191,'Thời hạn'!$D$1:$E$10,2,0))+H191))))</f>
        <v/>
      </c>
      <c r="J191" s="59" t="str">
        <f t="shared" ca="1" si="2"/>
        <v/>
      </c>
      <c r="K191" s="25"/>
      <c r="L191" s="129"/>
      <c r="M191" s="130"/>
      <c r="N191" s="33"/>
      <c r="O191" s="34"/>
      <c r="P191" s="25"/>
      <c r="Q191" s="25"/>
      <c r="R191" s="34"/>
      <c r="S191" s="34"/>
      <c r="T191" s="137"/>
      <c r="U191" s="137"/>
      <c r="V191" s="36"/>
      <c r="W191" s="37"/>
      <c r="X191" s="71" t="str">
        <f>IF(C191="Trả lại đơn vụ","",IF(C191="Trả lại đơn việc","",IF((NETWORKDAYS(F191,G191,'Danh sách ngày nghỉ lễ'!$B$5:$B$25)-1-3)&gt;0,"Quá hạn"&amp;" "&amp;(NETWORKDAYS(F191,G191,'Danh sách ngày nghỉ lễ'!$B$5:$B$25)-1-3)&amp;" "&amp;"ngày","")))</f>
        <v/>
      </c>
      <c r="Y191" s="72" t="str">
        <f>IF(S191=0,"",IF(P191="Chuyển","",IF(P191="Nhập vào vụ khác","",IF(P191="BA",IF((S191-R191)&gt;10,"Quá hạn"&amp;" "&amp;(S191-R191-10)&amp;" "&amp;"ngày",""),IF((NETWORKDAYS(R191,S191,'Danh sách ngày nghỉ lễ'!$B$5:$B$25)-VLOOKUP(P191,'Thời hạn'!$A$17:$B$23,2,0))&gt;1,"Quá hạn"&amp;" "&amp;(NETWORKDAYS(R191,S191,'Danh sách ngày nghỉ lễ'!$B$5:$B$25)-1-VLOOKUP(P191,'Thời hạn'!$A$17:$B$23,2,0))&amp;" "&amp;"ngày","")))))</f>
        <v/>
      </c>
      <c r="Z191" s="23">
        <v>1</v>
      </c>
    </row>
    <row r="192" spans="1:26" s="24" customFormat="1" ht="15.6" x14ac:dyDescent="0.3">
      <c r="A192" s="24">
        <v>1</v>
      </c>
      <c r="B192" s="39"/>
      <c r="C192" s="33"/>
      <c r="D192" s="25"/>
      <c r="E192" s="25"/>
      <c r="F192" s="34"/>
      <c r="G192" s="34"/>
      <c r="H192" s="25"/>
      <c r="I192" s="70" t="str">
        <f>IF(C192="Trả lại đơn vụ","",IF(C192="Trả lại đơn việc","",IF(C192="Hòa giải thành","",IF(F192=0,"",EDATE(F192,VLOOKUP(C192,'Thời hạn'!$D$1:$E$10,2,0))+H192))))</f>
        <v/>
      </c>
      <c r="J192" s="59" t="str">
        <f t="shared" ca="1" si="2"/>
        <v/>
      </c>
      <c r="K192" s="25"/>
      <c r="L192" s="129"/>
      <c r="M192" s="130"/>
      <c r="N192" s="33"/>
      <c r="O192" s="34"/>
      <c r="P192" s="25"/>
      <c r="Q192" s="25"/>
      <c r="R192" s="34"/>
      <c r="S192" s="34"/>
      <c r="T192" s="137"/>
      <c r="U192" s="137"/>
      <c r="V192" s="36"/>
      <c r="W192" s="37"/>
      <c r="X192" s="71" t="str">
        <f>IF(C192="Trả lại đơn vụ","",IF(C192="Trả lại đơn việc","",IF((NETWORKDAYS(F192,G192,'Danh sách ngày nghỉ lễ'!$B$5:$B$25)-1-3)&gt;0,"Quá hạn"&amp;" "&amp;(NETWORKDAYS(F192,G192,'Danh sách ngày nghỉ lễ'!$B$5:$B$25)-1-3)&amp;" "&amp;"ngày","")))</f>
        <v/>
      </c>
      <c r="Y192" s="72" t="str">
        <f>IF(S192=0,"",IF(P192="Chuyển","",IF(P192="Nhập vào vụ khác","",IF(P192="BA",IF((S192-R192)&gt;10,"Quá hạn"&amp;" "&amp;(S192-R192-10)&amp;" "&amp;"ngày",""),IF((NETWORKDAYS(R192,S192,'Danh sách ngày nghỉ lễ'!$B$5:$B$25)-VLOOKUP(P192,'Thời hạn'!$A$17:$B$23,2,0))&gt;1,"Quá hạn"&amp;" "&amp;(NETWORKDAYS(R192,S192,'Danh sách ngày nghỉ lễ'!$B$5:$B$25)-1-VLOOKUP(P192,'Thời hạn'!$A$17:$B$23,2,0))&amp;" "&amp;"ngày","")))))</f>
        <v/>
      </c>
      <c r="Z192" s="23">
        <v>1</v>
      </c>
    </row>
    <row r="193" spans="1:26" s="24" customFormat="1" ht="15.6" x14ac:dyDescent="0.3">
      <c r="A193" s="24">
        <v>1</v>
      </c>
      <c r="B193" s="39"/>
      <c r="C193" s="33"/>
      <c r="D193" s="25"/>
      <c r="E193" s="25"/>
      <c r="F193" s="34"/>
      <c r="G193" s="34"/>
      <c r="H193" s="25"/>
      <c r="I193" s="70" t="str">
        <f>IF(C193="Trả lại đơn vụ","",IF(C193="Trả lại đơn việc","",IF(C193="Hòa giải thành","",IF(F193=0,"",EDATE(F193,VLOOKUP(C193,'Thời hạn'!$D$1:$E$10,2,0))+H193))))</f>
        <v/>
      </c>
      <c r="J193" s="59" t="str">
        <f t="shared" ca="1" si="2"/>
        <v/>
      </c>
      <c r="K193" s="25"/>
      <c r="L193" s="129"/>
      <c r="M193" s="130"/>
      <c r="N193" s="33"/>
      <c r="O193" s="34"/>
      <c r="P193" s="25"/>
      <c r="Q193" s="25"/>
      <c r="R193" s="34"/>
      <c r="S193" s="34"/>
      <c r="T193" s="137"/>
      <c r="U193" s="137"/>
      <c r="V193" s="36"/>
      <c r="W193" s="37"/>
      <c r="X193" s="71" t="str">
        <f>IF(C193="Trả lại đơn vụ","",IF(C193="Trả lại đơn việc","",IF((NETWORKDAYS(F193,G193,'Danh sách ngày nghỉ lễ'!$B$5:$B$25)-1-3)&gt;0,"Quá hạn"&amp;" "&amp;(NETWORKDAYS(F193,G193,'Danh sách ngày nghỉ lễ'!$B$5:$B$25)-1-3)&amp;" "&amp;"ngày","")))</f>
        <v/>
      </c>
      <c r="Y193" s="72" t="str">
        <f>IF(S193=0,"",IF(P193="Chuyển","",IF(P193="Nhập vào vụ khác","",IF(P193="BA",IF((S193-R193)&gt;10,"Quá hạn"&amp;" "&amp;(S193-R193-10)&amp;" "&amp;"ngày",""),IF((NETWORKDAYS(R193,S193,'Danh sách ngày nghỉ lễ'!$B$5:$B$25)-VLOOKUP(P193,'Thời hạn'!$A$17:$B$23,2,0))&gt;1,"Quá hạn"&amp;" "&amp;(NETWORKDAYS(R193,S193,'Danh sách ngày nghỉ lễ'!$B$5:$B$25)-1-VLOOKUP(P193,'Thời hạn'!$A$17:$B$23,2,0))&amp;" "&amp;"ngày","")))))</f>
        <v/>
      </c>
      <c r="Z193" s="23">
        <v>1</v>
      </c>
    </row>
    <row r="194" spans="1:26" s="24" customFormat="1" ht="15.6" x14ac:dyDescent="0.3">
      <c r="A194" s="24">
        <v>1</v>
      </c>
      <c r="B194" s="39"/>
      <c r="C194" s="33"/>
      <c r="D194" s="25"/>
      <c r="E194" s="25"/>
      <c r="F194" s="34"/>
      <c r="G194" s="34"/>
      <c r="H194" s="25"/>
      <c r="I194" s="70" t="str">
        <f>IF(C194="Trả lại đơn vụ","",IF(C194="Trả lại đơn việc","",IF(C194="Hòa giải thành","",IF(F194=0,"",EDATE(F194,VLOOKUP(C194,'Thời hạn'!$D$1:$E$10,2,0))+H194))))</f>
        <v/>
      </c>
      <c r="J194" s="59" t="str">
        <f t="shared" ca="1" si="2"/>
        <v/>
      </c>
      <c r="K194" s="25"/>
      <c r="L194" s="129"/>
      <c r="M194" s="130"/>
      <c r="N194" s="33"/>
      <c r="O194" s="34"/>
      <c r="P194" s="25"/>
      <c r="Q194" s="25"/>
      <c r="R194" s="34"/>
      <c r="S194" s="34"/>
      <c r="T194" s="137"/>
      <c r="U194" s="137"/>
      <c r="V194" s="36"/>
      <c r="W194" s="37"/>
      <c r="X194" s="71" t="str">
        <f>IF(C194="Trả lại đơn vụ","",IF(C194="Trả lại đơn việc","",IF((NETWORKDAYS(F194,G194,'Danh sách ngày nghỉ lễ'!$B$5:$B$25)-1-3)&gt;0,"Quá hạn"&amp;" "&amp;(NETWORKDAYS(F194,G194,'Danh sách ngày nghỉ lễ'!$B$5:$B$25)-1-3)&amp;" "&amp;"ngày","")))</f>
        <v/>
      </c>
      <c r="Y194" s="72" t="str">
        <f>IF(S194=0,"",IF(P194="Chuyển","",IF(P194="Nhập vào vụ khác","",IF(P194="BA",IF((S194-R194)&gt;10,"Quá hạn"&amp;" "&amp;(S194-R194-10)&amp;" "&amp;"ngày",""),IF((NETWORKDAYS(R194,S194,'Danh sách ngày nghỉ lễ'!$B$5:$B$25)-VLOOKUP(P194,'Thời hạn'!$A$17:$B$23,2,0))&gt;1,"Quá hạn"&amp;" "&amp;(NETWORKDAYS(R194,S194,'Danh sách ngày nghỉ lễ'!$B$5:$B$25)-1-VLOOKUP(P194,'Thời hạn'!$A$17:$B$23,2,0))&amp;" "&amp;"ngày","")))))</f>
        <v/>
      </c>
      <c r="Z194" s="23">
        <v>1</v>
      </c>
    </row>
    <row r="195" spans="1:26" s="24" customFormat="1" ht="15.6" x14ac:dyDescent="0.3">
      <c r="A195" s="24">
        <v>1</v>
      </c>
      <c r="B195" s="39"/>
      <c r="C195" s="33"/>
      <c r="D195" s="25"/>
      <c r="E195" s="25"/>
      <c r="F195" s="34"/>
      <c r="G195" s="34"/>
      <c r="H195" s="25"/>
      <c r="I195" s="70" t="str">
        <f>IF(C195="Trả lại đơn vụ","",IF(C195="Trả lại đơn việc","",IF(C195="Hòa giải thành","",IF(F195=0,"",EDATE(F195,VLOOKUP(C195,'Thời hạn'!$D$1:$E$10,2,0))+H195))))</f>
        <v/>
      </c>
      <c r="J195" s="59" t="str">
        <f t="shared" ca="1" si="2"/>
        <v/>
      </c>
      <c r="K195" s="25"/>
      <c r="L195" s="129"/>
      <c r="M195" s="130"/>
      <c r="N195" s="33"/>
      <c r="O195" s="34"/>
      <c r="P195" s="25"/>
      <c r="Q195" s="25"/>
      <c r="R195" s="34"/>
      <c r="S195" s="34"/>
      <c r="T195" s="137"/>
      <c r="U195" s="137"/>
      <c r="V195" s="36"/>
      <c r="W195" s="37"/>
      <c r="X195" s="71" t="str">
        <f>IF(C195="Trả lại đơn vụ","",IF(C195="Trả lại đơn việc","",IF((NETWORKDAYS(F195,G195,'Danh sách ngày nghỉ lễ'!$B$5:$B$25)-1-3)&gt;0,"Quá hạn"&amp;" "&amp;(NETWORKDAYS(F195,G195,'Danh sách ngày nghỉ lễ'!$B$5:$B$25)-1-3)&amp;" "&amp;"ngày","")))</f>
        <v/>
      </c>
      <c r="Y195" s="72" t="str">
        <f>IF(S195=0,"",IF(P195="Chuyển","",IF(P195="Nhập vào vụ khác","",IF(P195="BA",IF((S195-R195)&gt;10,"Quá hạn"&amp;" "&amp;(S195-R195-10)&amp;" "&amp;"ngày",""),IF((NETWORKDAYS(R195,S195,'Danh sách ngày nghỉ lễ'!$B$5:$B$25)-VLOOKUP(P195,'Thời hạn'!$A$17:$B$23,2,0))&gt;1,"Quá hạn"&amp;" "&amp;(NETWORKDAYS(R195,S195,'Danh sách ngày nghỉ lễ'!$B$5:$B$25)-1-VLOOKUP(P195,'Thời hạn'!$A$17:$B$23,2,0))&amp;" "&amp;"ngày","")))))</f>
        <v/>
      </c>
      <c r="Z195" s="23">
        <v>1</v>
      </c>
    </row>
    <row r="196" spans="1:26" s="24" customFormat="1" ht="15.6" x14ac:dyDescent="0.3">
      <c r="A196" s="24">
        <v>1</v>
      </c>
      <c r="B196" s="39"/>
      <c r="C196" s="33"/>
      <c r="D196" s="25"/>
      <c r="E196" s="25"/>
      <c r="F196" s="34"/>
      <c r="G196" s="34"/>
      <c r="H196" s="25"/>
      <c r="I196" s="70" t="str">
        <f>IF(C196="Trả lại đơn vụ","",IF(C196="Trả lại đơn việc","",IF(C196="Hòa giải thành","",IF(F196=0,"",EDATE(F196,VLOOKUP(C196,'Thời hạn'!$D$1:$E$10,2,0))+H196))))</f>
        <v/>
      </c>
      <c r="J196" s="59" t="str">
        <f t="shared" ca="1" si="2"/>
        <v/>
      </c>
      <c r="K196" s="25"/>
      <c r="L196" s="129"/>
      <c r="M196" s="130"/>
      <c r="N196" s="33"/>
      <c r="O196" s="34"/>
      <c r="P196" s="25"/>
      <c r="Q196" s="25"/>
      <c r="R196" s="34"/>
      <c r="S196" s="34"/>
      <c r="T196" s="137"/>
      <c r="U196" s="137"/>
      <c r="V196" s="36"/>
      <c r="W196" s="37"/>
      <c r="X196" s="71" t="str">
        <f>IF(C196="Trả lại đơn vụ","",IF(C196="Trả lại đơn việc","",IF((NETWORKDAYS(F196,G196,'Danh sách ngày nghỉ lễ'!$B$5:$B$25)-1-3)&gt;0,"Quá hạn"&amp;" "&amp;(NETWORKDAYS(F196,G196,'Danh sách ngày nghỉ lễ'!$B$5:$B$25)-1-3)&amp;" "&amp;"ngày","")))</f>
        <v/>
      </c>
      <c r="Y196" s="72" t="str">
        <f>IF(S196=0,"",IF(P196="Chuyển","",IF(P196="Nhập vào vụ khác","",IF(P196="BA",IF((S196-R196)&gt;10,"Quá hạn"&amp;" "&amp;(S196-R196-10)&amp;" "&amp;"ngày",""),IF((NETWORKDAYS(R196,S196,'Danh sách ngày nghỉ lễ'!$B$5:$B$25)-VLOOKUP(P196,'Thời hạn'!$A$17:$B$23,2,0))&gt;1,"Quá hạn"&amp;" "&amp;(NETWORKDAYS(R196,S196,'Danh sách ngày nghỉ lễ'!$B$5:$B$25)-1-VLOOKUP(P196,'Thời hạn'!$A$17:$B$23,2,0))&amp;" "&amp;"ngày","")))))</f>
        <v/>
      </c>
      <c r="Z196" s="23">
        <v>1</v>
      </c>
    </row>
    <row r="197" spans="1:26" s="24" customFormat="1" ht="15.6" x14ac:dyDescent="0.3">
      <c r="A197" s="24">
        <v>1</v>
      </c>
      <c r="B197" s="39"/>
      <c r="C197" s="33"/>
      <c r="D197" s="25"/>
      <c r="E197" s="25"/>
      <c r="F197" s="34"/>
      <c r="G197" s="34"/>
      <c r="H197" s="25"/>
      <c r="I197" s="70" t="str">
        <f>IF(C197="Trả lại đơn vụ","",IF(C197="Trả lại đơn việc","",IF(C197="Hòa giải thành","",IF(F197=0,"",EDATE(F197,VLOOKUP(C197,'Thời hạn'!$D$1:$E$10,2,0))+H197))))</f>
        <v/>
      </c>
      <c r="J197" s="59" t="str">
        <f t="shared" ca="1" si="2"/>
        <v/>
      </c>
      <c r="K197" s="25"/>
      <c r="L197" s="129"/>
      <c r="M197" s="130"/>
      <c r="N197" s="33"/>
      <c r="O197" s="34"/>
      <c r="P197" s="25"/>
      <c r="Q197" s="25"/>
      <c r="R197" s="34"/>
      <c r="S197" s="34"/>
      <c r="T197" s="137"/>
      <c r="U197" s="137"/>
      <c r="V197" s="36"/>
      <c r="W197" s="37"/>
      <c r="X197" s="71" t="str">
        <f>IF(C197="Trả lại đơn vụ","",IF(C197="Trả lại đơn việc","",IF((NETWORKDAYS(F197,G197,'Danh sách ngày nghỉ lễ'!$B$5:$B$25)-1-3)&gt;0,"Quá hạn"&amp;" "&amp;(NETWORKDAYS(F197,G197,'Danh sách ngày nghỉ lễ'!$B$5:$B$25)-1-3)&amp;" "&amp;"ngày","")))</f>
        <v/>
      </c>
      <c r="Y197" s="72" t="str">
        <f>IF(S197=0,"",IF(P197="Chuyển","",IF(P197="Nhập vào vụ khác","",IF(P197="BA",IF((S197-R197)&gt;10,"Quá hạn"&amp;" "&amp;(S197-R197-10)&amp;" "&amp;"ngày",""),IF((NETWORKDAYS(R197,S197,'Danh sách ngày nghỉ lễ'!$B$5:$B$25)-VLOOKUP(P197,'Thời hạn'!$A$17:$B$23,2,0))&gt;1,"Quá hạn"&amp;" "&amp;(NETWORKDAYS(R197,S197,'Danh sách ngày nghỉ lễ'!$B$5:$B$25)-1-VLOOKUP(P197,'Thời hạn'!$A$17:$B$23,2,0))&amp;" "&amp;"ngày","")))))</f>
        <v/>
      </c>
      <c r="Z197" s="23">
        <v>1</v>
      </c>
    </row>
    <row r="198" spans="1:26" s="24" customFormat="1" ht="15.6" x14ac:dyDescent="0.3">
      <c r="A198" s="24">
        <v>1</v>
      </c>
      <c r="B198" s="39"/>
      <c r="C198" s="33"/>
      <c r="D198" s="25"/>
      <c r="E198" s="25"/>
      <c r="F198" s="34"/>
      <c r="G198" s="34"/>
      <c r="H198" s="25"/>
      <c r="I198" s="70" t="str">
        <f>IF(C198="Trả lại đơn vụ","",IF(C198="Trả lại đơn việc","",IF(C198="Hòa giải thành","",IF(F198=0,"",EDATE(F198,VLOOKUP(C198,'Thời hạn'!$D$1:$E$10,2,0))+H198))))</f>
        <v/>
      </c>
      <c r="J198" s="59" t="str">
        <f t="shared" ca="1" si="2"/>
        <v/>
      </c>
      <c r="K198" s="25"/>
      <c r="L198" s="129"/>
      <c r="M198" s="130"/>
      <c r="N198" s="33"/>
      <c r="O198" s="34"/>
      <c r="P198" s="25"/>
      <c r="Q198" s="25"/>
      <c r="R198" s="34"/>
      <c r="S198" s="34"/>
      <c r="T198" s="137"/>
      <c r="U198" s="137"/>
      <c r="V198" s="36"/>
      <c r="W198" s="37"/>
      <c r="X198" s="71" t="str">
        <f>IF(C198="Trả lại đơn vụ","",IF(C198="Trả lại đơn việc","",IF((NETWORKDAYS(F198,G198,'Danh sách ngày nghỉ lễ'!$B$5:$B$25)-1-3)&gt;0,"Quá hạn"&amp;" "&amp;(NETWORKDAYS(F198,G198,'Danh sách ngày nghỉ lễ'!$B$5:$B$25)-1-3)&amp;" "&amp;"ngày","")))</f>
        <v/>
      </c>
      <c r="Y198" s="72" t="str">
        <f>IF(S198=0,"",IF(P198="Chuyển","",IF(P198="Nhập vào vụ khác","",IF(P198="BA",IF((S198-R198)&gt;10,"Quá hạn"&amp;" "&amp;(S198-R198-10)&amp;" "&amp;"ngày",""),IF((NETWORKDAYS(R198,S198,'Danh sách ngày nghỉ lễ'!$B$5:$B$25)-VLOOKUP(P198,'Thời hạn'!$A$17:$B$23,2,0))&gt;1,"Quá hạn"&amp;" "&amp;(NETWORKDAYS(R198,S198,'Danh sách ngày nghỉ lễ'!$B$5:$B$25)-1-VLOOKUP(P198,'Thời hạn'!$A$17:$B$23,2,0))&amp;" "&amp;"ngày","")))))</f>
        <v/>
      </c>
      <c r="Z198" s="23">
        <v>1</v>
      </c>
    </row>
    <row r="199" spans="1:26" s="24" customFormat="1" ht="15.6" x14ac:dyDescent="0.3">
      <c r="A199" s="24">
        <v>1</v>
      </c>
      <c r="B199" s="39"/>
      <c r="C199" s="33"/>
      <c r="D199" s="25"/>
      <c r="E199" s="25"/>
      <c r="F199" s="34"/>
      <c r="G199" s="34"/>
      <c r="H199" s="25"/>
      <c r="I199" s="70" t="str">
        <f>IF(C199="Trả lại đơn vụ","",IF(C199="Trả lại đơn việc","",IF(C199="Hòa giải thành","",IF(F199=0,"",EDATE(F199,VLOOKUP(C199,'Thời hạn'!$D$1:$E$10,2,0))+H199))))</f>
        <v/>
      </c>
      <c r="J199" s="59" t="str">
        <f t="shared" ca="1" si="2"/>
        <v/>
      </c>
      <c r="K199" s="25"/>
      <c r="L199" s="129"/>
      <c r="M199" s="130"/>
      <c r="N199" s="33"/>
      <c r="O199" s="34"/>
      <c r="P199" s="25"/>
      <c r="Q199" s="25"/>
      <c r="R199" s="34"/>
      <c r="S199" s="34"/>
      <c r="T199" s="137"/>
      <c r="U199" s="137"/>
      <c r="V199" s="36"/>
      <c r="W199" s="37"/>
      <c r="X199" s="71" t="str">
        <f>IF(C199="Trả lại đơn vụ","",IF(C199="Trả lại đơn việc","",IF((NETWORKDAYS(F199,G199,'Danh sách ngày nghỉ lễ'!$B$5:$B$25)-1-3)&gt;0,"Quá hạn"&amp;" "&amp;(NETWORKDAYS(F199,G199,'Danh sách ngày nghỉ lễ'!$B$5:$B$25)-1-3)&amp;" "&amp;"ngày","")))</f>
        <v/>
      </c>
      <c r="Y199" s="72" t="str">
        <f>IF(S199=0,"",IF(P199="Chuyển","",IF(P199="Nhập vào vụ khác","",IF(P199="BA",IF((S199-R199)&gt;10,"Quá hạn"&amp;" "&amp;(S199-R199-10)&amp;" "&amp;"ngày",""),IF((NETWORKDAYS(R199,S199,'Danh sách ngày nghỉ lễ'!$B$5:$B$25)-VLOOKUP(P199,'Thời hạn'!$A$17:$B$23,2,0))&gt;1,"Quá hạn"&amp;" "&amp;(NETWORKDAYS(R199,S199,'Danh sách ngày nghỉ lễ'!$B$5:$B$25)-1-VLOOKUP(P199,'Thời hạn'!$A$17:$B$23,2,0))&amp;" "&amp;"ngày","")))))</f>
        <v/>
      </c>
      <c r="Z199" s="23">
        <v>1</v>
      </c>
    </row>
    <row r="200" spans="1:26" s="24" customFormat="1" ht="15.6" x14ac:dyDescent="0.3">
      <c r="A200" s="24">
        <v>1</v>
      </c>
      <c r="B200" s="39"/>
      <c r="C200" s="33"/>
      <c r="D200" s="25"/>
      <c r="E200" s="25"/>
      <c r="F200" s="34"/>
      <c r="G200" s="34"/>
      <c r="H200" s="25"/>
      <c r="I200" s="70" t="str">
        <f>IF(C200="Trả lại đơn vụ","",IF(C200="Trả lại đơn việc","",IF(C200="Hòa giải thành","",IF(F200=0,"",EDATE(F200,VLOOKUP(C200,'Thời hạn'!$D$1:$E$10,2,0))+H200))))</f>
        <v/>
      </c>
      <c r="J200" s="59" t="str">
        <f t="shared" ca="1" si="2"/>
        <v/>
      </c>
      <c r="K200" s="25"/>
      <c r="L200" s="129"/>
      <c r="M200" s="130"/>
      <c r="N200" s="33"/>
      <c r="O200" s="34"/>
      <c r="P200" s="25"/>
      <c r="Q200" s="25"/>
      <c r="R200" s="34"/>
      <c r="S200" s="34"/>
      <c r="T200" s="137"/>
      <c r="U200" s="137"/>
      <c r="V200" s="36"/>
      <c r="W200" s="37"/>
      <c r="X200" s="71" t="str">
        <f>IF(C200="Trả lại đơn vụ","",IF(C200="Trả lại đơn việc","",IF((NETWORKDAYS(F200,G200,'Danh sách ngày nghỉ lễ'!$B$5:$B$25)-1-3)&gt;0,"Quá hạn"&amp;" "&amp;(NETWORKDAYS(F200,G200,'Danh sách ngày nghỉ lễ'!$B$5:$B$25)-1-3)&amp;" "&amp;"ngày","")))</f>
        <v/>
      </c>
      <c r="Y200" s="72" t="str">
        <f>IF(S200=0,"",IF(P200="Chuyển","",IF(P200="Nhập vào vụ khác","",IF(P200="BA",IF((S200-R200)&gt;10,"Quá hạn"&amp;" "&amp;(S200-R200-10)&amp;" "&amp;"ngày",""),IF((NETWORKDAYS(R200,S200,'Danh sách ngày nghỉ lễ'!$B$5:$B$25)-VLOOKUP(P200,'Thời hạn'!$A$17:$B$23,2,0))&gt;1,"Quá hạn"&amp;" "&amp;(NETWORKDAYS(R200,S200,'Danh sách ngày nghỉ lễ'!$B$5:$B$25)-1-VLOOKUP(P200,'Thời hạn'!$A$17:$B$23,2,0))&amp;" "&amp;"ngày","")))))</f>
        <v/>
      </c>
      <c r="Z200" s="23">
        <v>1</v>
      </c>
    </row>
    <row r="201" spans="1:26" s="24" customFormat="1" ht="15.6" x14ac:dyDescent="0.3">
      <c r="A201" s="24">
        <v>1</v>
      </c>
      <c r="B201" s="39"/>
      <c r="C201" s="33"/>
      <c r="D201" s="25"/>
      <c r="E201" s="25"/>
      <c r="F201" s="34"/>
      <c r="G201" s="34"/>
      <c r="H201" s="25"/>
      <c r="I201" s="70" t="str">
        <f>IF(C201="Trả lại đơn vụ","",IF(C201="Trả lại đơn việc","",IF(C201="Hòa giải thành","",IF(F201=0,"",EDATE(F201,VLOOKUP(C201,'Thời hạn'!$D$1:$E$10,2,0))+H201))))</f>
        <v/>
      </c>
      <c r="J201" s="59" t="str">
        <f t="shared" ca="1" si="2"/>
        <v/>
      </c>
      <c r="K201" s="25"/>
      <c r="L201" s="129"/>
      <c r="M201" s="130"/>
      <c r="N201" s="33"/>
      <c r="O201" s="34"/>
      <c r="P201" s="25"/>
      <c r="Q201" s="25"/>
      <c r="R201" s="34"/>
      <c r="S201" s="34"/>
      <c r="T201" s="137"/>
      <c r="U201" s="137"/>
      <c r="V201" s="36"/>
      <c r="W201" s="37"/>
      <c r="X201" s="71" t="str">
        <f>IF(C201="Trả lại đơn vụ","",IF(C201="Trả lại đơn việc","",IF((NETWORKDAYS(F201,G201,'Danh sách ngày nghỉ lễ'!$B$5:$B$25)-1-3)&gt;0,"Quá hạn"&amp;" "&amp;(NETWORKDAYS(F201,G201,'Danh sách ngày nghỉ lễ'!$B$5:$B$25)-1-3)&amp;" "&amp;"ngày","")))</f>
        <v/>
      </c>
      <c r="Y201" s="72" t="str">
        <f>IF(S201=0,"",IF(P201="Chuyển","",IF(P201="Nhập vào vụ khác","",IF(P201="BA",IF((S201-R201)&gt;10,"Quá hạn"&amp;" "&amp;(S201-R201-10)&amp;" "&amp;"ngày",""),IF((NETWORKDAYS(R201,S201,'Danh sách ngày nghỉ lễ'!$B$5:$B$25)-VLOOKUP(P201,'Thời hạn'!$A$17:$B$23,2,0))&gt;1,"Quá hạn"&amp;" "&amp;(NETWORKDAYS(R201,S201,'Danh sách ngày nghỉ lễ'!$B$5:$B$25)-1-VLOOKUP(P201,'Thời hạn'!$A$17:$B$23,2,0))&amp;" "&amp;"ngày","")))))</f>
        <v/>
      </c>
      <c r="Z201" s="23">
        <v>1</v>
      </c>
    </row>
    <row r="202" spans="1:26" s="24" customFormat="1" ht="15.6" x14ac:dyDescent="0.3">
      <c r="A202" s="24">
        <v>1</v>
      </c>
      <c r="B202" s="39"/>
      <c r="C202" s="33"/>
      <c r="D202" s="25"/>
      <c r="E202" s="25"/>
      <c r="F202" s="34"/>
      <c r="G202" s="34"/>
      <c r="H202" s="25"/>
      <c r="I202" s="70" t="str">
        <f>IF(C202="Trả lại đơn vụ","",IF(C202="Trả lại đơn việc","",IF(C202="Hòa giải thành","",IF(F202=0,"",EDATE(F202,VLOOKUP(C202,'Thời hạn'!$D$1:$E$10,2,0))+H202))))</f>
        <v/>
      </c>
      <c r="J202" s="59" t="str">
        <f t="shared" ca="1" si="2"/>
        <v/>
      </c>
      <c r="K202" s="25"/>
      <c r="L202" s="129"/>
      <c r="M202" s="130"/>
      <c r="N202" s="33"/>
      <c r="O202" s="34"/>
      <c r="P202" s="25"/>
      <c r="Q202" s="25"/>
      <c r="R202" s="34"/>
      <c r="S202" s="34"/>
      <c r="T202" s="137"/>
      <c r="U202" s="137"/>
      <c r="V202" s="36"/>
      <c r="W202" s="37"/>
      <c r="X202" s="71" t="str">
        <f>IF(C202="Trả lại đơn vụ","",IF(C202="Trả lại đơn việc","",IF((NETWORKDAYS(F202,G202,'Danh sách ngày nghỉ lễ'!$B$5:$B$25)-1-3)&gt;0,"Quá hạn"&amp;" "&amp;(NETWORKDAYS(F202,G202,'Danh sách ngày nghỉ lễ'!$B$5:$B$25)-1-3)&amp;" "&amp;"ngày","")))</f>
        <v/>
      </c>
      <c r="Y202" s="72" t="str">
        <f>IF(S202=0,"",IF(P202="Chuyển","",IF(P202="Nhập vào vụ khác","",IF(P202="BA",IF((S202-R202)&gt;10,"Quá hạn"&amp;" "&amp;(S202-R202-10)&amp;" "&amp;"ngày",""),IF((NETWORKDAYS(R202,S202,'Danh sách ngày nghỉ lễ'!$B$5:$B$25)-VLOOKUP(P202,'Thời hạn'!$A$17:$B$23,2,0))&gt;1,"Quá hạn"&amp;" "&amp;(NETWORKDAYS(R202,S202,'Danh sách ngày nghỉ lễ'!$B$5:$B$25)-1-VLOOKUP(P202,'Thời hạn'!$A$17:$B$23,2,0))&amp;" "&amp;"ngày","")))))</f>
        <v/>
      </c>
      <c r="Z202" s="23">
        <v>1</v>
      </c>
    </row>
    <row r="203" spans="1:26" s="24" customFormat="1" ht="15.6" x14ac:dyDescent="0.3">
      <c r="A203" s="24">
        <v>1</v>
      </c>
      <c r="B203" s="39"/>
      <c r="C203" s="33"/>
      <c r="D203" s="25"/>
      <c r="E203" s="25"/>
      <c r="F203" s="34"/>
      <c r="G203" s="34"/>
      <c r="H203" s="25"/>
      <c r="I203" s="70" t="str">
        <f>IF(C203="Trả lại đơn vụ","",IF(C203="Trả lại đơn việc","",IF(C203="Hòa giải thành","",IF(F203=0,"",EDATE(F203,VLOOKUP(C203,'Thời hạn'!$D$1:$E$10,2,0))+H203))))</f>
        <v/>
      </c>
      <c r="J203" s="59" t="str">
        <f t="shared" ref="J203:J227" ca="1" si="3">IF(C203="Trả lại đơn vụ","",IF(C203="Trả lại đơn việc","",IF(C203="Hòa giải thành","",IF(N203=0,IF(P203=0,IF(F203=0,"",I203-TODAY()+1),""),""))))</f>
        <v/>
      </c>
      <c r="K203" s="25"/>
      <c r="L203" s="129"/>
      <c r="M203" s="130"/>
      <c r="N203" s="33"/>
      <c r="O203" s="34"/>
      <c r="P203" s="25"/>
      <c r="Q203" s="25"/>
      <c r="R203" s="34"/>
      <c r="S203" s="34"/>
      <c r="T203" s="137"/>
      <c r="U203" s="137"/>
      <c r="V203" s="36"/>
      <c r="W203" s="37"/>
      <c r="X203" s="71" t="str">
        <f>IF(C203="Trả lại đơn vụ","",IF(C203="Trả lại đơn việc","",IF((NETWORKDAYS(F203,G203,'Danh sách ngày nghỉ lễ'!$B$5:$B$25)-1-3)&gt;0,"Quá hạn"&amp;" "&amp;(NETWORKDAYS(F203,G203,'Danh sách ngày nghỉ lễ'!$B$5:$B$25)-1-3)&amp;" "&amp;"ngày","")))</f>
        <v/>
      </c>
      <c r="Y203" s="72" t="str">
        <f>IF(S203=0,"",IF(P203="Chuyển","",IF(P203="Nhập vào vụ khác","",IF(P203="BA",IF((S203-R203)&gt;10,"Quá hạn"&amp;" "&amp;(S203-R203-10)&amp;" "&amp;"ngày",""),IF((NETWORKDAYS(R203,S203,'Danh sách ngày nghỉ lễ'!$B$5:$B$25)-VLOOKUP(P203,'Thời hạn'!$A$17:$B$23,2,0))&gt;1,"Quá hạn"&amp;" "&amp;(NETWORKDAYS(R203,S203,'Danh sách ngày nghỉ lễ'!$B$5:$B$25)-1-VLOOKUP(P203,'Thời hạn'!$A$17:$B$23,2,0))&amp;" "&amp;"ngày","")))))</f>
        <v/>
      </c>
      <c r="Z203" s="23">
        <v>1</v>
      </c>
    </row>
    <row r="204" spans="1:26" s="24" customFormat="1" ht="15.6" x14ac:dyDescent="0.3">
      <c r="A204" s="24">
        <v>1</v>
      </c>
      <c r="B204" s="39"/>
      <c r="C204" s="33"/>
      <c r="D204" s="25"/>
      <c r="E204" s="25"/>
      <c r="F204" s="34"/>
      <c r="G204" s="34"/>
      <c r="H204" s="25"/>
      <c r="I204" s="70" t="str">
        <f>IF(C204="Trả lại đơn vụ","",IF(C204="Trả lại đơn việc","",IF(C204="Hòa giải thành","",IF(F204=0,"",EDATE(F204,VLOOKUP(C204,'Thời hạn'!$D$1:$E$10,2,0))+H204))))</f>
        <v/>
      </c>
      <c r="J204" s="59" t="str">
        <f t="shared" ca="1" si="3"/>
        <v/>
      </c>
      <c r="K204" s="25"/>
      <c r="L204" s="129"/>
      <c r="M204" s="130"/>
      <c r="N204" s="33"/>
      <c r="O204" s="34"/>
      <c r="P204" s="25"/>
      <c r="Q204" s="25"/>
      <c r="R204" s="34"/>
      <c r="S204" s="34"/>
      <c r="T204" s="137"/>
      <c r="U204" s="137"/>
      <c r="V204" s="36"/>
      <c r="W204" s="37"/>
      <c r="X204" s="71" t="str">
        <f>IF(C204="Trả lại đơn vụ","",IF(C204="Trả lại đơn việc","",IF((NETWORKDAYS(F204,G204,'Danh sách ngày nghỉ lễ'!$B$5:$B$25)-1-3)&gt;0,"Quá hạn"&amp;" "&amp;(NETWORKDAYS(F204,G204,'Danh sách ngày nghỉ lễ'!$B$5:$B$25)-1-3)&amp;" "&amp;"ngày","")))</f>
        <v/>
      </c>
      <c r="Y204" s="72" t="str">
        <f>IF(S204=0,"",IF(P204="Chuyển","",IF(P204="Nhập vào vụ khác","",IF(P204="BA",IF((S204-R204)&gt;10,"Quá hạn"&amp;" "&amp;(S204-R204-10)&amp;" "&amp;"ngày",""),IF((NETWORKDAYS(R204,S204,'Danh sách ngày nghỉ lễ'!$B$5:$B$25)-VLOOKUP(P204,'Thời hạn'!$A$17:$B$23,2,0))&gt;1,"Quá hạn"&amp;" "&amp;(NETWORKDAYS(R204,S204,'Danh sách ngày nghỉ lễ'!$B$5:$B$25)-1-VLOOKUP(P204,'Thời hạn'!$A$17:$B$23,2,0))&amp;" "&amp;"ngày","")))))</f>
        <v/>
      </c>
      <c r="Z204" s="23">
        <v>1</v>
      </c>
    </row>
    <row r="205" spans="1:26" s="24" customFormat="1" ht="15.6" x14ac:dyDescent="0.3">
      <c r="A205" s="24">
        <v>1</v>
      </c>
      <c r="B205" s="39"/>
      <c r="C205" s="33"/>
      <c r="D205" s="25"/>
      <c r="E205" s="25"/>
      <c r="F205" s="34"/>
      <c r="G205" s="34"/>
      <c r="H205" s="25"/>
      <c r="I205" s="70" t="str">
        <f>IF(C205="Trả lại đơn vụ","",IF(C205="Trả lại đơn việc","",IF(C205="Hòa giải thành","",IF(F205=0,"",EDATE(F205,VLOOKUP(C205,'Thời hạn'!$D$1:$E$10,2,0))+H205))))</f>
        <v/>
      </c>
      <c r="J205" s="59" t="str">
        <f t="shared" ca="1" si="3"/>
        <v/>
      </c>
      <c r="K205" s="25"/>
      <c r="L205" s="129"/>
      <c r="M205" s="130"/>
      <c r="N205" s="33"/>
      <c r="O205" s="34"/>
      <c r="P205" s="25"/>
      <c r="Q205" s="25"/>
      <c r="R205" s="34"/>
      <c r="S205" s="34"/>
      <c r="T205" s="137"/>
      <c r="U205" s="137"/>
      <c r="V205" s="36"/>
      <c r="W205" s="37"/>
      <c r="X205" s="71" t="str">
        <f>IF(C205="Trả lại đơn vụ","",IF(C205="Trả lại đơn việc","",IF((NETWORKDAYS(F205,G205,'Danh sách ngày nghỉ lễ'!$B$5:$B$25)-1-3)&gt;0,"Quá hạn"&amp;" "&amp;(NETWORKDAYS(F205,G205,'Danh sách ngày nghỉ lễ'!$B$5:$B$25)-1-3)&amp;" "&amp;"ngày","")))</f>
        <v/>
      </c>
      <c r="Y205" s="72" t="str">
        <f>IF(S205=0,"",IF(P205="Chuyển","",IF(P205="Nhập vào vụ khác","",IF(P205="BA",IF((S205-R205)&gt;10,"Quá hạn"&amp;" "&amp;(S205-R205-10)&amp;" "&amp;"ngày",""),IF((NETWORKDAYS(R205,S205,'Danh sách ngày nghỉ lễ'!$B$5:$B$25)-VLOOKUP(P205,'Thời hạn'!$A$17:$B$23,2,0))&gt;1,"Quá hạn"&amp;" "&amp;(NETWORKDAYS(R205,S205,'Danh sách ngày nghỉ lễ'!$B$5:$B$25)-1-VLOOKUP(P205,'Thời hạn'!$A$17:$B$23,2,0))&amp;" "&amp;"ngày","")))))</f>
        <v/>
      </c>
      <c r="Z205" s="23">
        <v>1</v>
      </c>
    </row>
    <row r="206" spans="1:26" s="24" customFormat="1" ht="15.6" x14ac:dyDescent="0.3">
      <c r="A206" s="24">
        <v>1</v>
      </c>
      <c r="B206" s="39"/>
      <c r="C206" s="33"/>
      <c r="D206" s="25"/>
      <c r="E206" s="25"/>
      <c r="F206" s="34"/>
      <c r="G206" s="34"/>
      <c r="H206" s="25"/>
      <c r="I206" s="70" t="str">
        <f>IF(C206="Trả lại đơn vụ","",IF(C206="Trả lại đơn việc","",IF(C206="Hòa giải thành","",IF(F206=0,"",EDATE(F206,VLOOKUP(C206,'Thời hạn'!$D$1:$E$10,2,0))+H206))))</f>
        <v/>
      </c>
      <c r="J206" s="59" t="str">
        <f t="shared" ca="1" si="3"/>
        <v/>
      </c>
      <c r="K206" s="25"/>
      <c r="L206" s="129"/>
      <c r="M206" s="130"/>
      <c r="N206" s="33"/>
      <c r="O206" s="34"/>
      <c r="P206" s="25"/>
      <c r="Q206" s="25"/>
      <c r="R206" s="34"/>
      <c r="S206" s="34"/>
      <c r="T206" s="137"/>
      <c r="U206" s="137"/>
      <c r="V206" s="36"/>
      <c r="W206" s="37"/>
      <c r="X206" s="71" t="str">
        <f>IF(C206="Trả lại đơn vụ","",IF(C206="Trả lại đơn việc","",IF((NETWORKDAYS(F206,G206,'Danh sách ngày nghỉ lễ'!$B$5:$B$25)-1-3)&gt;0,"Quá hạn"&amp;" "&amp;(NETWORKDAYS(F206,G206,'Danh sách ngày nghỉ lễ'!$B$5:$B$25)-1-3)&amp;" "&amp;"ngày","")))</f>
        <v/>
      </c>
      <c r="Y206" s="72" t="str">
        <f>IF(S206=0,"",IF(P206="Chuyển","",IF(P206="Nhập vào vụ khác","",IF(P206="BA",IF((S206-R206)&gt;10,"Quá hạn"&amp;" "&amp;(S206-R206-10)&amp;" "&amp;"ngày",""),IF((NETWORKDAYS(R206,S206,'Danh sách ngày nghỉ lễ'!$B$5:$B$25)-VLOOKUP(P206,'Thời hạn'!$A$17:$B$23,2,0))&gt;1,"Quá hạn"&amp;" "&amp;(NETWORKDAYS(R206,S206,'Danh sách ngày nghỉ lễ'!$B$5:$B$25)-1-VLOOKUP(P206,'Thời hạn'!$A$17:$B$23,2,0))&amp;" "&amp;"ngày","")))))</f>
        <v/>
      </c>
      <c r="Z206" s="23">
        <v>1</v>
      </c>
    </row>
    <row r="207" spans="1:26" s="24" customFormat="1" ht="15.6" x14ac:dyDescent="0.3">
      <c r="A207" s="24">
        <v>1</v>
      </c>
      <c r="B207" s="39"/>
      <c r="C207" s="33"/>
      <c r="D207" s="25"/>
      <c r="E207" s="25"/>
      <c r="F207" s="34"/>
      <c r="G207" s="34"/>
      <c r="H207" s="25"/>
      <c r="I207" s="70" t="str">
        <f>IF(C207="Trả lại đơn vụ","",IF(C207="Trả lại đơn việc","",IF(C207="Hòa giải thành","",IF(F207=0,"",EDATE(F207,VLOOKUP(C207,'Thời hạn'!$D$1:$E$10,2,0))+H207))))</f>
        <v/>
      </c>
      <c r="J207" s="59" t="str">
        <f t="shared" ca="1" si="3"/>
        <v/>
      </c>
      <c r="K207" s="25"/>
      <c r="L207" s="129"/>
      <c r="M207" s="130"/>
      <c r="N207" s="33"/>
      <c r="O207" s="34"/>
      <c r="P207" s="25"/>
      <c r="Q207" s="25"/>
      <c r="R207" s="34"/>
      <c r="S207" s="34"/>
      <c r="T207" s="137"/>
      <c r="U207" s="137"/>
      <c r="V207" s="36"/>
      <c r="W207" s="37"/>
      <c r="X207" s="71" t="str">
        <f>IF(C207="Trả lại đơn vụ","",IF(C207="Trả lại đơn việc","",IF((NETWORKDAYS(F207,G207,'Danh sách ngày nghỉ lễ'!$B$5:$B$25)-1-3)&gt;0,"Quá hạn"&amp;" "&amp;(NETWORKDAYS(F207,G207,'Danh sách ngày nghỉ lễ'!$B$5:$B$25)-1-3)&amp;" "&amp;"ngày","")))</f>
        <v/>
      </c>
      <c r="Y207" s="72" t="str">
        <f>IF(S207=0,"",IF(P207="Chuyển","",IF(P207="Nhập vào vụ khác","",IF(P207="BA",IF((S207-R207)&gt;10,"Quá hạn"&amp;" "&amp;(S207-R207-10)&amp;" "&amp;"ngày",""),IF((NETWORKDAYS(R207,S207,'Danh sách ngày nghỉ lễ'!$B$5:$B$25)-VLOOKUP(P207,'Thời hạn'!$A$17:$B$23,2,0))&gt;1,"Quá hạn"&amp;" "&amp;(NETWORKDAYS(R207,S207,'Danh sách ngày nghỉ lễ'!$B$5:$B$25)-1-VLOOKUP(P207,'Thời hạn'!$A$17:$B$23,2,0))&amp;" "&amp;"ngày","")))))</f>
        <v/>
      </c>
      <c r="Z207" s="23">
        <v>1</v>
      </c>
    </row>
    <row r="208" spans="1:26" s="24" customFormat="1" ht="15.6" x14ac:dyDescent="0.3">
      <c r="A208" s="24">
        <v>1</v>
      </c>
      <c r="B208" s="39"/>
      <c r="C208" s="33"/>
      <c r="D208" s="25"/>
      <c r="E208" s="25"/>
      <c r="F208" s="34"/>
      <c r="G208" s="34"/>
      <c r="H208" s="25"/>
      <c r="I208" s="70" t="str">
        <f>IF(C208="Trả lại đơn vụ","",IF(C208="Trả lại đơn việc","",IF(C208="Hòa giải thành","",IF(F208=0,"",EDATE(F208,VLOOKUP(C208,'Thời hạn'!$D$1:$E$10,2,0))+H208))))</f>
        <v/>
      </c>
      <c r="J208" s="59" t="str">
        <f t="shared" ca="1" si="3"/>
        <v/>
      </c>
      <c r="K208" s="25"/>
      <c r="L208" s="129"/>
      <c r="M208" s="130"/>
      <c r="N208" s="33"/>
      <c r="O208" s="34"/>
      <c r="P208" s="25"/>
      <c r="Q208" s="25"/>
      <c r="R208" s="34"/>
      <c r="S208" s="34"/>
      <c r="T208" s="137"/>
      <c r="U208" s="137"/>
      <c r="V208" s="36"/>
      <c r="W208" s="37"/>
      <c r="X208" s="71" t="str">
        <f>IF(C208="Trả lại đơn vụ","",IF(C208="Trả lại đơn việc","",IF((NETWORKDAYS(F208,G208,'Danh sách ngày nghỉ lễ'!$B$5:$B$25)-1-3)&gt;0,"Quá hạn"&amp;" "&amp;(NETWORKDAYS(F208,G208,'Danh sách ngày nghỉ lễ'!$B$5:$B$25)-1-3)&amp;" "&amp;"ngày","")))</f>
        <v/>
      </c>
      <c r="Y208" s="72" t="str">
        <f>IF(S208=0,"",IF(P208="Chuyển","",IF(P208="Nhập vào vụ khác","",IF(P208="BA",IF((S208-R208)&gt;10,"Quá hạn"&amp;" "&amp;(S208-R208-10)&amp;" "&amp;"ngày",""),IF((NETWORKDAYS(R208,S208,'Danh sách ngày nghỉ lễ'!$B$5:$B$25)-VLOOKUP(P208,'Thời hạn'!$A$17:$B$23,2,0))&gt;1,"Quá hạn"&amp;" "&amp;(NETWORKDAYS(R208,S208,'Danh sách ngày nghỉ lễ'!$B$5:$B$25)-1-VLOOKUP(P208,'Thời hạn'!$A$17:$B$23,2,0))&amp;" "&amp;"ngày","")))))</f>
        <v/>
      </c>
      <c r="Z208" s="23">
        <v>1</v>
      </c>
    </row>
    <row r="209" spans="1:26" s="24" customFormat="1" ht="15.6" x14ac:dyDescent="0.3">
      <c r="A209" s="24">
        <v>1</v>
      </c>
      <c r="B209" s="39"/>
      <c r="C209" s="33"/>
      <c r="D209" s="25"/>
      <c r="E209" s="25"/>
      <c r="F209" s="34"/>
      <c r="G209" s="34"/>
      <c r="H209" s="25"/>
      <c r="I209" s="70" t="str">
        <f>IF(C209="Trả lại đơn vụ","",IF(C209="Trả lại đơn việc","",IF(C209="Hòa giải thành","",IF(F209=0,"",EDATE(F209,VLOOKUP(C209,'Thời hạn'!$D$1:$E$10,2,0))+H209))))</f>
        <v/>
      </c>
      <c r="J209" s="59" t="str">
        <f t="shared" ca="1" si="3"/>
        <v/>
      </c>
      <c r="K209" s="25"/>
      <c r="L209" s="129"/>
      <c r="M209" s="130"/>
      <c r="N209" s="33"/>
      <c r="O209" s="34"/>
      <c r="P209" s="25"/>
      <c r="Q209" s="25"/>
      <c r="R209" s="34"/>
      <c r="S209" s="34"/>
      <c r="T209" s="137"/>
      <c r="U209" s="137"/>
      <c r="V209" s="36"/>
      <c r="W209" s="37"/>
      <c r="X209" s="71" t="str">
        <f>IF(C209="Trả lại đơn vụ","",IF(C209="Trả lại đơn việc","",IF((NETWORKDAYS(F209,G209,'Danh sách ngày nghỉ lễ'!$B$5:$B$25)-1-3)&gt;0,"Quá hạn"&amp;" "&amp;(NETWORKDAYS(F209,G209,'Danh sách ngày nghỉ lễ'!$B$5:$B$25)-1-3)&amp;" "&amp;"ngày","")))</f>
        <v/>
      </c>
      <c r="Y209" s="72" t="str">
        <f>IF(S209=0,"",IF(P209="Chuyển","",IF(P209="Nhập vào vụ khác","",IF(P209="BA",IF((S209-R209)&gt;10,"Quá hạn"&amp;" "&amp;(S209-R209-10)&amp;" "&amp;"ngày",""),IF((NETWORKDAYS(R209,S209,'Danh sách ngày nghỉ lễ'!$B$5:$B$25)-VLOOKUP(P209,'Thời hạn'!$A$17:$B$23,2,0))&gt;1,"Quá hạn"&amp;" "&amp;(NETWORKDAYS(R209,S209,'Danh sách ngày nghỉ lễ'!$B$5:$B$25)-1-VLOOKUP(P209,'Thời hạn'!$A$17:$B$23,2,0))&amp;" "&amp;"ngày","")))))</f>
        <v/>
      </c>
      <c r="Z209" s="23">
        <v>1</v>
      </c>
    </row>
    <row r="210" spans="1:26" s="24" customFormat="1" ht="15.6" x14ac:dyDescent="0.3">
      <c r="A210" s="24">
        <v>1</v>
      </c>
      <c r="B210" s="39"/>
      <c r="C210" s="33"/>
      <c r="D210" s="25"/>
      <c r="E210" s="25"/>
      <c r="F210" s="34"/>
      <c r="G210" s="34"/>
      <c r="H210" s="25"/>
      <c r="I210" s="70" t="str">
        <f>IF(C210="Trả lại đơn vụ","",IF(C210="Trả lại đơn việc","",IF(C210="Hòa giải thành","",IF(F210=0,"",EDATE(F210,VLOOKUP(C210,'Thời hạn'!$D$1:$E$10,2,0))+H210))))</f>
        <v/>
      </c>
      <c r="J210" s="59" t="str">
        <f t="shared" ca="1" si="3"/>
        <v/>
      </c>
      <c r="K210" s="25"/>
      <c r="L210" s="129"/>
      <c r="M210" s="130"/>
      <c r="N210" s="33"/>
      <c r="O210" s="34"/>
      <c r="P210" s="25"/>
      <c r="Q210" s="25"/>
      <c r="R210" s="34"/>
      <c r="S210" s="34"/>
      <c r="T210" s="137"/>
      <c r="U210" s="137"/>
      <c r="V210" s="36"/>
      <c r="W210" s="37"/>
      <c r="X210" s="71" t="str">
        <f>IF(C210="Trả lại đơn vụ","",IF(C210="Trả lại đơn việc","",IF((NETWORKDAYS(F210,G210,'Danh sách ngày nghỉ lễ'!$B$5:$B$25)-1-3)&gt;0,"Quá hạn"&amp;" "&amp;(NETWORKDAYS(F210,G210,'Danh sách ngày nghỉ lễ'!$B$5:$B$25)-1-3)&amp;" "&amp;"ngày","")))</f>
        <v/>
      </c>
      <c r="Y210" s="72" t="str">
        <f>IF(S210=0,"",IF(P210="Chuyển","",IF(P210="Nhập vào vụ khác","",IF(P210="BA",IF((S210-R210)&gt;10,"Quá hạn"&amp;" "&amp;(S210-R210-10)&amp;" "&amp;"ngày",""),IF((NETWORKDAYS(R210,S210,'Danh sách ngày nghỉ lễ'!$B$5:$B$25)-VLOOKUP(P210,'Thời hạn'!$A$17:$B$23,2,0))&gt;1,"Quá hạn"&amp;" "&amp;(NETWORKDAYS(R210,S210,'Danh sách ngày nghỉ lễ'!$B$5:$B$25)-1-VLOOKUP(P210,'Thời hạn'!$A$17:$B$23,2,0))&amp;" "&amp;"ngày","")))))</f>
        <v/>
      </c>
      <c r="Z210" s="23">
        <v>1</v>
      </c>
    </row>
    <row r="211" spans="1:26" s="24" customFormat="1" ht="15.6" x14ac:dyDescent="0.3">
      <c r="A211" s="24">
        <v>1</v>
      </c>
      <c r="B211" s="39"/>
      <c r="C211" s="33"/>
      <c r="D211" s="25"/>
      <c r="E211" s="25"/>
      <c r="F211" s="34"/>
      <c r="G211" s="34"/>
      <c r="H211" s="25"/>
      <c r="I211" s="70" t="str">
        <f>IF(C211="Trả lại đơn vụ","",IF(C211="Trả lại đơn việc","",IF(C211="Hòa giải thành","",IF(F211=0,"",EDATE(F211,VLOOKUP(C211,'Thời hạn'!$D$1:$E$10,2,0))+H211))))</f>
        <v/>
      </c>
      <c r="J211" s="59" t="str">
        <f t="shared" ca="1" si="3"/>
        <v/>
      </c>
      <c r="K211" s="25"/>
      <c r="L211" s="129"/>
      <c r="M211" s="130"/>
      <c r="N211" s="33"/>
      <c r="O211" s="34"/>
      <c r="P211" s="25"/>
      <c r="Q211" s="25"/>
      <c r="R211" s="34"/>
      <c r="S211" s="34"/>
      <c r="T211" s="137"/>
      <c r="U211" s="137"/>
      <c r="V211" s="36"/>
      <c r="W211" s="37"/>
      <c r="X211" s="71" t="str">
        <f>IF(C211="Trả lại đơn vụ","",IF(C211="Trả lại đơn việc","",IF((NETWORKDAYS(F211,G211,'Danh sách ngày nghỉ lễ'!$B$5:$B$25)-1-3)&gt;0,"Quá hạn"&amp;" "&amp;(NETWORKDAYS(F211,G211,'Danh sách ngày nghỉ lễ'!$B$5:$B$25)-1-3)&amp;" "&amp;"ngày","")))</f>
        <v/>
      </c>
      <c r="Y211" s="72" t="str">
        <f>IF(S211=0,"",IF(P211="Chuyển","",IF(P211="Nhập vào vụ khác","",IF(P211="BA",IF((S211-R211)&gt;10,"Quá hạn"&amp;" "&amp;(S211-R211-10)&amp;" "&amp;"ngày",""),IF((NETWORKDAYS(R211,S211,'Danh sách ngày nghỉ lễ'!$B$5:$B$25)-VLOOKUP(P211,'Thời hạn'!$A$17:$B$23,2,0))&gt;1,"Quá hạn"&amp;" "&amp;(NETWORKDAYS(R211,S211,'Danh sách ngày nghỉ lễ'!$B$5:$B$25)-1-VLOOKUP(P211,'Thời hạn'!$A$17:$B$23,2,0))&amp;" "&amp;"ngày","")))))</f>
        <v/>
      </c>
      <c r="Z211" s="23">
        <v>1</v>
      </c>
    </row>
    <row r="212" spans="1:26" s="24" customFormat="1" ht="15.6" x14ac:dyDescent="0.3">
      <c r="A212" s="24">
        <v>1</v>
      </c>
      <c r="B212" s="85"/>
      <c r="C212" s="25"/>
      <c r="D212" s="25"/>
      <c r="E212" s="25"/>
      <c r="F212" s="34"/>
      <c r="G212" s="34"/>
      <c r="H212" s="25"/>
      <c r="I212" s="70" t="str">
        <f>IF(C212="Trả lại đơn vụ","",IF(C212="Trả lại đơn việc","",IF(C212="Hòa giải thành","",IF(F212=0,"",EDATE(F212,VLOOKUP(C212,'Thời hạn'!$D$1:$E$10,2,0))+H212))))</f>
        <v/>
      </c>
      <c r="J212" s="59" t="str">
        <f t="shared" ca="1" si="3"/>
        <v/>
      </c>
      <c r="K212" s="25"/>
      <c r="L212" s="137"/>
      <c r="M212" s="137"/>
      <c r="N212" s="25"/>
      <c r="O212" s="34"/>
      <c r="P212" s="25"/>
      <c r="Q212" s="25"/>
      <c r="R212" s="34"/>
      <c r="S212" s="34"/>
      <c r="T212" s="137"/>
      <c r="U212" s="137"/>
      <c r="V212" s="36"/>
      <c r="W212" s="37"/>
      <c r="X212" s="71" t="str">
        <f>IF(C212="Trả lại đơn vụ","",IF(C212="Trả lại đơn việc","",IF((NETWORKDAYS(F212,G212,'Danh sách ngày nghỉ lễ'!$B$5:$B$25)-1-3)&gt;0,"Quá hạn"&amp;" "&amp;(NETWORKDAYS(F212,G212,'Danh sách ngày nghỉ lễ'!$B$5:$B$25)-1-3)&amp;" "&amp;"ngày","")))</f>
        <v/>
      </c>
      <c r="Y212" s="72" t="str">
        <f>IF(S212=0,"",IF(P212="Chuyển","",IF(P212="Nhập vào vụ khác","",IF(P212="BA",IF((S212-R212)&gt;10,"Quá hạn"&amp;" "&amp;(S212-R212-10)&amp;" "&amp;"ngày",""),IF((NETWORKDAYS(R212,S212,'Danh sách ngày nghỉ lễ'!$B$5:$B$25)-VLOOKUP(P212,'Thời hạn'!$A$17:$B$23,2,0))&gt;1,"Quá hạn"&amp;" "&amp;(NETWORKDAYS(R212,S212,'Danh sách ngày nghỉ lễ'!$B$5:$B$25)-1-VLOOKUP(P212,'Thời hạn'!$A$17:$B$23,2,0))&amp;" "&amp;"ngày","")))))</f>
        <v/>
      </c>
      <c r="Z212" s="23">
        <v>1</v>
      </c>
    </row>
    <row r="213" spans="1:26" s="24" customFormat="1" ht="15.6" x14ac:dyDescent="0.3">
      <c r="A213" s="24">
        <v>1</v>
      </c>
      <c r="B213" s="93"/>
      <c r="C213" s="94"/>
      <c r="D213" s="95"/>
      <c r="E213" s="95"/>
      <c r="F213" s="96"/>
      <c r="G213" s="96"/>
      <c r="H213" s="95"/>
      <c r="I213" s="102" t="str">
        <f>IF(C213="Trả lại đơn vụ","",IF(C213="Trả lại đơn việc","",IF(C213="Hòa giải thành","",IF(F213=0,"",EDATE(F213,VLOOKUP(C213,'Thời hạn'!$D$1:$E$10,2,0))+H213))))</f>
        <v/>
      </c>
      <c r="J213" s="103" t="str">
        <f t="shared" ca="1" si="3"/>
        <v/>
      </c>
      <c r="K213" s="95"/>
      <c r="L213" s="140"/>
      <c r="M213" s="141"/>
      <c r="N213" s="94"/>
      <c r="O213" s="96"/>
      <c r="P213" s="95"/>
      <c r="Q213" s="95"/>
      <c r="R213" s="96"/>
      <c r="S213" s="96"/>
      <c r="T213" s="144"/>
      <c r="U213" s="144"/>
      <c r="V213" s="36"/>
      <c r="W213" s="37"/>
      <c r="X213" s="71" t="str">
        <f>IF(C213="Trả lại đơn vụ","",IF(C213="Trả lại đơn việc","",IF((NETWORKDAYS(F213,G213,'Danh sách ngày nghỉ lễ'!$B$5:$B$25)-1-3)&gt;0,"Quá hạn"&amp;" "&amp;(NETWORKDAYS(F213,G213,'Danh sách ngày nghỉ lễ'!$B$5:$B$25)-1-3)&amp;" "&amp;"ngày","")))</f>
        <v/>
      </c>
      <c r="Y213" s="72" t="str">
        <f>IF(S213=0,"",IF(P213="Chuyển","",IF(P213="Nhập vào vụ khác","",IF(P213="BA",IF((S213-R213)&gt;10,"Quá hạn"&amp;" "&amp;(S213-R213-10)&amp;" "&amp;"ngày",""),IF((NETWORKDAYS(R213,S213,'Danh sách ngày nghỉ lễ'!$B$5:$B$25)-VLOOKUP(P213,'Thời hạn'!$A$17:$B$23,2,0))&gt;1,"Quá hạn"&amp;" "&amp;(NETWORKDAYS(R213,S213,'Danh sách ngày nghỉ lễ'!$B$5:$B$25)-1-VLOOKUP(P213,'Thời hạn'!$A$17:$B$23,2,0))&amp;" "&amp;"ngày","")))))</f>
        <v/>
      </c>
      <c r="Z213" s="23">
        <v>1</v>
      </c>
    </row>
    <row r="214" spans="1:26" s="24" customFormat="1" ht="15.6" x14ac:dyDescent="0.3">
      <c r="A214" s="24">
        <v>1</v>
      </c>
      <c r="B214" s="39"/>
      <c r="C214" s="33"/>
      <c r="D214" s="25"/>
      <c r="E214" s="25"/>
      <c r="F214" s="34"/>
      <c r="G214" s="34"/>
      <c r="H214" s="25"/>
      <c r="I214" s="70" t="str">
        <f>IF(C214="Trả lại đơn vụ","",IF(C214="Trả lại đơn việc","",IF(C214="Hòa giải thành","",IF(F214=0,"",EDATE(F214,VLOOKUP(C214,'Thời hạn'!$D$1:$E$10,2,0))+H214))))</f>
        <v/>
      </c>
      <c r="J214" s="59" t="str">
        <f t="shared" ca="1" si="3"/>
        <v/>
      </c>
      <c r="K214" s="25"/>
      <c r="L214" s="129"/>
      <c r="M214" s="130"/>
      <c r="N214" s="33"/>
      <c r="O214" s="34"/>
      <c r="P214" s="25"/>
      <c r="Q214" s="25"/>
      <c r="R214" s="34"/>
      <c r="S214" s="34"/>
      <c r="T214" s="137"/>
      <c r="U214" s="137"/>
      <c r="V214" s="36"/>
      <c r="W214" s="37"/>
      <c r="X214" s="71" t="str">
        <f>IF(C214="Trả lại đơn vụ","",IF(C214="Trả lại đơn việc","",IF((NETWORKDAYS(F214,G214,'Danh sách ngày nghỉ lễ'!$B$5:$B$25)-1-3)&gt;0,"Quá hạn"&amp;" "&amp;(NETWORKDAYS(F214,G214,'Danh sách ngày nghỉ lễ'!$B$5:$B$25)-1-3)&amp;" "&amp;"ngày","")))</f>
        <v/>
      </c>
      <c r="Y214" s="72" t="str">
        <f>IF(S214=0,"",IF(P214="Chuyển","",IF(P214="Nhập vào vụ khác","",IF(P214="BA",IF((S214-R214)&gt;10,"Quá hạn"&amp;" "&amp;(S214-R214-10)&amp;" "&amp;"ngày",""),IF((NETWORKDAYS(R214,S214,'Danh sách ngày nghỉ lễ'!$B$5:$B$25)-VLOOKUP(P214,'Thời hạn'!$A$17:$B$23,2,0))&gt;1,"Quá hạn"&amp;" "&amp;(NETWORKDAYS(R214,S214,'Danh sách ngày nghỉ lễ'!$B$5:$B$25)-1-VLOOKUP(P214,'Thời hạn'!$A$17:$B$23,2,0))&amp;" "&amp;"ngày","")))))</f>
        <v/>
      </c>
      <c r="Z214" s="23">
        <v>1</v>
      </c>
    </row>
    <row r="215" spans="1:26" s="24" customFormat="1" ht="15.6" x14ac:dyDescent="0.3">
      <c r="A215" s="24">
        <v>1</v>
      </c>
      <c r="B215" s="39"/>
      <c r="C215" s="33"/>
      <c r="D215" s="25"/>
      <c r="E215" s="25"/>
      <c r="F215" s="34"/>
      <c r="G215" s="34"/>
      <c r="H215" s="25"/>
      <c r="I215" s="70" t="str">
        <f>IF(C215="Trả lại đơn vụ","",IF(C215="Trả lại đơn việc","",IF(C215="Hòa giải thành","",IF(F215=0,"",EDATE(F215,VLOOKUP(C215,'Thời hạn'!$D$1:$E$10,2,0))+H215))))</f>
        <v/>
      </c>
      <c r="J215" s="59" t="str">
        <f t="shared" ca="1" si="3"/>
        <v/>
      </c>
      <c r="K215" s="25"/>
      <c r="L215" s="129"/>
      <c r="M215" s="130"/>
      <c r="N215" s="33"/>
      <c r="O215" s="34"/>
      <c r="P215" s="25"/>
      <c r="Q215" s="25"/>
      <c r="R215" s="34"/>
      <c r="S215" s="34"/>
      <c r="T215" s="137"/>
      <c r="U215" s="137"/>
      <c r="V215" s="36"/>
      <c r="W215" s="37"/>
      <c r="X215" s="71" t="str">
        <f>IF(C215="Trả lại đơn vụ","",IF(C215="Trả lại đơn việc","",IF((NETWORKDAYS(F215,G215,'Danh sách ngày nghỉ lễ'!$B$5:$B$25)-1-3)&gt;0,"Quá hạn"&amp;" "&amp;(NETWORKDAYS(F215,G215,'Danh sách ngày nghỉ lễ'!$B$5:$B$25)-1-3)&amp;" "&amp;"ngày","")))</f>
        <v/>
      </c>
      <c r="Y215" s="72" t="str">
        <f>IF(S215=0,"",IF(P215="Chuyển","",IF(P215="Nhập vào vụ khác","",IF(P215="BA",IF((S215-R215)&gt;10,"Quá hạn"&amp;" "&amp;(S215-R215-10)&amp;" "&amp;"ngày",""),IF((NETWORKDAYS(R215,S215,'Danh sách ngày nghỉ lễ'!$B$5:$B$25)-VLOOKUP(P215,'Thời hạn'!$A$17:$B$23,2,0))&gt;1,"Quá hạn"&amp;" "&amp;(NETWORKDAYS(R215,S215,'Danh sách ngày nghỉ lễ'!$B$5:$B$25)-1-VLOOKUP(P215,'Thời hạn'!$A$17:$B$23,2,0))&amp;" "&amp;"ngày","")))))</f>
        <v/>
      </c>
      <c r="Z215" s="23">
        <v>1</v>
      </c>
    </row>
    <row r="216" spans="1:26" s="24" customFormat="1" ht="15.6" x14ac:dyDescent="0.3">
      <c r="A216" s="24">
        <v>1</v>
      </c>
      <c r="B216" s="39"/>
      <c r="C216" s="33"/>
      <c r="D216" s="25"/>
      <c r="E216" s="25"/>
      <c r="F216" s="34"/>
      <c r="G216" s="34"/>
      <c r="H216" s="25"/>
      <c r="I216" s="70" t="str">
        <f>IF(C216="Trả lại đơn vụ","",IF(C216="Trả lại đơn việc","",IF(C216="Hòa giải thành","",IF(F216=0,"",EDATE(F216,VLOOKUP(C216,'Thời hạn'!$D$1:$E$10,2,0))+H216))))</f>
        <v/>
      </c>
      <c r="J216" s="59" t="str">
        <f t="shared" ca="1" si="3"/>
        <v/>
      </c>
      <c r="K216" s="25"/>
      <c r="L216" s="129"/>
      <c r="M216" s="130"/>
      <c r="N216" s="33"/>
      <c r="O216" s="34"/>
      <c r="P216" s="25"/>
      <c r="Q216" s="25"/>
      <c r="R216" s="34"/>
      <c r="S216" s="34"/>
      <c r="T216" s="137"/>
      <c r="U216" s="137"/>
      <c r="V216" s="36"/>
      <c r="W216" s="37"/>
      <c r="X216" s="71" t="str">
        <f>IF(C216="Trả lại đơn vụ","",IF(C216="Trả lại đơn việc","",IF((NETWORKDAYS(F216,G216,'Danh sách ngày nghỉ lễ'!$B$5:$B$25)-1-3)&gt;0,"Quá hạn"&amp;" "&amp;(NETWORKDAYS(F216,G216,'Danh sách ngày nghỉ lễ'!$B$5:$B$25)-1-3)&amp;" "&amp;"ngày","")))</f>
        <v/>
      </c>
      <c r="Y216" s="72" t="str">
        <f>IF(S216=0,"",IF(P216="Chuyển","",IF(P216="Nhập vào vụ khác","",IF(P216="BA",IF((S216-R216)&gt;10,"Quá hạn"&amp;" "&amp;(S216-R216-10)&amp;" "&amp;"ngày",""),IF((NETWORKDAYS(R216,S216,'Danh sách ngày nghỉ lễ'!$B$5:$B$25)-VLOOKUP(P216,'Thời hạn'!$A$17:$B$23,2,0))&gt;1,"Quá hạn"&amp;" "&amp;(NETWORKDAYS(R216,S216,'Danh sách ngày nghỉ lễ'!$B$5:$B$25)-1-VLOOKUP(P216,'Thời hạn'!$A$17:$B$23,2,0))&amp;" "&amp;"ngày","")))))</f>
        <v/>
      </c>
      <c r="Z216" s="23">
        <v>1</v>
      </c>
    </row>
    <row r="217" spans="1:26" s="24" customFormat="1" ht="15.6" x14ac:dyDescent="0.3">
      <c r="A217" s="24">
        <v>1</v>
      </c>
      <c r="B217" s="39"/>
      <c r="C217" s="33"/>
      <c r="D217" s="25"/>
      <c r="E217" s="25"/>
      <c r="F217" s="34"/>
      <c r="G217" s="34"/>
      <c r="H217" s="25"/>
      <c r="I217" s="70" t="str">
        <f>IF(C217="Trả lại đơn vụ","",IF(C217="Trả lại đơn việc","",IF(C217="Hòa giải thành","",IF(F217=0,"",EDATE(F217,VLOOKUP(C217,'Thời hạn'!$D$1:$E$10,2,0))+H217))))</f>
        <v/>
      </c>
      <c r="J217" s="59" t="str">
        <f t="shared" ca="1" si="3"/>
        <v/>
      </c>
      <c r="K217" s="25"/>
      <c r="L217" s="129"/>
      <c r="M217" s="130"/>
      <c r="N217" s="33"/>
      <c r="O217" s="34"/>
      <c r="P217" s="25"/>
      <c r="Q217" s="25"/>
      <c r="R217" s="34"/>
      <c r="S217" s="34"/>
      <c r="T217" s="137"/>
      <c r="U217" s="137"/>
      <c r="V217" s="36"/>
      <c r="W217" s="37"/>
      <c r="X217" s="71" t="str">
        <f>IF(C217="Trả lại đơn vụ","",IF(C217="Trả lại đơn việc","",IF((NETWORKDAYS(F217,G217,'Danh sách ngày nghỉ lễ'!$B$5:$B$25)-1-3)&gt;0,"Quá hạn"&amp;" "&amp;(NETWORKDAYS(F217,G217,'Danh sách ngày nghỉ lễ'!$B$5:$B$25)-1-3)&amp;" "&amp;"ngày","")))</f>
        <v/>
      </c>
      <c r="Y217" s="72" t="str">
        <f>IF(S217=0,"",IF(P217="Chuyển","",IF(P217="Nhập vào vụ khác","",IF(P217="BA",IF((S217-R217)&gt;10,"Quá hạn"&amp;" "&amp;(S217-R217-10)&amp;" "&amp;"ngày",""),IF((NETWORKDAYS(R217,S217,'Danh sách ngày nghỉ lễ'!$B$5:$B$25)-VLOOKUP(P217,'Thời hạn'!$A$17:$B$23,2,0))&gt;1,"Quá hạn"&amp;" "&amp;(NETWORKDAYS(R217,S217,'Danh sách ngày nghỉ lễ'!$B$5:$B$25)-1-VLOOKUP(P217,'Thời hạn'!$A$17:$B$23,2,0))&amp;" "&amp;"ngày","")))))</f>
        <v/>
      </c>
      <c r="Z217" s="23">
        <v>1</v>
      </c>
    </row>
    <row r="218" spans="1:26" s="24" customFormat="1" ht="15.6" x14ac:dyDescent="0.3">
      <c r="A218" s="24">
        <v>1</v>
      </c>
      <c r="B218" s="39"/>
      <c r="C218" s="33"/>
      <c r="D218" s="25"/>
      <c r="E218" s="25"/>
      <c r="F218" s="34"/>
      <c r="G218" s="34"/>
      <c r="H218" s="25"/>
      <c r="I218" s="70" t="str">
        <f>IF(C218="Trả lại đơn vụ","",IF(C218="Trả lại đơn việc","",IF(C218="Hòa giải thành","",IF(F218=0,"",EDATE(F218,VLOOKUP(C218,'Thời hạn'!$D$1:$E$10,2,0))+H218))))</f>
        <v/>
      </c>
      <c r="J218" s="59" t="str">
        <f t="shared" ca="1" si="3"/>
        <v/>
      </c>
      <c r="K218" s="25"/>
      <c r="L218" s="129"/>
      <c r="M218" s="130"/>
      <c r="N218" s="33"/>
      <c r="O218" s="34"/>
      <c r="P218" s="25"/>
      <c r="Q218" s="25"/>
      <c r="R218" s="34"/>
      <c r="S218" s="34"/>
      <c r="T218" s="137"/>
      <c r="U218" s="137"/>
      <c r="V218" s="36"/>
      <c r="W218" s="37"/>
      <c r="X218" s="71" t="str">
        <f>IF(C218="Trả lại đơn vụ","",IF(C218="Trả lại đơn việc","",IF((NETWORKDAYS(F218,G218,'Danh sách ngày nghỉ lễ'!$B$5:$B$25)-1-3)&gt;0,"Quá hạn"&amp;" "&amp;(NETWORKDAYS(F218,G218,'Danh sách ngày nghỉ lễ'!$B$5:$B$25)-1-3)&amp;" "&amp;"ngày","")))</f>
        <v/>
      </c>
      <c r="Y218" s="72" t="str">
        <f>IF(S218=0,"",IF(P218="Chuyển","",IF(P218="Nhập vào vụ khác","",IF(P218="BA",IF((S218-R218)&gt;10,"Quá hạn"&amp;" "&amp;(S218-R218-10)&amp;" "&amp;"ngày",""),IF((NETWORKDAYS(R218,S218,'Danh sách ngày nghỉ lễ'!$B$5:$B$25)-VLOOKUP(P218,'Thời hạn'!$A$17:$B$23,2,0))&gt;1,"Quá hạn"&amp;" "&amp;(NETWORKDAYS(R218,S218,'Danh sách ngày nghỉ lễ'!$B$5:$B$25)-1-VLOOKUP(P218,'Thời hạn'!$A$17:$B$23,2,0))&amp;" "&amp;"ngày","")))))</f>
        <v/>
      </c>
      <c r="Z218" s="23">
        <v>1</v>
      </c>
    </row>
    <row r="219" spans="1:26" s="24" customFormat="1" ht="15.6" x14ac:dyDescent="0.3">
      <c r="A219" s="24">
        <v>1</v>
      </c>
      <c r="B219" s="39"/>
      <c r="C219" s="33"/>
      <c r="D219" s="25"/>
      <c r="E219" s="25"/>
      <c r="F219" s="34"/>
      <c r="G219" s="34"/>
      <c r="H219" s="25"/>
      <c r="I219" s="70" t="str">
        <f>IF(C219="Trả lại đơn vụ","",IF(C219="Trả lại đơn việc","",IF(C219="Hòa giải thành","",IF(F219=0,"",EDATE(F219,VLOOKUP(C219,'Thời hạn'!$D$1:$E$10,2,0))+H219))))</f>
        <v/>
      </c>
      <c r="J219" s="59" t="str">
        <f t="shared" ca="1" si="3"/>
        <v/>
      </c>
      <c r="K219" s="25"/>
      <c r="L219" s="129"/>
      <c r="M219" s="130"/>
      <c r="N219" s="33"/>
      <c r="O219" s="34"/>
      <c r="P219" s="25"/>
      <c r="Q219" s="25"/>
      <c r="R219" s="34"/>
      <c r="S219" s="34"/>
      <c r="T219" s="137"/>
      <c r="U219" s="137"/>
      <c r="V219" s="36"/>
      <c r="W219" s="37"/>
      <c r="X219" s="71" t="str">
        <f>IF(C219="Trả lại đơn vụ","",IF(C219="Trả lại đơn việc","",IF((NETWORKDAYS(F219,G219,'Danh sách ngày nghỉ lễ'!$B$5:$B$25)-1-3)&gt;0,"Quá hạn"&amp;" "&amp;(NETWORKDAYS(F219,G219,'Danh sách ngày nghỉ lễ'!$B$5:$B$25)-1-3)&amp;" "&amp;"ngày","")))</f>
        <v/>
      </c>
      <c r="Y219" s="72" t="str">
        <f>IF(S219=0,"",IF(P219="Chuyển","",IF(P219="Nhập vào vụ khác","",IF(P219="BA",IF((S219-R219)&gt;10,"Quá hạn"&amp;" "&amp;(S219-R219-10)&amp;" "&amp;"ngày",""),IF((NETWORKDAYS(R219,S219,'Danh sách ngày nghỉ lễ'!$B$5:$B$25)-VLOOKUP(P219,'Thời hạn'!$A$17:$B$23,2,0))&gt;1,"Quá hạn"&amp;" "&amp;(NETWORKDAYS(R219,S219,'Danh sách ngày nghỉ lễ'!$B$5:$B$25)-1-VLOOKUP(P219,'Thời hạn'!$A$17:$B$23,2,0))&amp;" "&amp;"ngày","")))))</f>
        <v/>
      </c>
      <c r="Z219" s="23">
        <v>1</v>
      </c>
    </row>
    <row r="220" spans="1:26" s="24" customFormat="1" ht="15.6" x14ac:dyDescent="0.3">
      <c r="A220" s="24">
        <v>1</v>
      </c>
      <c r="B220" s="39"/>
      <c r="C220" s="33"/>
      <c r="D220" s="25"/>
      <c r="E220" s="25"/>
      <c r="F220" s="34"/>
      <c r="G220" s="34"/>
      <c r="H220" s="25"/>
      <c r="I220" s="70" t="str">
        <f>IF(C220="Trả lại đơn vụ","",IF(C220="Trả lại đơn việc","",IF(C220="Hòa giải thành","",IF(F220=0,"",EDATE(F220,VLOOKUP(C220,'Thời hạn'!$D$1:$E$10,2,0))+H220))))</f>
        <v/>
      </c>
      <c r="J220" s="59" t="str">
        <f t="shared" ca="1" si="3"/>
        <v/>
      </c>
      <c r="K220" s="25"/>
      <c r="L220" s="129"/>
      <c r="M220" s="130"/>
      <c r="N220" s="33"/>
      <c r="O220" s="34"/>
      <c r="P220" s="25"/>
      <c r="Q220" s="25"/>
      <c r="R220" s="34"/>
      <c r="S220" s="34"/>
      <c r="T220" s="137"/>
      <c r="U220" s="137"/>
      <c r="V220" s="36"/>
      <c r="W220" s="37"/>
      <c r="X220" s="71" t="str">
        <f>IF(C220="Trả lại đơn vụ","",IF(C220="Trả lại đơn việc","",IF((NETWORKDAYS(F220,G220,'Danh sách ngày nghỉ lễ'!$B$5:$B$25)-1-3)&gt;0,"Quá hạn"&amp;" "&amp;(NETWORKDAYS(F220,G220,'Danh sách ngày nghỉ lễ'!$B$5:$B$25)-1-3)&amp;" "&amp;"ngày","")))</f>
        <v/>
      </c>
      <c r="Y220" s="72" t="str">
        <f>IF(S220=0,"",IF(P220="Chuyển","",IF(P220="Nhập vào vụ khác","",IF(P220="BA",IF((S220-R220)&gt;10,"Quá hạn"&amp;" "&amp;(S220-R220-10)&amp;" "&amp;"ngày",""),IF((NETWORKDAYS(R220,S220,'Danh sách ngày nghỉ lễ'!$B$5:$B$25)-VLOOKUP(P220,'Thời hạn'!$A$17:$B$23,2,0))&gt;1,"Quá hạn"&amp;" "&amp;(NETWORKDAYS(R220,S220,'Danh sách ngày nghỉ lễ'!$B$5:$B$25)-1-VLOOKUP(P220,'Thời hạn'!$A$17:$B$23,2,0))&amp;" "&amp;"ngày","")))))</f>
        <v/>
      </c>
      <c r="Z220" s="23">
        <v>1</v>
      </c>
    </row>
    <row r="221" spans="1:26" s="24" customFormat="1" ht="15.6" x14ac:dyDescent="0.3">
      <c r="A221" s="24">
        <v>1</v>
      </c>
      <c r="B221" s="39"/>
      <c r="C221" s="33"/>
      <c r="D221" s="25"/>
      <c r="E221" s="25"/>
      <c r="F221" s="34"/>
      <c r="G221" s="34"/>
      <c r="H221" s="25"/>
      <c r="I221" s="70" t="str">
        <f>IF(C221="Trả lại đơn vụ","",IF(C221="Trả lại đơn việc","",IF(C221="Hòa giải thành","",IF(F221=0,"",EDATE(F221,VLOOKUP(C221,'Thời hạn'!$D$1:$E$10,2,0))+H221))))</f>
        <v/>
      </c>
      <c r="J221" s="59" t="str">
        <f t="shared" ca="1" si="3"/>
        <v/>
      </c>
      <c r="K221" s="25"/>
      <c r="L221" s="129"/>
      <c r="M221" s="130"/>
      <c r="N221" s="33"/>
      <c r="O221" s="34"/>
      <c r="P221" s="25"/>
      <c r="Q221" s="25"/>
      <c r="R221" s="34"/>
      <c r="S221" s="34"/>
      <c r="T221" s="137"/>
      <c r="U221" s="137"/>
      <c r="V221" s="36"/>
      <c r="W221" s="37"/>
      <c r="X221" s="71" t="str">
        <f>IF(C221="Trả lại đơn vụ","",IF(C221="Trả lại đơn việc","",IF((NETWORKDAYS(F221,G221,'Danh sách ngày nghỉ lễ'!$B$5:$B$25)-1-3)&gt;0,"Quá hạn"&amp;" "&amp;(NETWORKDAYS(F221,G221,'Danh sách ngày nghỉ lễ'!$B$5:$B$25)-1-3)&amp;" "&amp;"ngày","")))</f>
        <v/>
      </c>
      <c r="Y221" s="72" t="str">
        <f>IF(S221=0,"",IF(P221="Chuyển","",IF(P221="Nhập vào vụ khác","",IF(P221="BA",IF((S221-R221)&gt;10,"Quá hạn"&amp;" "&amp;(S221-R221-10)&amp;" "&amp;"ngày",""),IF((NETWORKDAYS(R221,S221,'Danh sách ngày nghỉ lễ'!$B$5:$B$25)-VLOOKUP(P221,'Thời hạn'!$A$17:$B$23,2,0))&gt;1,"Quá hạn"&amp;" "&amp;(NETWORKDAYS(R221,S221,'Danh sách ngày nghỉ lễ'!$B$5:$B$25)-1-VLOOKUP(P221,'Thời hạn'!$A$17:$B$23,2,0))&amp;" "&amp;"ngày","")))))</f>
        <v/>
      </c>
      <c r="Z221" s="23">
        <v>1</v>
      </c>
    </row>
    <row r="222" spans="1:26" s="24" customFormat="1" ht="15.6" x14ac:dyDescent="0.3">
      <c r="A222" s="24">
        <v>1</v>
      </c>
      <c r="B222" s="39"/>
      <c r="C222" s="33"/>
      <c r="D222" s="25"/>
      <c r="E222" s="25"/>
      <c r="F222" s="34"/>
      <c r="G222" s="34"/>
      <c r="H222" s="25"/>
      <c r="I222" s="70" t="str">
        <f>IF(C222="Trả lại đơn vụ","",IF(C222="Trả lại đơn việc","",IF(C222="Hòa giải thành","",IF(F222=0,"",EDATE(F222,VLOOKUP(C222,'Thời hạn'!$D$1:$E$10,2,0))+H222))))</f>
        <v/>
      </c>
      <c r="J222" s="59" t="str">
        <f t="shared" ca="1" si="3"/>
        <v/>
      </c>
      <c r="K222" s="25"/>
      <c r="L222" s="129"/>
      <c r="M222" s="130"/>
      <c r="N222" s="33"/>
      <c r="O222" s="34"/>
      <c r="P222" s="25"/>
      <c r="Q222" s="25"/>
      <c r="R222" s="34"/>
      <c r="S222" s="34"/>
      <c r="T222" s="137"/>
      <c r="U222" s="137"/>
      <c r="V222" s="36"/>
      <c r="W222" s="37"/>
      <c r="X222" s="71" t="str">
        <f>IF(C222="Trả lại đơn vụ","",IF(C222="Trả lại đơn việc","",IF((NETWORKDAYS(F222,G222,'Danh sách ngày nghỉ lễ'!$B$5:$B$25)-1-3)&gt;0,"Quá hạn"&amp;" "&amp;(NETWORKDAYS(F222,G222,'Danh sách ngày nghỉ lễ'!$B$5:$B$25)-1-3)&amp;" "&amp;"ngày","")))</f>
        <v/>
      </c>
      <c r="Y222" s="72" t="str">
        <f>IF(S222=0,"",IF(P222="Chuyển","",IF(P222="Nhập vào vụ khác","",IF(P222="BA",IF((S222-R222)&gt;10,"Quá hạn"&amp;" "&amp;(S222-R222-10)&amp;" "&amp;"ngày",""),IF((NETWORKDAYS(R222,S222,'Danh sách ngày nghỉ lễ'!$B$5:$B$25)-VLOOKUP(P222,'Thời hạn'!$A$17:$B$23,2,0))&gt;1,"Quá hạn"&amp;" "&amp;(NETWORKDAYS(R222,S222,'Danh sách ngày nghỉ lễ'!$B$5:$B$25)-1-VLOOKUP(P222,'Thời hạn'!$A$17:$B$23,2,0))&amp;" "&amp;"ngày","")))))</f>
        <v/>
      </c>
      <c r="Z222" s="23">
        <v>1</v>
      </c>
    </row>
    <row r="223" spans="1:26" s="24" customFormat="1" ht="15.6" x14ac:dyDescent="0.3">
      <c r="A223" s="24">
        <v>1</v>
      </c>
      <c r="B223" s="39"/>
      <c r="C223" s="33"/>
      <c r="D223" s="25"/>
      <c r="E223" s="25"/>
      <c r="F223" s="34"/>
      <c r="G223" s="34"/>
      <c r="H223" s="25"/>
      <c r="I223" s="70" t="str">
        <f>IF(C223="Trả lại đơn vụ","",IF(C223="Trả lại đơn việc","",IF(C223="Hòa giải thành","",IF(F223=0,"",EDATE(F223,VLOOKUP(C223,'Thời hạn'!$D$1:$E$10,2,0))+H223))))</f>
        <v/>
      </c>
      <c r="J223" s="59" t="str">
        <f t="shared" ca="1" si="3"/>
        <v/>
      </c>
      <c r="K223" s="25"/>
      <c r="L223" s="129"/>
      <c r="M223" s="130"/>
      <c r="N223" s="33"/>
      <c r="O223" s="34"/>
      <c r="P223" s="25"/>
      <c r="Q223" s="25"/>
      <c r="R223" s="34"/>
      <c r="S223" s="34"/>
      <c r="T223" s="137"/>
      <c r="U223" s="137"/>
      <c r="V223" s="36"/>
      <c r="W223" s="37"/>
      <c r="X223" s="71" t="str">
        <f>IF(C223="Trả lại đơn vụ","",IF(C223="Trả lại đơn việc","",IF((NETWORKDAYS(F223,G223,'Danh sách ngày nghỉ lễ'!$B$5:$B$25)-1-3)&gt;0,"Quá hạn"&amp;" "&amp;(NETWORKDAYS(F223,G223,'Danh sách ngày nghỉ lễ'!$B$5:$B$25)-1-3)&amp;" "&amp;"ngày","")))</f>
        <v/>
      </c>
      <c r="Y223" s="72" t="str">
        <f>IF(S223=0,"",IF(P223="Chuyển","",IF(P223="Nhập vào vụ khác","",IF(P223="BA",IF((S223-R223)&gt;10,"Quá hạn"&amp;" "&amp;(S223-R223-10)&amp;" "&amp;"ngày",""),IF((NETWORKDAYS(R223,S223,'Danh sách ngày nghỉ lễ'!$B$5:$B$25)-VLOOKUP(P223,'Thời hạn'!$A$17:$B$23,2,0))&gt;1,"Quá hạn"&amp;" "&amp;(NETWORKDAYS(R223,S223,'Danh sách ngày nghỉ lễ'!$B$5:$B$25)-1-VLOOKUP(P223,'Thời hạn'!$A$17:$B$23,2,0))&amp;" "&amp;"ngày","")))))</f>
        <v/>
      </c>
      <c r="Z223" s="23">
        <v>1</v>
      </c>
    </row>
    <row r="224" spans="1:26" s="24" customFormat="1" ht="15.6" x14ac:dyDescent="0.3">
      <c r="A224" s="24">
        <v>1</v>
      </c>
      <c r="B224" s="39"/>
      <c r="C224" s="33"/>
      <c r="D224" s="25"/>
      <c r="E224" s="25"/>
      <c r="F224" s="34"/>
      <c r="G224" s="34"/>
      <c r="H224" s="25"/>
      <c r="I224" s="70" t="str">
        <f>IF(C224="Trả lại đơn vụ","",IF(C224="Trả lại đơn việc","",IF(C224="Hòa giải thành","",IF(F224=0,"",EDATE(F224,VLOOKUP(C224,'Thời hạn'!$D$1:$E$10,2,0))+H224))))</f>
        <v/>
      </c>
      <c r="J224" s="59" t="str">
        <f t="shared" ca="1" si="3"/>
        <v/>
      </c>
      <c r="K224" s="25"/>
      <c r="L224" s="129"/>
      <c r="M224" s="130"/>
      <c r="N224" s="33"/>
      <c r="O224" s="34"/>
      <c r="P224" s="25"/>
      <c r="Q224" s="25"/>
      <c r="R224" s="34"/>
      <c r="S224" s="34"/>
      <c r="T224" s="137"/>
      <c r="U224" s="137"/>
      <c r="V224" s="36"/>
      <c r="W224" s="37"/>
      <c r="X224" s="71" t="str">
        <f>IF(C224="Trả lại đơn vụ","",IF(C224="Trả lại đơn việc","",IF((NETWORKDAYS(F224,G224,'Danh sách ngày nghỉ lễ'!$B$5:$B$25)-1-3)&gt;0,"Quá hạn"&amp;" "&amp;(NETWORKDAYS(F224,G224,'Danh sách ngày nghỉ lễ'!$B$5:$B$25)-1-3)&amp;" "&amp;"ngày","")))</f>
        <v/>
      </c>
      <c r="Y224" s="72" t="str">
        <f>IF(S224=0,"",IF(P224="Chuyển","",IF(P224="Nhập vào vụ khác","",IF(P224="BA",IF((S224-R224)&gt;10,"Quá hạn"&amp;" "&amp;(S224-R224-10)&amp;" "&amp;"ngày",""),IF((NETWORKDAYS(R224,S224,'Danh sách ngày nghỉ lễ'!$B$5:$B$25)-VLOOKUP(P224,'Thời hạn'!$A$17:$B$23,2,0))&gt;1,"Quá hạn"&amp;" "&amp;(NETWORKDAYS(R224,S224,'Danh sách ngày nghỉ lễ'!$B$5:$B$25)-1-VLOOKUP(P224,'Thời hạn'!$A$17:$B$23,2,0))&amp;" "&amp;"ngày","")))))</f>
        <v/>
      </c>
      <c r="Z224" s="23">
        <v>1</v>
      </c>
    </row>
    <row r="225" spans="1:26" s="24" customFormat="1" ht="15.6" x14ac:dyDescent="0.3">
      <c r="A225" s="24">
        <v>1</v>
      </c>
      <c r="B225" s="39"/>
      <c r="C225" s="33"/>
      <c r="D225" s="25"/>
      <c r="E225" s="25"/>
      <c r="F225" s="34"/>
      <c r="G225" s="34"/>
      <c r="H225" s="25"/>
      <c r="I225" s="70" t="str">
        <f>IF(C225="Trả lại đơn vụ","",IF(C225="Trả lại đơn việc","",IF(C225="Hòa giải thành","",IF(F225=0,"",EDATE(F225,VLOOKUP(C225,'Thời hạn'!$D$1:$E$10,2,0))+H225))))</f>
        <v/>
      </c>
      <c r="J225" s="59" t="str">
        <f t="shared" ca="1" si="3"/>
        <v/>
      </c>
      <c r="K225" s="25"/>
      <c r="L225" s="129"/>
      <c r="M225" s="130"/>
      <c r="N225" s="33"/>
      <c r="O225" s="34"/>
      <c r="P225" s="25"/>
      <c r="Q225" s="25"/>
      <c r="R225" s="34"/>
      <c r="S225" s="34"/>
      <c r="T225" s="137"/>
      <c r="U225" s="137"/>
      <c r="V225" s="36"/>
      <c r="W225" s="37"/>
      <c r="X225" s="71" t="str">
        <f>IF(C225="Trả lại đơn vụ","",IF(C225="Trả lại đơn việc","",IF((NETWORKDAYS(F225,G225,'Danh sách ngày nghỉ lễ'!$B$5:$B$25)-1-3)&gt;0,"Quá hạn"&amp;" "&amp;(NETWORKDAYS(F225,G225,'Danh sách ngày nghỉ lễ'!$B$5:$B$25)-1-3)&amp;" "&amp;"ngày","")))</f>
        <v/>
      </c>
      <c r="Y225" s="72" t="str">
        <f>IF(S225=0,"",IF(P225="Chuyển","",IF(P225="Nhập vào vụ khác","",IF(P225="BA",IF((S225-R225)&gt;10,"Quá hạn"&amp;" "&amp;(S225-R225-10)&amp;" "&amp;"ngày",""),IF((NETWORKDAYS(R225,S225,'Danh sách ngày nghỉ lễ'!$B$5:$B$25)-VLOOKUP(P225,'Thời hạn'!$A$17:$B$23,2,0))&gt;1,"Quá hạn"&amp;" "&amp;(NETWORKDAYS(R225,S225,'Danh sách ngày nghỉ lễ'!$B$5:$B$25)-1-VLOOKUP(P225,'Thời hạn'!$A$17:$B$23,2,0))&amp;" "&amp;"ngày","")))))</f>
        <v/>
      </c>
      <c r="Z225" s="23">
        <v>1</v>
      </c>
    </row>
    <row r="226" spans="1:26" s="24" customFormat="1" ht="15.6" x14ac:dyDescent="0.3">
      <c r="A226" s="24">
        <v>1</v>
      </c>
      <c r="B226" s="39"/>
      <c r="C226" s="33"/>
      <c r="D226" s="25"/>
      <c r="E226" s="25"/>
      <c r="F226" s="34"/>
      <c r="G226" s="34"/>
      <c r="H226" s="25"/>
      <c r="I226" s="70" t="str">
        <f>IF(C226="Trả lại đơn vụ","",IF(C226="Trả lại đơn việc","",IF(C226="Hòa giải thành","",IF(F226=0,"",EDATE(F226,VLOOKUP(C226,'Thời hạn'!$D$1:$E$10,2,0))+H226))))</f>
        <v/>
      </c>
      <c r="J226" s="59" t="str">
        <f t="shared" ca="1" si="3"/>
        <v/>
      </c>
      <c r="K226" s="25"/>
      <c r="L226" s="129"/>
      <c r="M226" s="130"/>
      <c r="N226" s="33"/>
      <c r="O226" s="34"/>
      <c r="P226" s="25"/>
      <c r="Q226" s="25"/>
      <c r="R226" s="34"/>
      <c r="S226" s="34"/>
      <c r="T226" s="137"/>
      <c r="U226" s="137"/>
      <c r="V226" s="36"/>
      <c r="W226" s="37"/>
      <c r="X226" s="71" t="str">
        <f>IF(C226="Trả lại đơn vụ","",IF(C226="Trả lại đơn việc","",IF((NETWORKDAYS(F226,G226,'Danh sách ngày nghỉ lễ'!$B$5:$B$25)-1-3)&gt;0,"Quá hạn"&amp;" "&amp;(NETWORKDAYS(F226,G226,'Danh sách ngày nghỉ lễ'!$B$5:$B$25)-1-3)&amp;" "&amp;"ngày","")))</f>
        <v/>
      </c>
      <c r="Y226" s="72" t="str">
        <f>IF(S226=0,"",IF(P226="Chuyển","",IF(P226="Nhập vào vụ khác","",IF(P226="BA",IF((S226-R226)&gt;10,"Quá hạn"&amp;" "&amp;(S226-R226-10)&amp;" "&amp;"ngày",""),IF((NETWORKDAYS(R226,S226,'Danh sách ngày nghỉ lễ'!$B$5:$B$25)-VLOOKUP(P226,'Thời hạn'!$A$17:$B$23,2,0))&gt;1,"Quá hạn"&amp;" "&amp;(NETWORKDAYS(R226,S226,'Danh sách ngày nghỉ lễ'!$B$5:$B$25)-1-VLOOKUP(P226,'Thời hạn'!$A$17:$B$23,2,0))&amp;" "&amp;"ngày","")))))</f>
        <v/>
      </c>
      <c r="Z226" s="23">
        <v>1</v>
      </c>
    </row>
    <row r="227" spans="1:26" s="24" customFormat="1" ht="16.2" thickBot="1" x14ac:dyDescent="0.35">
      <c r="A227" s="24">
        <v>1</v>
      </c>
      <c r="B227" s="97"/>
      <c r="C227" s="98"/>
      <c r="D227" s="99"/>
      <c r="E227" s="99"/>
      <c r="F227" s="100"/>
      <c r="G227" s="100"/>
      <c r="H227" s="99"/>
      <c r="I227" s="104" t="str">
        <f>IF(C227="Trả lại đơn vụ","",IF(C227="Trả lại đơn việc","",IF(C227="Hòa giải thành","",IF(F227=0,"",EDATE(F227,VLOOKUP(C227,'Thời hạn'!$D$1:$E$10,2,0))+H227))))</f>
        <v/>
      </c>
      <c r="J227" s="105" t="str">
        <f t="shared" ca="1" si="3"/>
        <v/>
      </c>
      <c r="K227" s="101"/>
      <c r="L227" s="142"/>
      <c r="M227" s="143"/>
      <c r="N227" s="33"/>
      <c r="O227" s="34"/>
      <c r="P227" s="25"/>
      <c r="Q227" s="25"/>
      <c r="R227" s="34"/>
      <c r="S227" s="34"/>
      <c r="T227" s="137"/>
      <c r="U227" s="137"/>
      <c r="V227" s="36"/>
      <c r="W227" s="37"/>
      <c r="X227" s="71" t="str">
        <f>IF(C227="Trả lại đơn vụ","",IF(C227="Trả lại đơn việc","",IF((NETWORKDAYS(F227,G227,'Danh sách ngày nghỉ lễ'!$B$5:$B$25)-1-3)&gt;0,"Quá hạn"&amp;" "&amp;(NETWORKDAYS(F227,G227,'Danh sách ngày nghỉ lễ'!$B$5:$B$25)-1-3)&amp;" "&amp;"ngày","")))</f>
        <v/>
      </c>
      <c r="Y227" s="72" t="str">
        <f>IF(S227=0,"",IF(P227="Chuyển","",IF(P227="Nhập vào vụ khác","",IF(P227="BA",IF((S227-R227)&gt;10,"Quá hạn"&amp;" "&amp;(S227-R227-10)&amp;" "&amp;"ngày",""),IF((NETWORKDAYS(R227,S227,'Danh sách ngày nghỉ lễ'!$B$5:$B$25)-VLOOKUP(P227,'Thời hạn'!$A$17:$B$23,2,0))&gt;1,"Quá hạn"&amp;" "&amp;(NETWORKDAYS(R227,S227,'Danh sách ngày nghỉ lễ'!$B$5:$B$25)-1-VLOOKUP(P227,'Thời hạn'!$A$17:$B$23,2,0))&amp;" "&amp;"ngày","")))))</f>
        <v/>
      </c>
      <c r="Z227" s="23">
        <v>1</v>
      </c>
    </row>
    <row r="228" spans="1:26" ht="15.6" x14ac:dyDescent="0.3">
      <c r="A228" s="24">
        <v>1</v>
      </c>
    </row>
    <row r="229" spans="1:26" ht="15.6" x14ac:dyDescent="0.3">
      <c r="A229" s="24">
        <v>1</v>
      </c>
    </row>
    <row r="230" spans="1:26" ht="15.6" x14ac:dyDescent="0.3">
      <c r="A230" s="24">
        <v>1</v>
      </c>
    </row>
    <row r="231" spans="1:26" ht="15.6" x14ac:dyDescent="0.3">
      <c r="A231" s="24">
        <v>1</v>
      </c>
    </row>
    <row r="232" spans="1:26" ht="15.6" x14ac:dyDescent="0.3">
      <c r="A232" s="24">
        <v>1</v>
      </c>
    </row>
    <row r="233" spans="1:26" ht="15.6" x14ac:dyDescent="0.3">
      <c r="A233" s="24">
        <v>1</v>
      </c>
    </row>
    <row r="234" spans="1:26" ht="15.6" x14ac:dyDescent="0.3">
      <c r="A234" s="24">
        <v>1</v>
      </c>
    </row>
    <row r="235" spans="1:26" ht="15.6" x14ac:dyDescent="0.3">
      <c r="A235" s="24">
        <v>1</v>
      </c>
    </row>
  </sheetData>
  <sheetProtection algorithmName="SHA-512" hashValue="xi5p9TEVn3+xIpWB9CipEbxB2Ox96qfioH8nuy2xZLy8fkiRa1zMtb5dSWSVARbOr5i+X9nyCPmGwqZUYWiphA==" saltValue="0k3v/L3HW96bXqhT0yzJUw==" spinCount="100000" sheet="1" objects="1" scenarios="1" autoFilter="0"/>
  <autoFilter ref="B9:W9" xr:uid="{E15C75FF-7021-44D9-A938-D289A678A5DC}"/>
  <mergeCells count="12">
    <mergeCell ref="X8:Y8"/>
    <mergeCell ref="S7:T7"/>
    <mergeCell ref="V7:W7"/>
    <mergeCell ref="B8:M8"/>
    <mergeCell ref="N8:W8"/>
    <mergeCell ref="B2:K2"/>
    <mergeCell ref="X4:Y4"/>
    <mergeCell ref="O4:O6"/>
    <mergeCell ref="P4:R4"/>
    <mergeCell ref="S4:V4"/>
    <mergeCell ref="L4:M4"/>
    <mergeCell ref="L6:M6"/>
  </mergeCells>
  <conditionalFormatting sqref="C10:C227">
    <cfRule type="expression" dxfId="625" priority="9">
      <formula>"$P7:$P13=""Phục hồi"""</formula>
    </cfRule>
    <cfRule type="expression" dxfId="624" priority="10">
      <formula>"$P7:$P13=""Phục hồi"""</formula>
    </cfRule>
  </conditionalFormatting>
  <conditionalFormatting sqref="D11:D187">
    <cfRule type="expression" dxfId="623" priority="11">
      <formula>$P11:$P230&lt;&gt;0</formula>
    </cfRule>
  </conditionalFormatting>
  <conditionalFormatting sqref="C10:C227">
    <cfRule type="expression" dxfId="622" priority="58">
      <formula>$P10:$P211&lt;&gt;0</formula>
    </cfRule>
  </conditionalFormatting>
  <conditionalFormatting sqref="D10">
    <cfRule type="expression" dxfId="621" priority="5">
      <formula>"$P7:$P13=""Phục hồi"""</formula>
    </cfRule>
    <cfRule type="expression" dxfId="620" priority="6">
      <formula>"$P7:$P13=""Phục hồi"""</formula>
    </cfRule>
  </conditionalFormatting>
  <conditionalFormatting sqref="D10">
    <cfRule type="expression" dxfId="619" priority="7">
      <formula>$P10:$P213&lt;&gt;0</formula>
    </cfRule>
  </conditionalFormatting>
  <conditionalFormatting sqref="J10:J227">
    <cfRule type="cellIs" dxfId="618" priority="2" operator="lessThan">
      <formula>10</formula>
    </cfRule>
  </conditionalFormatting>
  <conditionalFormatting sqref="J10:J227">
    <cfRule type="cellIs" dxfId="617" priority="1" operator="lessThan">
      <formula>10</formula>
    </cfRule>
  </conditionalFormatting>
  <dataValidations count="5">
    <dataValidation type="list" allowBlank="1" showInputMessage="1" showErrorMessage="1" sqref="V10:V227" xr:uid="{01D0BD40-ABD5-4F59-A7E9-69B42424B691}">
      <formula1>"Đã ĐK,Đã XX"</formula1>
    </dataValidation>
    <dataValidation type="list" allowBlank="1" showInputMessage="1" showErrorMessage="1" sqref="K10:K227" xr:uid="{632D6E0F-42E2-4218-B648-F3AE0841CA4B}">
      <formula1>"VD Ninh, N Dũng,T Dũng,Doan,Hợp,Uy,M Dung,Lành,Hồng,Đức,Việt,P Huyền,Đ Huyền,Chinh,Quý,V Anh,Hà"</formula1>
    </dataValidation>
    <dataValidation type="list" allowBlank="1" showInputMessage="1" showErrorMessage="1" sqref="W10:W227" xr:uid="{B7476D14-0AC9-4DA3-9509-FDC0A3BE4397}">
      <formula1>"đang TĐC,ĐC do rút đơn"</formula1>
    </dataValidation>
    <dataValidation type="list" allowBlank="1" showInputMessage="1" showErrorMessage="1" sqref="P10:P227" xr:uid="{DF839B95-6EB7-480F-9498-DF6E3E328B66}">
      <formula1>"CNTT,ĐC,TĐC,BA,QĐ giải quyết việc,CN tại tòa,ĐC tại tòa,Chuyển,Nhập vào vụ khác"</formula1>
    </dataValidation>
    <dataValidation type="list" allowBlank="1" showInputMessage="1" showErrorMessage="1" sqref="C10:C227" xr:uid="{1FAD8572-6926-4EE3-9421-DE3893609D2C}">
      <formula1>"Vụ cũ,Việc cũ,Vụ,Việc,Hòa giải thành,Phục hồi vụ TĐC kỳ trước,Trả lại đơn vụ,Trả lại đơn việc,Phục hồi,Chuyển đến vụ,Chuyển đến việc,TL phản tố,TL YC độc lập"</formula1>
    </dataValidation>
  </dataValidations>
  <pageMargins left="0.7" right="0.7" top="0.75" bottom="0.75" header="0.3" footer="0.3"/>
  <pageSetup paperSize="9" orientation="landscape" verticalDpi="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BF65F-E232-4267-A3B1-2480D341F750}">
  <sheetPr codeName="Sheet5"/>
  <dimension ref="A1:Z262"/>
  <sheetViews>
    <sheetView showGridLines="0" showRowColHeaders="0" zoomScale="55" zoomScaleNormal="55" workbookViewId="0">
      <pane xSplit="4" ySplit="9" topLeftCell="E201" activePane="bottomRight" state="frozen"/>
      <selection pane="topRight" activeCell="E1" sqref="E1"/>
      <selection pane="bottomLeft" activeCell="A10" sqref="A10"/>
      <selection pane="bottomRight"/>
    </sheetView>
  </sheetViews>
  <sheetFormatPr defaultColWidth="9.21875" defaultRowHeight="15.6" x14ac:dyDescent="0.3"/>
  <cols>
    <col min="1" max="1" width="3.21875" style="24" hidden="1" customWidth="1"/>
    <col min="2" max="2" width="11.5546875" style="83" customWidth="1"/>
    <col min="3" max="3" width="15.44140625" style="23" customWidth="1"/>
    <col min="4" max="4" width="22" style="24" customWidth="1"/>
    <col min="5" max="5" width="9.77734375" style="24" bestFit="1" customWidth="1"/>
    <col min="6" max="6" width="16.5546875" style="84" customWidth="1"/>
    <col min="7" max="7" width="12.77734375" style="84" customWidth="1"/>
    <col min="8" max="8" width="13.77734375" style="24" customWidth="1"/>
    <col min="9" max="9" width="10.77734375" style="84" customWidth="1"/>
    <col min="10" max="10" width="11.21875" style="24" customWidth="1"/>
    <col min="11" max="11" width="13.5546875" style="23" customWidth="1"/>
    <col min="12" max="13" width="8" style="24" customWidth="1"/>
    <col min="14" max="14" width="11.21875" style="24" customWidth="1"/>
    <col min="15" max="15" width="11.21875" style="84" customWidth="1"/>
    <col min="16" max="16" width="11.21875" style="23" customWidth="1"/>
    <col min="17" max="17" width="7.77734375" style="24" customWidth="1"/>
    <col min="18" max="18" width="12.77734375" style="84" customWidth="1"/>
    <col min="19" max="19" width="11.21875" style="84" customWidth="1"/>
    <col min="20" max="20" width="12" style="24" customWidth="1"/>
    <col min="21" max="21" width="11.77734375" style="24" customWidth="1"/>
    <col min="22" max="22" width="11.77734375" style="24" bestFit="1" customWidth="1"/>
    <col min="23" max="23" width="11.77734375" style="24" customWidth="1"/>
    <col min="24" max="24" width="20.21875" style="24" customWidth="1"/>
    <col min="25" max="25" width="17.77734375" style="24" customWidth="1"/>
    <col min="26" max="26" width="3.21875" style="24" hidden="1" customWidth="1"/>
    <col min="27" max="16384" width="9.21875" style="24"/>
  </cols>
  <sheetData>
    <row r="1" spans="1:26" ht="46.5" customHeight="1" x14ac:dyDescent="0.3">
      <c r="B1" s="106"/>
      <c r="C1" s="40"/>
      <c r="D1" s="41"/>
      <c r="E1" s="41"/>
      <c r="F1" s="107"/>
      <c r="G1" s="107"/>
      <c r="H1" s="41"/>
      <c r="I1" s="107"/>
      <c r="J1" s="41"/>
      <c r="K1" s="40"/>
      <c r="L1" s="41"/>
      <c r="M1" s="41"/>
      <c r="N1" s="41"/>
      <c r="O1" s="107"/>
      <c r="P1" s="40"/>
      <c r="Q1" s="41"/>
      <c r="R1" s="107"/>
      <c r="S1" s="107"/>
      <c r="T1" s="41"/>
      <c r="U1" s="41"/>
      <c r="V1" s="41"/>
      <c r="W1" s="41"/>
      <c r="X1" s="41"/>
      <c r="Y1" s="41"/>
    </row>
    <row r="2" spans="1:26" ht="46.5" customHeight="1" x14ac:dyDescent="0.3">
      <c r="B2" s="152" t="s">
        <v>119</v>
      </c>
      <c r="C2" s="152"/>
      <c r="D2" s="152"/>
      <c r="E2" s="152"/>
      <c r="F2" s="152"/>
      <c r="G2" s="152"/>
      <c r="H2" s="152"/>
      <c r="I2" s="152"/>
      <c r="J2" s="152"/>
      <c r="K2" s="152"/>
      <c r="L2" s="41"/>
      <c r="M2" s="41"/>
      <c r="N2" s="41"/>
      <c r="O2" s="107"/>
      <c r="P2" s="40"/>
      <c r="Q2" s="41"/>
      <c r="R2" s="107"/>
      <c r="S2" s="107"/>
      <c r="T2" s="41"/>
      <c r="U2" s="41"/>
      <c r="V2" s="41"/>
      <c r="W2" s="41"/>
      <c r="X2" s="41"/>
      <c r="Y2" s="41"/>
    </row>
    <row r="3" spans="1:26" ht="46.5" customHeight="1" thickBot="1" x14ac:dyDescent="0.35">
      <c r="B3" s="41"/>
      <c r="C3" s="42"/>
      <c r="D3" s="42"/>
      <c r="E3" s="42"/>
      <c r="F3" s="42"/>
      <c r="G3" s="42"/>
      <c r="H3" s="42"/>
      <c r="I3" s="42"/>
      <c r="J3" s="42"/>
      <c r="K3" s="42"/>
      <c r="L3" s="42"/>
      <c r="M3" s="42"/>
      <c r="N3" s="42"/>
      <c r="O3" s="42"/>
      <c r="P3" s="42"/>
      <c r="Q3" s="42"/>
      <c r="R3" s="42"/>
      <c r="S3" s="42"/>
      <c r="T3" s="42"/>
      <c r="U3" s="42"/>
      <c r="V3" s="42"/>
      <c r="W3" s="42"/>
      <c r="X3" s="41"/>
      <c r="Y3" s="41"/>
    </row>
    <row r="4" spans="1:26" ht="36" customHeight="1" x14ac:dyDescent="0.3">
      <c r="B4" s="43" t="s">
        <v>85</v>
      </c>
      <c r="C4" s="44">
        <f>COUNTIF(C10:C178,"Trả lại đơn vụ")</f>
        <v>0</v>
      </c>
      <c r="D4" s="45" t="s">
        <v>25</v>
      </c>
      <c r="E4" s="44">
        <f>COUNTIF(C10:C236,"Vụ cũ")</f>
        <v>0</v>
      </c>
      <c r="F4" s="45" t="s">
        <v>47</v>
      </c>
      <c r="G4" s="44">
        <f>SUM(E4:E5)</f>
        <v>0</v>
      </c>
      <c r="H4" s="45" t="s">
        <v>82</v>
      </c>
      <c r="I4" s="46">
        <f>COUNTIF(P10:P237,"Chuyển")</f>
        <v>0</v>
      </c>
      <c r="J4" s="45" t="s">
        <v>24</v>
      </c>
      <c r="K4" s="46">
        <f>SUM(G4:G6)-I4-I5+SUM(I6:I7)</f>
        <v>0</v>
      </c>
      <c r="L4" s="153" t="s">
        <v>23</v>
      </c>
      <c r="M4" s="153"/>
      <c r="N4" s="46">
        <f>SUM(P6:V6)</f>
        <v>0</v>
      </c>
      <c r="O4" s="169" t="s">
        <v>20</v>
      </c>
      <c r="P4" s="157" t="s">
        <v>37</v>
      </c>
      <c r="Q4" s="157"/>
      <c r="R4" s="157"/>
      <c r="S4" s="158" t="s">
        <v>36</v>
      </c>
      <c r="T4" s="158"/>
      <c r="U4" s="158"/>
      <c r="V4" s="158"/>
      <c r="W4" s="47"/>
      <c r="X4" s="153" t="s">
        <v>87</v>
      </c>
      <c r="Y4" s="154"/>
    </row>
    <row r="5" spans="1:26" ht="50.25" customHeight="1" x14ac:dyDescent="0.3">
      <c r="B5" s="48" t="s">
        <v>86</v>
      </c>
      <c r="C5" s="41">
        <f>COUNTIF(C10:C178,"Trả lại đơn việc")</f>
        <v>0</v>
      </c>
      <c r="D5" s="49" t="s">
        <v>26</v>
      </c>
      <c r="E5" s="41">
        <f>COUNTIF(C10:C236,"Việc cũ")</f>
        <v>0</v>
      </c>
      <c r="F5" s="49" t="s">
        <v>48</v>
      </c>
      <c r="G5" s="41">
        <f>SUM(E6:E7)</f>
        <v>0</v>
      </c>
      <c r="H5" s="49" t="s">
        <v>83</v>
      </c>
      <c r="I5" s="50">
        <f>COUNTIF(P10:P237,"Nhập vào vụ khác")</f>
        <v>0</v>
      </c>
      <c r="J5" s="50"/>
      <c r="K5" s="51"/>
      <c r="L5" s="51"/>
      <c r="M5" s="51" t="s">
        <v>22</v>
      </c>
      <c r="N5" s="52" t="e">
        <f>N4/K4</f>
        <v>#DIV/0!</v>
      </c>
      <c r="O5" s="170"/>
      <c r="P5" s="53" t="s">
        <v>8</v>
      </c>
      <c r="Q5" s="54" t="s">
        <v>11</v>
      </c>
      <c r="R5" s="54" t="s">
        <v>10</v>
      </c>
      <c r="S5" s="53" t="s">
        <v>2</v>
      </c>
      <c r="T5" s="55" t="s">
        <v>34</v>
      </c>
      <c r="U5" s="53" t="s">
        <v>33</v>
      </c>
      <c r="V5" s="53" t="s">
        <v>68</v>
      </c>
      <c r="W5" s="56"/>
      <c r="X5" s="49" t="s">
        <v>1</v>
      </c>
      <c r="Y5" s="57" t="s">
        <v>44</v>
      </c>
    </row>
    <row r="6" spans="1:26" ht="57" customHeight="1" x14ac:dyDescent="0.3">
      <c r="B6" s="48" t="s">
        <v>4</v>
      </c>
      <c r="C6" s="41">
        <f>COUNTIF(C10:C178,"Hòa giải thành")</f>
        <v>0</v>
      </c>
      <c r="D6" s="49" t="s">
        <v>27</v>
      </c>
      <c r="E6" s="41">
        <f>COUNTIF(C10:C197,"Vụ")</f>
        <v>0</v>
      </c>
      <c r="F6" s="49" t="s">
        <v>41</v>
      </c>
      <c r="G6" s="41">
        <f>COUNTIF(C10:C227,"Phục hồi vụ TĐC kỳ trước")</f>
        <v>0</v>
      </c>
      <c r="H6" s="49" t="s">
        <v>111</v>
      </c>
      <c r="I6" s="50">
        <f>COUNTIF(P10:P237,"Chuyển đến vụ")</f>
        <v>0</v>
      </c>
      <c r="J6" s="50"/>
      <c r="K6" s="41"/>
      <c r="L6" s="159" t="s">
        <v>21</v>
      </c>
      <c r="M6" s="159"/>
      <c r="N6" s="50">
        <f>K4-N4</f>
        <v>0</v>
      </c>
      <c r="O6" s="170"/>
      <c r="P6" s="58">
        <f>COUNTIF(P10:P251,"CNTT")</f>
        <v>0</v>
      </c>
      <c r="Q6" s="59">
        <f>COUNTIF(P10:P251,"ĐC")</f>
        <v>0</v>
      </c>
      <c r="R6" s="59">
        <f>COUNTIF(P10:P251,"TĐC")-COUNTIF(C10:C234,"Phục hồi")</f>
        <v>0</v>
      </c>
      <c r="S6" s="58">
        <f>COUNTIF(P10:P251,"BA")</f>
        <v>0</v>
      </c>
      <c r="T6" s="60">
        <f>COUNTIF(P10:P251,"CN tại tòa")</f>
        <v>0</v>
      </c>
      <c r="U6" s="58">
        <f>COUNTIF(P10:P251,"ĐC tại tòa")</f>
        <v>0</v>
      </c>
      <c r="V6" s="58">
        <f>COUNTIF(P10:P251,"QĐ giải quyết việc")</f>
        <v>0</v>
      </c>
      <c r="W6" s="56"/>
      <c r="X6" s="41">
        <f>N6-Y6</f>
        <v>0</v>
      </c>
      <c r="Y6" s="61">
        <f>COUNTIFS(C10:C228,"Việc",P10:P228,"")+COUNTIFS(C10:C228,"Việc cũ",P10:P228,"")+COUNTIFS(C10:C228,"Chuyển đến việc",P10:P228,"")</f>
        <v>0</v>
      </c>
    </row>
    <row r="7" spans="1:26" ht="39.75" customHeight="1" thickBot="1" x14ac:dyDescent="0.35">
      <c r="B7" s="62"/>
      <c r="C7" s="63"/>
      <c r="D7" s="64" t="s">
        <v>28</v>
      </c>
      <c r="E7" s="63">
        <f>COUNTIF(C10:C197,"Việc")</f>
        <v>0</v>
      </c>
      <c r="F7" s="64"/>
      <c r="G7" s="63"/>
      <c r="H7" s="64" t="s">
        <v>112</v>
      </c>
      <c r="I7" s="65">
        <f>COUNTIF(P10:P237,"Chuyển đến việc")</f>
        <v>0</v>
      </c>
      <c r="J7" s="65"/>
      <c r="K7" s="66"/>
      <c r="L7" s="66"/>
      <c r="M7" s="66" t="s">
        <v>22</v>
      </c>
      <c r="N7" s="67" t="e">
        <f>100%-N5</f>
        <v>#DIV/0!</v>
      </c>
      <c r="O7" s="68"/>
      <c r="P7" s="68"/>
      <c r="Q7" s="63"/>
      <c r="R7" s="63"/>
      <c r="S7" s="162" t="s">
        <v>69</v>
      </c>
      <c r="T7" s="162"/>
      <c r="U7" s="65">
        <f>SUM(S6:V6)</f>
        <v>0</v>
      </c>
      <c r="V7" s="162"/>
      <c r="W7" s="162"/>
      <c r="X7" s="63"/>
      <c r="Y7" s="69"/>
    </row>
    <row r="8" spans="1:26" ht="30" customHeight="1" x14ac:dyDescent="0.3">
      <c r="B8" s="163" t="s">
        <v>13</v>
      </c>
      <c r="C8" s="164"/>
      <c r="D8" s="164"/>
      <c r="E8" s="164"/>
      <c r="F8" s="164"/>
      <c r="G8" s="164"/>
      <c r="H8" s="164"/>
      <c r="I8" s="164"/>
      <c r="J8" s="164"/>
      <c r="K8" s="164"/>
      <c r="L8" s="164"/>
      <c r="M8" s="165"/>
      <c r="N8" s="166" t="s">
        <v>7</v>
      </c>
      <c r="O8" s="167"/>
      <c r="P8" s="167"/>
      <c r="Q8" s="167"/>
      <c r="R8" s="167"/>
      <c r="S8" s="167"/>
      <c r="T8" s="167"/>
      <c r="U8" s="167"/>
      <c r="V8" s="167"/>
      <c r="W8" s="168"/>
      <c r="X8" s="160" t="s">
        <v>74</v>
      </c>
      <c r="Y8" s="161"/>
    </row>
    <row r="9" spans="1:26" ht="47.25" customHeight="1" x14ac:dyDescent="0.3">
      <c r="A9" s="24" t="s">
        <v>88</v>
      </c>
      <c r="B9" s="26" t="s">
        <v>67</v>
      </c>
      <c r="C9" s="27" t="s">
        <v>0</v>
      </c>
      <c r="D9" s="27" t="s">
        <v>6</v>
      </c>
      <c r="E9" s="27" t="s">
        <v>3</v>
      </c>
      <c r="F9" s="28" t="s">
        <v>29</v>
      </c>
      <c r="G9" s="28" t="s">
        <v>30</v>
      </c>
      <c r="H9" s="27" t="s">
        <v>39</v>
      </c>
      <c r="I9" s="28" t="s">
        <v>15</v>
      </c>
      <c r="J9" s="27" t="s">
        <v>14</v>
      </c>
      <c r="K9" s="27" t="s">
        <v>12</v>
      </c>
      <c r="L9" s="27" t="s">
        <v>31</v>
      </c>
      <c r="M9" s="29" t="s">
        <v>32</v>
      </c>
      <c r="N9" s="30" t="s">
        <v>46</v>
      </c>
      <c r="O9" s="28" t="s">
        <v>19</v>
      </c>
      <c r="P9" s="27" t="s">
        <v>16</v>
      </c>
      <c r="Q9" s="27" t="s">
        <v>3</v>
      </c>
      <c r="R9" s="28" t="s">
        <v>29</v>
      </c>
      <c r="S9" s="28" t="s">
        <v>30</v>
      </c>
      <c r="T9" s="27" t="s">
        <v>31</v>
      </c>
      <c r="U9" s="27" t="s">
        <v>32</v>
      </c>
      <c r="V9" s="27" t="s">
        <v>43</v>
      </c>
      <c r="W9" s="29" t="s">
        <v>9</v>
      </c>
      <c r="X9" s="31" t="s">
        <v>75</v>
      </c>
      <c r="Y9" s="32" t="s">
        <v>76</v>
      </c>
      <c r="Z9" s="24" t="s">
        <v>88</v>
      </c>
    </row>
    <row r="10" spans="1:26" x14ac:dyDescent="0.3">
      <c r="A10" s="24">
        <v>1</v>
      </c>
      <c r="B10" s="78"/>
      <c r="C10" s="33"/>
      <c r="D10" s="33"/>
      <c r="E10" s="25"/>
      <c r="F10" s="34"/>
      <c r="G10" s="34"/>
      <c r="H10" s="25"/>
      <c r="I10" s="70" t="str">
        <f>IF(C10="Trả lại đơn vụ","",IF(C10="Trả lại đơn việc","",IF(C10="Hòa giải thành","",IF(F10=0,"",EDATE(F10,VLOOKUP(C10,'Thời hạn'!$D$1:$E$10,2,0))+H10))))</f>
        <v/>
      </c>
      <c r="J10" s="59" t="str">
        <f ca="1">IF(C10="Trả lại đơn vụ","",IF(C10="Trả lại đơn việc","",IF(C10="Hòa giải thành","",IF(N10=0,IF(P10=0,IF(F10=0,"",I10-TODAY()+1),""),""))))</f>
        <v/>
      </c>
      <c r="K10" s="25"/>
      <c r="L10" s="129"/>
      <c r="M10" s="130"/>
      <c r="N10" s="35"/>
      <c r="O10" s="34"/>
      <c r="P10" s="25"/>
      <c r="Q10" s="25"/>
      <c r="R10" s="34"/>
      <c r="S10" s="34"/>
      <c r="T10" s="137"/>
      <c r="U10" s="137"/>
      <c r="V10" s="36"/>
      <c r="W10" s="37"/>
      <c r="X10" s="71" t="str">
        <f>IF(C10="Trả lại đơn vụ","",IF(C10="Trả lại đơn việc","",IF((NETWORKDAYS(F10,G10,'Danh sách ngày nghỉ lễ'!$B$5:$B$25)-1-3)&gt;0,"Quá hạn"&amp;" "&amp;(NETWORKDAYS(F10,G10,'Danh sách ngày nghỉ lễ'!$B$5:$B$25)-1-3)&amp;" "&amp;"ngày","")))</f>
        <v/>
      </c>
      <c r="Y10" s="72" t="str">
        <f>IF(S10=0,"",IF(P10="Chuyển","",IF(P10="Nhập vào vụ khác","",IF(P10="BA",IF((S10-R10)&gt;10,"Quá hạn"&amp;" "&amp;(S10-R10-10)&amp;" "&amp;"ngày",""),IF((NETWORKDAYS(R10,S10,'Danh sách ngày nghỉ lễ'!$B$5:$B$25)-VLOOKUP(P10,'Thời hạn'!$A$17:$B$23,2,0))&gt;1,"Quá hạn"&amp;" "&amp;(NETWORKDAYS(R10,S10,'Danh sách ngày nghỉ lễ'!$B$5:$B$25)-1-VLOOKUP(P10,'Thời hạn'!$A$17:$B$23,2,0))&amp;" "&amp;"ngày","")))))</f>
        <v/>
      </c>
      <c r="Z10" s="23">
        <v>1</v>
      </c>
    </row>
    <row r="11" spans="1:26" x14ac:dyDescent="0.3">
      <c r="A11" s="24">
        <v>1</v>
      </c>
      <c r="B11" s="39"/>
      <c r="C11" s="33"/>
      <c r="D11" s="25"/>
      <c r="E11" s="25"/>
      <c r="F11" s="34"/>
      <c r="G11" s="34"/>
      <c r="H11" s="25"/>
      <c r="I11" s="70" t="str">
        <f>IF(C11="Trả lại đơn vụ","",IF(C11="Trả lại đơn việc","",IF(C11="Hòa giải thành","",IF(F11=0,"",EDATE(F11,VLOOKUP(C11,'Thời hạn'!$D$1:$E$10,2,0))+H11))))</f>
        <v/>
      </c>
      <c r="J11" s="59" t="str">
        <f t="shared" ref="J11:J74" ca="1" si="0">IF(C11="Trả lại đơn vụ","",IF(C11="Trả lại đơn việc","",IF(C11="Hòa giải thành","",IF(N11=0,IF(P11=0,IF(F11=0,"",I11-TODAY()+1),""),""))))</f>
        <v/>
      </c>
      <c r="K11" s="25"/>
      <c r="L11" s="129"/>
      <c r="M11" s="130"/>
      <c r="N11" s="35"/>
      <c r="O11" s="34"/>
      <c r="P11" s="25"/>
      <c r="Q11" s="25"/>
      <c r="R11" s="34"/>
      <c r="S11" s="34"/>
      <c r="T11" s="137"/>
      <c r="U11" s="137"/>
      <c r="V11" s="36"/>
      <c r="W11" s="37"/>
      <c r="X11" s="71" t="str">
        <f>IF(C11="Trả lại đơn vụ","",IF(C11="Trả lại đơn việc","",IF((NETWORKDAYS(F11,G11,'Danh sách ngày nghỉ lễ'!$B$5:$B$25)-1-3)&gt;0,"Quá hạn"&amp;" "&amp;(NETWORKDAYS(F11,G11,'Danh sách ngày nghỉ lễ'!$B$5:$B$25)-1-3)&amp;" "&amp;"ngày","")))</f>
        <v/>
      </c>
      <c r="Y11" s="72" t="str">
        <f>IF(S11=0,"",IF(P11="Chuyển","",IF(P11="Nhập vào vụ khác","",IF(P11="BA",IF((S11-R11)&gt;10,"Quá hạn"&amp;" "&amp;(S11-R11-10)&amp;" "&amp;"ngày",""),IF((NETWORKDAYS(R11,S11,'Danh sách ngày nghỉ lễ'!$B$5:$B$25)-VLOOKUP(P11,'Thời hạn'!$A$17:$B$23,2,0))&gt;1,"Quá hạn"&amp;" "&amp;(NETWORKDAYS(R11,S11,'Danh sách ngày nghỉ lễ'!$B$5:$B$25)-1-VLOOKUP(P11,'Thời hạn'!$A$17:$B$23,2,0))&amp;" "&amp;"ngày","")))))</f>
        <v/>
      </c>
      <c r="Z11" s="23">
        <v>1</v>
      </c>
    </row>
    <row r="12" spans="1:26" x14ac:dyDescent="0.3">
      <c r="A12" s="24">
        <v>1</v>
      </c>
      <c r="B12" s="39"/>
      <c r="C12" s="33"/>
      <c r="D12" s="25"/>
      <c r="E12" s="25"/>
      <c r="F12" s="34"/>
      <c r="G12" s="34"/>
      <c r="H12" s="25"/>
      <c r="I12" s="70" t="str">
        <f>IF(C12="Trả lại đơn vụ","",IF(C12="Trả lại đơn việc","",IF(C12="Hòa giải thành","",IF(F12=0,"",EDATE(F12,VLOOKUP(C12,'Thời hạn'!$D$1:$E$10,2,0))+H12))))</f>
        <v/>
      </c>
      <c r="J12" s="59" t="str">
        <f t="shared" ca="1" si="0"/>
        <v/>
      </c>
      <c r="K12" s="25"/>
      <c r="L12" s="129"/>
      <c r="M12" s="130"/>
      <c r="N12" s="35"/>
      <c r="O12" s="34"/>
      <c r="P12" s="25"/>
      <c r="Q12" s="25"/>
      <c r="R12" s="34"/>
      <c r="S12" s="34"/>
      <c r="T12" s="137"/>
      <c r="U12" s="137"/>
      <c r="V12" s="36"/>
      <c r="W12" s="37"/>
      <c r="X12" s="71" t="str">
        <f>IF(C12="Trả lại đơn vụ","",IF(C12="Trả lại đơn việc","",IF((NETWORKDAYS(F12,G12,'Danh sách ngày nghỉ lễ'!$B$5:$B$25)-1-3)&gt;0,"Quá hạn"&amp;" "&amp;(NETWORKDAYS(F12,G12,'Danh sách ngày nghỉ lễ'!$B$5:$B$25)-1-3)&amp;" "&amp;"ngày","")))</f>
        <v/>
      </c>
      <c r="Y12" s="72" t="str">
        <f>IF(S12=0,"",IF(P12="Chuyển","",IF(P12="Nhập vào vụ khác","",IF(P12="BA",IF((S12-R12)&gt;10,"Quá hạn"&amp;" "&amp;(S12-R12-10)&amp;" "&amp;"ngày",""),IF((NETWORKDAYS(R12,S12,'Danh sách ngày nghỉ lễ'!$B$5:$B$25)-VLOOKUP(P12,'Thời hạn'!$A$17:$B$23,2,0))&gt;1,"Quá hạn"&amp;" "&amp;(NETWORKDAYS(R12,S12,'Danh sách ngày nghỉ lễ'!$B$5:$B$25)-1-VLOOKUP(P12,'Thời hạn'!$A$17:$B$23,2,0))&amp;" "&amp;"ngày","")))))</f>
        <v/>
      </c>
      <c r="Z12" s="23">
        <v>1</v>
      </c>
    </row>
    <row r="13" spans="1:26" x14ac:dyDescent="0.3">
      <c r="A13" s="24">
        <v>1</v>
      </c>
      <c r="B13" s="39"/>
      <c r="C13" s="33"/>
      <c r="D13" s="25"/>
      <c r="E13" s="25"/>
      <c r="F13" s="34"/>
      <c r="G13" s="34"/>
      <c r="H13" s="25"/>
      <c r="I13" s="70" t="str">
        <f>IF(C13="Trả lại đơn vụ","",IF(C13="Trả lại đơn việc","",IF(C13="Hòa giải thành","",IF(F13=0,"",EDATE(F13,VLOOKUP(C13,'Thời hạn'!$D$1:$E$10,2,0))+H13))))</f>
        <v/>
      </c>
      <c r="J13" s="59" t="str">
        <f t="shared" ca="1" si="0"/>
        <v/>
      </c>
      <c r="K13" s="25"/>
      <c r="L13" s="129"/>
      <c r="M13" s="130"/>
      <c r="N13" s="35"/>
      <c r="O13" s="34"/>
      <c r="P13" s="25"/>
      <c r="Q13" s="25"/>
      <c r="R13" s="34"/>
      <c r="S13" s="34"/>
      <c r="T13" s="137"/>
      <c r="U13" s="137"/>
      <c r="V13" s="36"/>
      <c r="W13" s="37"/>
      <c r="X13" s="71" t="str">
        <f>IF(C13="Trả lại đơn vụ","",IF(C13="Trả lại đơn việc","",IF((NETWORKDAYS(F13,G13,'Danh sách ngày nghỉ lễ'!$B$5:$B$25)-1-3)&gt;0,"Quá hạn"&amp;" "&amp;(NETWORKDAYS(F13,G13,'Danh sách ngày nghỉ lễ'!$B$5:$B$25)-1-3)&amp;" "&amp;"ngày","")))</f>
        <v/>
      </c>
      <c r="Y13" s="72" t="str">
        <f>IF(S13=0,"",IF(P13="Chuyển","",IF(P13="Nhập vào vụ khác","",IF(P13="BA",IF((S13-R13)&gt;10,"Quá hạn"&amp;" "&amp;(S13-R13-10)&amp;" "&amp;"ngày",""),IF((NETWORKDAYS(R13,S13,'Danh sách ngày nghỉ lễ'!$B$5:$B$25)-VLOOKUP(P13,'Thời hạn'!$A$17:$B$23,2,0))&gt;1,"Quá hạn"&amp;" "&amp;(NETWORKDAYS(R13,S13,'Danh sách ngày nghỉ lễ'!$B$5:$B$25)-1-VLOOKUP(P13,'Thời hạn'!$A$17:$B$23,2,0))&amp;" "&amp;"ngày","")))))</f>
        <v/>
      </c>
      <c r="Z13" s="23">
        <v>1</v>
      </c>
    </row>
    <row r="14" spans="1:26" x14ac:dyDescent="0.3">
      <c r="A14" s="24">
        <v>1</v>
      </c>
      <c r="B14" s="39"/>
      <c r="C14" s="33"/>
      <c r="D14" s="25"/>
      <c r="E14" s="25"/>
      <c r="F14" s="34"/>
      <c r="G14" s="34"/>
      <c r="H14" s="25"/>
      <c r="I14" s="70" t="str">
        <f>IF(C14="Trả lại đơn vụ","",IF(C14="Trả lại đơn việc","",IF(C14="Hòa giải thành","",IF(F14=0,"",EDATE(F14,VLOOKUP(C14,'Thời hạn'!$D$1:$E$10,2,0))+H14))))</f>
        <v/>
      </c>
      <c r="J14" s="59" t="str">
        <f t="shared" ca="1" si="0"/>
        <v/>
      </c>
      <c r="K14" s="25"/>
      <c r="L14" s="129"/>
      <c r="M14" s="130"/>
      <c r="N14" s="35"/>
      <c r="O14" s="34"/>
      <c r="P14" s="25"/>
      <c r="Q14" s="25"/>
      <c r="R14" s="34"/>
      <c r="S14" s="34"/>
      <c r="T14" s="137"/>
      <c r="U14" s="137"/>
      <c r="V14" s="36"/>
      <c r="W14" s="37"/>
      <c r="X14" s="71" t="str">
        <f>IF(C14="Trả lại đơn vụ","",IF(C14="Trả lại đơn việc","",IF((NETWORKDAYS(F14,G14,'Danh sách ngày nghỉ lễ'!$B$5:$B$25)-1-3)&gt;0,"Quá hạn"&amp;" "&amp;(NETWORKDAYS(F14,G14,'Danh sách ngày nghỉ lễ'!$B$5:$B$25)-1-3)&amp;" "&amp;"ngày","")))</f>
        <v/>
      </c>
      <c r="Y14" s="72" t="str">
        <f>IF(S14=0,"",IF(P14="Chuyển","",IF(P14="Nhập vào vụ khác","",IF(P14="BA",IF((S14-R14)&gt;10,"Quá hạn"&amp;" "&amp;(S14-R14-10)&amp;" "&amp;"ngày",""),IF((NETWORKDAYS(R14,S14,'Danh sách ngày nghỉ lễ'!$B$5:$B$25)-VLOOKUP(P14,'Thời hạn'!$A$17:$B$23,2,0))&gt;1,"Quá hạn"&amp;" "&amp;(NETWORKDAYS(R14,S14,'Danh sách ngày nghỉ lễ'!$B$5:$B$25)-1-VLOOKUP(P14,'Thời hạn'!$A$17:$B$23,2,0))&amp;" "&amp;"ngày","")))))</f>
        <v/>
      </c>
      <c r="Z14" s="23">
        <v>1</v>
      </c>
    </row>
    <row r="15" spans="1:26" x14ac:dyDescent="0.3">
      <c r="A15" s="24">
        <v>1</v>
      </c>
      <c r="B15" s="39"/>
      <c r="C15" s="33"/>
      <c r="D15" s="25"/>
      <c r="E15" s="25"/>
      <c r="F15" s="34"/>
      <c r="G15" s="34"/>
      <c r="H15" s="25"/>
      <c r="I15" s="70" t="str">
        <f>IF(C15="Trả lại đơn vụ","",IF(C15="Trả lại đơn việc","",IF(C15="Hòa giải thành","",IF(F15=0,"",EDATE(F15,VLOOKUP(C15,'Thời hạn'!$D$1:$E$10,2,0))+H15))))</f>
        <v/>
      </c>
      <c r="J15" s="59" t="str">
        <f t="shared" ca="1" si="0"/>
        <v/>
      </c>
      <c r="K15" s="25"/>
      <c r="L15" s="129"/>
      <c r="M15" s="130"/>
      <c r="N15" s="35"/>
      <c r="O15" s="34"/>
      <c r="P15" s="25"/>
      <c r="Q15" s="25"/>
      <c r="R15" s="34"/>
      <c r="S15" s="34"/>
      <c r="T15" s="137"/>
      <c r="U15" s="137"/>
      <c r="V15" s="36"/>
      <c r="W15" s="37"/>
      <c r="X15" s="71" t="str">
        <f>IF(C15="Trả lại đơn vụ","",IF(C15="Trả lại đơn việc","",IF((NETWORKDAYS(F15,G15,'Danh sách ngày nghỉ lễ'!$B$5:$B$25)-1-3)&gt;0,"Quá hạn"&amp;" "&amp;(NETWORKDAYS(F15,G15,'Danh sách ngày nghỉ lễ'!$B$5:$B$25)-1-3)&amp;" "&amp;"ngày","")))</f>
        <v/>
      </c>
      <c r="Y15" s="72" t="str">
        <f>IF(S15=0,"",IF(P15="Chuyển","",IF(P15="Nhập vào vụ khác","",IF(P15="BA",IF((S15-R15)&gt;10,"Quá hạn"&amp;" "&amp;(S15-R15-10)&amp;" "&amp;"ngày",""),IF((NETWORKDAYS(R15,S15,'Danh sách ngày nghỉ lễ'!$B$5:$B$25)-VLOOKUP(P15,'Thời hạn'!$A$17:$B$23,2,0))&gt;1,"Quá hạn"&amp;" "&amp;(NETWORKDAYS(R15,S15,'Danh sách ngày nghỉ lễ'!$B$5:$B$25)-1-VLOOKUP(P15,'Thời hạn'!$A$17:$B$23,2,0))&amp;" "&amp;"ngày","")))))</f>
        <v/>
      </c>
      <c r="Z15" s="23">
        <v>1</v>
      </c>
    </row>
    <row r="16" spans="1:26" x14ac:dyDescent="0.3">
      <c r="A16" s="24">
        <v>1</v>
      </c>
      <c r="B16" s="39"/>
      <c r="C16" s="33"/>
      <c r="D16" s="25"/>
      <c r="E16" s="25"/>
      <c r="F16" s="34"/>
      <c r="G16" s="34"/>
      <c r="H16" s="25"/>
      <c r="I16" s="70" t="str">
        <f>IF(C16="Trả lại đơn vụ","",IF(C16="Trả lại đơn việc","",IF(C16="Hòa giải thành","",IF(F16=0,"",EDATE(F16,VLOOKUP(C16,'Thời hạn'!$D$1:$E$10,2,0))+H16))))</f>
        <v/>
      </c>
      <c r="J16" s="59" t="str">
        <f t="shared" ca="1" si="0"/>
        <v/>
      </c>
      <c r="K16" s="25"/>
      <c r="L16" s="129"/>
      <c r="M16" s="130"/>
      <c r="N16" s="35"/>
      <c r="O16" s="34"/>
      <c r="P16" s="25"/>
      <c r="Q16" s="25"/>
      <c r="R16" s="34"/>
      <c r="S16" s="34"/>
      <c r="T16" s="137"/>
      <c r="U16" s="137"/>
      <c r="V16" s="36"/>
      <c r="W16" s="37"/>
      <c r="X16" s="71" t="str">
        <f>IF(C16="Trả lại đơn vụ","",IF(C16="Trả lại đơn việc","",IF((NETWORKDAYS(F16,G16,'Danh sách ngày nghỉ lễ'!$B$5:$B$25)-1-3)&gt;0,"Quá hạn"&amp;" "&amp;(NETWORKDAYS(F16,G16,'Danh sách ngày nghỉ lễ'!$B$5:$B$25)-1-3)&amp;" "&amp;"ngày","")))</f>
        <v/>
      </c>
      <c r="Y16" s="72" t="str">
        <f>IF(S16=0,"",IF(P16="Chuyển","",IF(P16="Nhập vào vụ khác","",IF(P16="BA",IF((S16-R16)&gt;10,"Quá hạn"&amp;" "&amp;(S16-R16-10)&amp;" "&amp;"ngày",""),IF((NETWORKDAYS(R16,S16,'Danh sách ngày nghỉ lễ'!$B$5:$B$25)-VLOOKUP(P16,'Thời hạn'!$A$17:$B$23,2,0))&gt;1,"Quá hạn"&amp;" "&amp;(NETWORKDAYS(R16,S16,'Danh sách ngày nghỉ lễ'!$B$5:$B$25)-1-VLOOKUP(P16,'Thời hạn'!$A$17:$B$23,2,0))&amp;" "&amp;"ngày","")))))</f>
        <v/>
      </c>
      <c r="Z16" s="23">
        <v>1</v>
      </c>
    </row>
    <row r="17" spans="1:26" x14ac:dyDescent="0.3">
      <c r="A17" s="24">
        <v>1</v>
      </c>
      <c r="B17" s="39"/>
      <c r="C17" s="33"/>
      <c r="D17" s="25"/>
      <c r="E17" s="25"/>
      <c r="F17" s="34"/>
      <c r="G17" s="34"/>
      <c r="H17" s="25"/>
      <c r="I17" s="70" t="str">
        <f>IF(C17="Trả lại đơn vụ","",IF(C17="Trả lại đơn việc","",IF(C17="Hòa giải thành","",IF(F17=0,"",EDATE(F17,VLOOKUP(C17,'Thời hạn'!$D$1:$E$10,2,0))+H17))))</f>
        <v/>
      </c>
      <c r="J17" s="59" t="str">
        <f t="shared" ca="1" si="0"/>
        <v/>
      </c>
      <c r="K17" s="25"/>
      <c r="L17" s="129"/>
      <c r="M17" s="130"/>
      <c r="N17" s="35"/>
      <c r="O17" s="34"/>
      <c r="P17" s="25"/>
      <c r="Q17" s="25"/>
      <c r="R17" s="34"/>
      <c r="S17" s="34"/>
      <c r="T17" s="137"/>
      <c r="U17" s="137"/>
      <c r="V17" s="36"/>
      <c r="W17" s="37"/>
      <c r="X17" s="71" t="str">
        <f>IF(C17="Trả lại đơn vụ","",IF(C17="Trả lại đơn việc","",IF((NETWORKDAYS(F17,G17,'Danh sách ngày nghỉ lễ'!$B$5:$B$25)-1-3)&gt;0,"Quá hạn"&amp;" "&amp;(NETWORKDAYS(F17,G17,'Danh sách ngày nghỉ lễ'!$B$5:$B$25)-1-3)&amp;" "&amp;"ngày","")))</f>
        <v/>
      </c>
      <c r="Y17" s="72" t="str">
        <f>IF(S17=0,"",IF(P17="Chuyển","",IF(P17="Nhập vào vụ khác","",IF(P17="BA",IF((S17-R17)&gt;10,"Quá hạn"&amp;" "&amp;(S17-R17-10)&amp;" "&amp;"ngày",""),IF((NETWORKDAYS(R17,S17,'Danh sách ngày nghỉ lễ'!$B$5:$B$25)-VLOOKUP(P17,'Thời hạn'!$A$17:$B$23,2,0))&gt;1,"Quá hạn"&amp;" "&amp;(NETWORKDAYS(R17,S17,'Danh sách ngày nghỉ lễ'!$B$5:$B$25)-1-VLOOKUP(P17,'Thời hạn'!$A$17:$B$23,2,0))&amp;" "&amp;"ngày","")))))</f>
        <v/>
      </c>
      <c r="Z17" s="23">
        <v>1</v>
      </c>
    </row>
    <row r="18" spans="1:26" x14ac:dyDescent="0.3">
      <c r="A18" s="24">
        <v>1</v>
      </c>
      <c r="B18" s="39"/>
      <c r="C18" s="33"/>
      <c r="D18" s="25"/>
      <c r="E18" s="25"/>
      <c r="F18" s="34"/>
      <c r="G18" s="34"/>
      <c r="H18" s="25"/>
      <c r="I18" s="70" t="str">
        <f>IF(C18="Trả lại đơn vụ","",IF(C18="Trả lại đơn việc","",IF(C18="Hòa giải thành","",IF(F18=0,"",EDATE(F18,VLOOKUP(C18,'Thời hạn'!$D$1:$E$10,2,0))+H18))))</f>
        <v/>
      </c>
      <c r="J18" s="59" t="str">
        <f t="shared" ca="1" si="0"/>
        <v/>
      </c>
      <c r="K18" s="25"/>
      <c r="L18" s="129"/>
      <c r="M18" s="130"/>
      <c r="N18" s="35"/>
      <c r="O18" s="34"/>
      <c r="P18" s="25"/>
      <c r="Q18" s="25"/>
      <c r="R18" s="34"/>
      <c r="S18" s="34"/>
      <c r="T18" s="137"/>
      <c r="U18" s="137"/>
      <c r="V18" s="36"/>
      <c r="W18" s="37"/>
      <c r="X18" s="71" t="str">
        <f>IF(C18="Trả lại đơn vụ","",IF(C18="Trả lại đơn việc","",IF((NETWORKDAYS(F18,G18,'Danh sách ngày nghỉ lễ'!$B$5:$B$25)-1-3)&gt;0,"Quá hạn"&amp;" "&amp;(NETWORKDAYS(F18,G18,'Danh sách ngày nghỉ lễ'!$B$5:$B$25)-1-3)&amp;" "&amp;"ngày","")))</f>
        <v/>
      </c>
      <c r="Y18" s="72" t="str">
        <f>IF(S18=0,"",IF(P18="Chuyển","",IF(P18="Nhập vào vụ khác","",IF(P18="BA",IF((S18-R18)&gt;10,"Quá hạn"&amp;" "&amp;(S18-R18-10)&amp;" "&amp;"ngày",""),IF((NETWORKDAYS(R18,S18,'Danh sách ngày nghỉ lễ'!$B$5:$B$25)-VLOOKUP(P18,'Thời hạn'!$A$17:$B$23,2,0))&gt;1,"Quá hạn"&amp;" "&amp;(NETWORKDAYS(R18,S18,'Danh sách ngày nghỉ lễ'!$B$5:$B$25)-1-VLOOKUP(P18,'Thời hạn'!$A$17:$B$23,2,0))&amp;" "&amp;"ngày","")))))</f>
        <v/>
      </c>
      <c r="Z18" s="23">
        <v>1</v>
      </c>
    </row>
    <row r="19" spans="1:26" x14ac:dyDescent="0.3">
      <c r="A19" s="24">
        <v>1</v>
      </c>
      <c r="B19" s="39"/>
      <c r="C19" s="33"/>
      <c r="D19" s="25"/>
      <c r="E19" s="25"/>
      <c r="F19" s="34"/>
      <c r="G19" s="34"/>
      <c r="H19" s="25"/>
      <c r="I19" s="70" t="str">
        <f>IF(C19="Trả lại đơn vụ","",IF(C19="Trả lại đơn việc","",IF(C19="Hòa giải thành","",IF(F19=0,"",EDATE(F19,VLOOKUP(C19,'Thời hạn'!$D$1:$E$10,2,0))+H19))))</f>
        <v/>
      </c>
      <c r="J19" s="59" t="str">
        <f t="shared" ca="1" si="0"/>
        <v/>
      </c>
      <c r="K19" s="25"/>
      <c r="L19" s="129"/>
      <c r="M19" s="130"/>
      <c r="N19" s="35"/>
      <c r="O19" s="34"/>
      <c r="P19" s="25"/>
      <c r="Q19" s="25"/>
      <c r="R19" s="34"/>
      <c r="S19" s="34"/>
      <c r="T19" s="137"/>
      <c r="U19" s="137"/>
      <c r="V19" s="36"/>
      <c r="W19" s="37"/>
      <c r="X19" s="71" t="str">
        <f>IF(C19="Trả lại đơn vụ","",IF(C19="Trả lại đơn việc","",IF((NETWORKDAYS(F19,G19,'Danh sách ngày nghỉ lễ'!$B$5:$B$25)-1-3)&gt;0,"Quá hạn"&amp;" "&amp;(NETWORKDAYS(F19,G19,'Danh sách ngày nghỉ lễ'!$B$5:$B$25)-1-3)&amp;" "&amp;"ngày","")))</f>
        <v/>
      </c>
      <c r="Y19" s="72" t="str">
        <f>IF(S19=0,"",IF(P19="Chuyển","",IF(P19="Nhập vào vụ khác","",IF(P19="BA",IF((S19-R19)&gt;10,"Quá hạn"&amp;" "&amp;(S19-R19-10)&amp;" "&amp;"ngày",""),IF((NETWORKDAYS(R19,S19,'Danh sách ngày nghỉ lễ'!$B$5:$B$25)-VLOOKUP(P19,'Thời hạn'!$A$17:$B$23,2,0))&gt;1,"Quá hạn"&amp;" "&amp;(NETWORKDAYS(R19,S19,'Danh sách ngày nghỉ lễ'!$B$5:$B$25)-1-VLOOKUP(P19,'Thời hạn'!$A$17:$B$23,2,0))&amp;" "&amp;"ngày","")))))</f>
        <v/>
      </c>
      <c r="Z19" s="23">
        <v>1</v>
      </c>
    </row>
    <row r="20" spans="1:26" x14ac:dyDescent="0.3">
      <c r="A20" s="24">
        <v>1</v>
      </c>
      <c r="B20" s="39"/>
      <c r="C20" s="33"/>
      <c r="D20" s="25"/>
      <c r="E20" s="25"/>
      <c r="F20" s="34"/>
      <c r="G20" s="34"/>
      <c r="H20" s="25"/>
      <c r="I20" s="70" t="str">
        <f>IF(C20="Trả lại đơn vụ","",IF(C20="Trả lại đơn việc","",IF(C20="Hòa giải thành","",IF(F20=0,"",EDATE(F20,VLOOKUP(C20,'Thời hạn'!$D$1:$E$10,2,0))+H20))))</f>
        <v/>
      </c>
      <c r="J20" s="59" t="str">
        <f t="shared" ca="1" si="0"/>
        <v/>
      </c>
      <c r="K20" s="25"/>
      <c r="L20" s="129"/>
      <c r="M20" s="130"/>
      <c r="N20" s="35"/>
      <c r="O20" s="34"/>
      <c r="P20" s="25"/>
      <c r="Q20" s="25"/>
      <c r="R20" s="34"/>
      <c r="S20" s="34"/>
      <c r="T20" s="137"/>
      <c r="U20" s="137"/>
      <c r="V20" s="36"/>
      <c r="W20" s="37"/>
      <c r="X20" s="71" t="str">
        <f>IF(C20="Trả lại đơn vụ","",IF(C20="Trả lại đơn việc","",IF((NETWORKDAYS(F20,G20,'Danh sách ngày nghỉ lễ'!$B$5:$B$25)-1-3)&gt;0,"Quá hạn"&amp;" "&amp;(NETWORKDAYS(F20,G20,'Danh sách ngày nghỉ lễ'!$B$5:$B$25)-1-3)&amp;" "&amp;"ngày","")))</f>
        <v/>
      </c>
      <c r="Y20" s="72" t="str">
        <f>IF(S20=0,"",IF(P20="Chuyển","",IF(P20="Nhập vào vụ khác","",IF(P20="BA",IF((S20-R20)&gt;10,"Quá hạn"&amp;" "&amp;(S20-R20-10)&amp;" "&amp;"ngày",""),IF((NETWORKDAYS(R20,S20,'Danh sách ngày nghỉ lễ'!$B$5:$B$25)-VLOOKUP(P20,'Thời hạn'!$A$17:$B$23,2,0))&gt;1,"Quá hạn"&amp;" "&amp;(NETWORKDAYS(R20,S20,'Danh sách ngày nghỉ lễ'!$B$5:$B$25)-1-VLOOKUP(P20,'Thời hạn'!$A$17:$B$23,2,0))&amp;" "&amp;"ngày","")))))</f>
        <v/>
      </c>
      <c r="Z20" s="23">
        <v>1</v>
      </c>
    </row>
    <row r="21" spans="1:26" x14ac:dyDescent="0.3">
      <c r="A21" s="24">
        <v>1</v>
      </c>
      <c r="B21" s="39"/>
      <c r="C21" s="33"/>
      <c r="D21" s="25"/>
      <c r="E21" s="25"/>
      <c r="F21" s="34"/>
      <c r="G21" s="34"/>
      <c r="H21" s="25"/>
      <c r="I21" s="70" t="str">
        <f>IF(C21="Trả lại đơn vụ","",IF(C21="Trả lại đơn việc","",IF(C21="Hòa giải thành","",IF(F21=0,"",EDATE(F21,VLOOKUP(C21,'Thời hạn'!$D$1:$E$10,2,0))+H21))))</f>
        <v/>
      </c>
      <c r="J21" s="59" t="str">
        <f t="shared" ca="1" si="0"/>
        <v/>
      </c>
      <c r="K21" s="25"/>
      <c r="L21" s="129"/>
      <c r="M21" s="130"/>
      <c r="N21" s="35"/>
      <c r="O21" s="34"/>
      <c r="P21" s="25"/>
      <c r="Q21" s="25"/>
      <c r="R21" s="34"/>
      <c r="S21" s="34"/>
      <c r="T21" s="137"/>
      <c r="U21" s="137"/>
      <c r="V21" s="36"/>
      <c r="W21" s="37"/>
      <c r="X21" s="71" t="str">
        <f>IF(C21="Trả lại đơn vụ","",IF(C21="Trả lại đơn việc","",IF((NETWORKDAYS(F21,G21,'Danh sách ngày nghỉ lễ'!$B$5:$B$25)-1-3)&gt;0,"Quá hạn"&amp;" "&amp;(NETWORKDAYS(F21,G21,'Danh sách ngày nghỉ lễ'!$B$5:$B$25)-1-3)&amp;" "&amp;"ngày","")))</f>
        <v/>
      </c>
      <c r="Y21" s="72" t="str">
        <f>IF(S21=0,"",IF(P21="Chuyển","",IF(P21="Nhập vào vụ khác","",IF(P21="BA",IF((S21-R21)&gt;10,"Quá hạn"&amp;" "&amp;(S21-R21-10)&amp;" "&amp;"ngày",""),IF((NETWORKDAYS(R21,S21,'Danh sách ngày nghỉ lễ'!$B$5:$B$25)-VLOOKUP(P21,'Thời hạn'!$A$17:$B$23,2,0))&gt;1,"Quá hạn"&amp;" "&amp;(NETWORKDAYS(R21,S21,'Danh sách ngày nghỉ lễ'!$B$5:$B$25)-1-VLOOKUP(P21,'Thời hạn'!$A$17:$B$23,2,0))&amp;" "&amp;"ngày","")))))</f>
        <v/>
      </c>
      <c r="Z21" s="23">
        <v>1</v>
      </c>
    </row>
    <row r="22" spans="1:26" x14ac:dyDescent="0.3">
      <c r="A22" s="24">
        <v>1</v>
      </c>
      <c r="B22" s="39"/>
      <c r="C22" s="33"/>
      <c r="D22" s="25"/>
      <c r="E22" s="25"/>
      <c r="F22" s="34"/>
      <c r="G22" s="34"/>
      <c r="H22" s="25"/>
      <c r="I22" s="70" t="str">
        <f>IF(C22="Trả lại đơn vụ","",IF(C22="Trả lại đơn việc","",IF(C22="Hòa giải thành","",IF(F22=0,"",EDATE(F22,VLOOKUP(C22,'Thời hạn'!$D$1:$E$10,2,0))+H22))))</f>
        <v/>
      </c>
      <c r="J22" s="59" t="str">
        <f t="shared" ca="1" si="0"/>
        <v/>
      </c>
      <c r="K22" s="25"/>
      <c r="L22" s="129"/>
      <c r="M22" s="130"/>
      <c r="N22" s="35"/>
      <c r="O22" s="34"/>
      <c r="P22" s="25"/>
      <c r="Q22" s="25"/>
      <c r="R22" s="34"/>
      <c r="S22" s="34"/>
      <c r="T22" s="137"/>
      <c r="U22" s="137"/>
      <c r="V22" s="36"/>
      <c r="W22" s="37"/>
      <c r="X22" s="71" t="str">
        <f>IF(C22="Trả lại đơn vụ","",IF(C22="Trả lại đơn việc","",IF((NETWORKDAYS(F22,G22,'Danh sách ngày nghỉ lễ'!$B$5:$B$25)-1-3)&gt;0,"Quá hạn"&amp;" "&amp;(NETWORKDAYS(F22,G22,'Danh sách ngày nghỉ lễ'!$B$5:$B$25)-1-3)&amp;" "&amp;"ngày","")))</f>
        <v/>
      </c>
      <c r="Y22" s="72" t="str">
        <f>IF(S22=0,"",IF(P22="Chuyển","",IF(P22="Nhập vào vụ khác","",IF(P22="BA",IF((S22-R22)&gt;10,"Quá hạn"&amp;" "&amp;(S22-R22-10)&amp;" "&amp;"ngày",""),IF((NETWORKDAYS(R22,S22,'Danh sách ngày nghỉ lễ'!$B$5:$B$25)-VLOOKUP(P22,'Thời hạn'!$A$17:$B$23,2,0))&gt;1,"Quá hạn"&amp;" "&amp;(NETWORKDAYS(R22,S22,'Danh sách ngày nghỉ lễ'!$B$5:$B$25)-1-VLOOKUP(P22,'Thời hạn'!$A$17:$B$23,2,0))&amp;" "&amp;"ngày","")))))</f>
        <v/>
      </c>
      <c r="Z22" s="23">
        <v>1</v>
      </c>
    </row>
    <row r="23" spans="1:26" x14ac:dyDescent="0.3">
      <c r="A23" s="24">
        <v>1</v>
      </c>
      <c r="B23" s="39"/>
      <c r="C23" s="33"/>
      <c r="D23" s="25"/>
      <c r="E23" s="25"/>
      <c r="F23" s="34"/>
      <c r="G23" s="34"/>
      <c r="H23" s="25"/>
      <c r="I23" s="70" t="str">
        <f>IF(C23="Trả lại đơn vụ","",IF(C23="Trả lại đơn việc","",IF(C23="Hòa giải thành","",IF(F23=0,"",EDATE(F23,VLOOKUP(C23,'Thời hạn'!$D$1:$E$10,2,0))+H23))))</f>
        <v/>
      </c>
      <c r="J23" s="59" t="str">
        <f t="shared" ca="1" si="0"/>
        <v/>
      </c>
      <c r="K23" s="25"/>
      <c r="L23" s="129"/>
      <c r="M23" s="130"/>
      <c r="N23" s="35"/>
      <c r="O23" s="34"/>
      <c r="P23" s="25"/>
      <c r="Q23" s="25"/>
      <c r="R23" s="34"/>
      <c r="S23" s="34"/>
      <c r="T23" s="137"/>
      <c r="U23" s="137"/>
      <c r="V23" s="36"/>
      <c r="W23" s="37"/>
      <c r="X23" s="71" t="str">
        <f>IF(C23="Trả lại đơn vụ","",IF(C23="Trả lại đơn việc","",IF((NETWORKDAYS(F23,G23,'Danh sách ngày nghỉ lễ'!$B$5:$B$25)-1-3)&gt;0,"Quá hạn"&amp;" "&amp;(NETWORKDAYS(F23,G23,'Danh sách ngày nghỉ lễ'!$B$5:$B$25)-1-3)&amp;" "&amp;"ngày","")))</f>
        <v/>
      </c>
      <c r="Y23" s="72" t="str">
        <f>IF(S23=0,"",IF(P23="Chuyển","",IF(P23="Nhập vào vụ khác","",IF(P23="BA",IF((S23-R23)&gt;10,"Quá hạn"&amp;" "&amp;(S23-R23-10)&amp;" "&amp;"ngày",""),IF((NETWORKDAYS(R23,S23,'Danh sách ngày nghỉ lễ'!$B$5:$B$25)-VLOOKUP(P23,'Thời hạn'!$A$17:$B$23,2,0))&gt;1,"Quá hạn"&amp;" "&amp;(NETWORKDAYS(R23,S23,'Danh sách ngày nghỉ lễ'!$B$5:$B$25)-1-VLOOKUP(P23,'Thời hạn'!$A$17:$B$23,2,0))&amp;" "&amp;"ngày","")))))</f>
        <v/>
      </c>
      <c r="Z23" s="23">
        <v>1</v>
      </c>
    </row>
    <row r="24" spans="1:26" x14ac:dyDescent="0.3">
      <c r="A24" s="24">
        <v>1</v>
      </c>
      <c r="B24" s="39"/>
      <c r="C24" s="33"/>
      <c r="D24" s="25"/>
      <c r="E24" s="25"/>
      <c r="F24" s="34"/>
      <c r="G24" s="34"/>
      <c r="H24" s="25"/>
      <c r="I24" s="70" t="str">
        <f>IF(C24="Trả lại đơn vụ","",IF(C24="Trả lại đơn việc","",IF(C24="Hòa giải thành","",IF(F24=0,"",EDATE(F24,VLOOKUP(C24,'Thời hạn'!$D$1:$E$10,2,0))+H24))))</f>
        <v/>
      </c>
      <c r="J24" s="59" t="str">
        <f t="shared" ca="1" si="0"/>
        <v/>
      </c>
      <c r="K24" s="25"/>
      <c r="L24" s="129"/>
      <c r="M24" s="130"/>
      <c r="N24" s="35"/>
      <c r="O24" s="34"/>
      <c r="P24" s="25"/>
      <c r="Q24" s="25"/>
      <c r="R24" s="34"/>
      <c r="S24" s="34"/>
      <c r="T24" s="137"/>
      <c r="U24" s="137"/>
      <c r="V24" s="36"/>
      <c r="W24" s="37"/>
      <c r="X24" s="71" t="str">
        <f>IF(C24="Trả lại đơn vụ","",IF(C24="Trả lại đơn việc","",IF((NETWORKDAYS(F24,G24,'Danh sách ngày nghỉ lễ'!$B$5:$B$25)-1-3)&gt;0,"Quá hạn"&amp;" "&amp;(NETWORKDAYS(F24,G24,'Danh sách ngày nghỉ lễ'!$B$5:$B$25)-1-3)&amp;" "&amp;"ngày","")))</f>
        <v/>
      </c>
      <c r="Y24" s="72" t="str">
        <f>IF(S24=0,"",IF(P24="Chuyển","",IF(P24="Nhập vào vụ khác","",IF(P24="BA",IF((S24-R24)&gt;10,"Quá hạn"&amp;" "&amp;(S24-R24-10)&amp;" "&amp;"ngày",""),IF((NETWORKDAYS(R24,S24,'Danh sách ngày nghỉ lễ'!$B$5:$B$25)-VLOOKUP(P24,'Thời hạn'!$A$17:$B$23,2,0))&gt;1,"Quá hạn"&amp;" "&amp;(NETWORKDAYS(R24,S24,'Danh sách ngày nghỉ lễ'!$B$5:$B$25)-1-VLOOKUP(P24,'Thời hạn'!$A$17:$B$23,2,0))&amp;" "&amp;"ngày","")))))</f>
        <v/>
      </c>
      <c r="Z24" s="23">
        <v>1</v>
      </c>
    </row>
    <row r="25" spans="1:26" x14ac:dyDescent="0.3">
      <c r="A25" s="24">
        <v>1</v>
      </c>
      <c r="B25" s="39"/>
      <c r="C25" s="33"/>
      <c r="D25" s="25"/>
      <c r="E25" s="25"/>
      <c r="F25" s="34"/>
      <c r="G25" s="34"/>
      <c r="H25" s="25"/>
      <c r="I25" s="70" t="str">
        <f>IF(C25="Trả lại đơn vụ","",IF(C25="Trả lại đơn việc","",IF(C25="Hòa giải thành","",IF(F25=0,"",EDATE(F25,VLOOKUP(C25,'Thời hạn'!$D$1:$E$10,2,0))+H25))))</f>
        <v/>
      </c>
      <c r="J25" s="59" t="str">
        <f t="shared" ca="1" si="0"/>
        <v/>
      </c>
      <c r="K25" s="25"/>
      <c r="L25" s="129"/>
      <c r="M25" s="130"/>
      <c r="N25" s="35"/>
      <c r="O25" s="34"/>
      <c r="P25" s="25"/>
      <c r="Q25" s="25"/>
      <c r="R25" s="34"/>
      <c r="S25" s="34"/>
      <c r="T25" s="137"/>
      <c r="U25" s="137"/>
      <c r="V25" s="36"/>
      <c r="W25" s="37"/>
      <c r="X25" s="71" t="str">
        <f>IF(C25="Trả lại đơn vụ","",IF(C25="Trả lại đơn việc","",IF((NETWORKDAYS(F25,G25,'Danh sách ngày nghỉ lễ'!$B$5:$B$25)-1-3)&gt;0,"Quá hạn"&amp;" "&amp;(NETWORKDAYS(F25,G25,'Danh sách ngày nghỉ lễ'!$B$5:$B$25)-1-3)&amp;" "&amp;"ngày","")))</f>
        <v/>
      </c>
      <c r="Y25" s="72" t="str">
        <f>IF(S25=0,"",IF(P25="Chuyển","",IF(P25="Nhập vào vụ khác","",IF(P25="BA",IF((S25-R25)&gt;10,"Quá hạn"&amp;" "&amp;(S25-R25-10)&amp;" "&amp;"ngày",""),IF((NETWORKDAYS(R25,S25,'Danh sách ngày nghỉ lễ'!$B$5:$B$25)-VLOOKUP(P25,'Thời hạn'!$A$17:$B$23,2,0))&gt;1,"Quá hạn"&amp;" "&amp;(NETWORKDAYS(R25,S25,'Danh sách ngày nghỉ lễ'!$B$5:$B$25)-1-VLOOKUP(P25,'Thời hạn'!$A$17:$B$23,2,0))&amp;" "&amp;"ngày","")))))</f>
        <v/>
      </c>
      <c r="Z25" s="23">
        <v>1</v>
      </c>
    </row>
    <row r="26" spans="1:26" x14ac:dyDescent="0.3">
      <c r="A26" s="24">
        <v>1</v>
      </c>
      <c r="B26" s="39"/>
      <c r="C26" s="33"/>
      <c r="D26" s="25"/>
      <c r="E26" s="25"/>
      <c r="F26" s="34"/>
      <c r="G26" s="34"/>
      <c r="H26" s="25"/>
      <c r="I26" s="70" t="str">
        <f>IF(C26="Trả lại đơn vụ","",IF(C26="Trả lại đơn việc","",IF(C26="Hòa giải thành","",IF(F26=0,"",EDATE(F26,VLOOKUP(C26,'Thời hạn'!$D$1:$E$10,2,0))+H26))))</f>
        <v/>
      </c>
      <c r="J26" s="59" t="str">
        <f t="shared" ca="1" si="0"/>
        <v/>
      </c>
      <c r="K26" s="25"/>
      <c r="L26" s="129"/>
      <c r="M26" s="130"/>
      <c r="N26" s="35"/>
      <c r="O26" s="34"/>
      <c r="P26" s="25"/>
      <c r="Q26" s="25"/>
      <c r="R26" s="34"/>
      <c r="S26" s="34"/>
      <c r="T26" s="137"/>
      <c r="U26" s="137"/>
      <c r="V26" s="36"/>
      <c r="W26" s="37"/>
      <c r="X26" s="71" t="str">
        <f>IF(C26="Trả lại đơn vụ","",IF(C26="Trả lại đơn việc","",IF((NETWORKDAYS(F26,G26,'Danh sách ngày nghỉ lễ'!$B$5:$B$25)-1-3)&gt;0,"Quá hạn"&amp;" "&amp;(NETWORKDAYS(F26,G26,'Danh sách ngày nghỉ lễ'!$B$5:$B$25)-1-3)&amp;" "&amp;"ngày","")))</f>
        <v/>
      </c>
      <c r="Y26" s="72" t="str">
        <f>IF(S26=0,"",IF(P26="Chuyển","",IF(P26="Nhập vào vụ khác","",IF(P26="BA",IF((S26-R26)&gt;10,"Quá hạn"&amp;" "&amp;(S26-R26-10)&amp;" "&amp;"ngày",""),IF((NETWORKDAYS(R26,S26,'Danh sách ngày nghỉ lễ'!$B$5:$B$25)-VLOOKUP(P26,'Thời hạn'!$A$17:$B$23,2,0))&gt;1,"Quá hạn"&amp;" "&amp;(NETWORKDAYS(R26,S26,'Danh sách ngày nghỉ lễ'!$B$5:$B$25)-1-VLOOKUP(P26,'Thời hạn'!$A$17:$B$23,2,0))&amp;" "&amp;"ngày","")))))</f>
        <v/>
      </c>
      <c r="Z26" s="23">
        <v>1</v>
      </c>
    </row>
    <row r="27" spans="1:26" x14ac:dyDescent="0.3">
      <c r="A27" s="24">
        <v>1</v>
      </c>
      <c r="B27" s="39"/>
      <c r="C27" s="33"/>
      <c r="D27" s="25"/>
      <c r="E27" s="25"/>
      <c r="F27" s="34"/>
      <c r="G27" s="34"/>
      <c r="H27" s="25"/>
      <c r="I27" s="70" t="str">
        <f>IF(C27="Trả lại đơn vụ","",IF(C27="Trả lại đơn việc","",IF(C27="Hòa giải thành","",IF(F27=0,"",EDATE(F27,VLOOKUP(C27,'Thời hạn'!$D$1:$E$10,2,0))+H27))))</f>
        <v/>
      </c>
      <c r="J27" s="59" t="str">
        <f t="shared" ca="1" si="0"/>
        <v/>
      </c>
      <c r="K27" s="25"/>
      <c r="L27" s="129"/>
      <c r="M27" s="130"/>
      <c r="N27" s="35"/>
      <c r="O27" s="34"/>
      <c r="P27" s="25"/>
      <c r="Q27" s="25"/>
      <c r="R27" s="34"/>
      <c r="S27" s="34"/>
      <c r="T27" s="137"/>
      <c r="U27" s="137"/>
      <c r="V27" s="36"/>
      <c r="W27" s="37"/>
      <c r="X27" s="71" t="str">
        <f>IF(C27="Trả lại đơn vụ","",IF(C27="Trả lại đơn việc","",IF((NETWORKDAYS(F27,G27,'Danh sách ngày nghỉ lễ'!$B$5:$B$25)-1-3)&gt;0,"Quá hạn"&amp;" "&amp;(NETWORKDAYS(F27,G27,'Danh sách ngày nghỉ lễ'!$B$5:$B$25)-1-3)&amp;" "&amp;"ngày","")))</f>
        <v/>
      </c>
      <c r="Y27" s="72" t="str">
        <f>IF(S27=0,"",IF(P27="Chuyển","",IF(P27="Nhập vào vụ khác","",IF(P27="BA",IF((S27-R27)&gt;10,"Quá hạn"&amp;" "&amp;(S27-R27-10)&amp;" "&amp;"ngày",""),IF((NETWORKDAYS(R27,S27,'Danh sách ngày nghỉ lễ'!$B$5:$B$25)-VLOOKUP(P27,'Thời hạn'!$A$17:$B$23,2,0))&gt;1,"Quá hạn"&amp;" "&amp;(NETWORKDAYS(R27,S27,'Danh sách ngày nghỉ lễ'!$B$5:$B$25)-1-VLOOKUP(P27,'Thời hạn'!$A$17:$B$23,2,0))&amp;" "&amp;"ngày","")))))</f>
        <v/>
      </c>
      <c r="Z27" s="23">
        <v>1</v>
      </c>
    </row>
    <row r="28" spans="1:26" x14ac:dyDescent="0.3">
      <c r="A28" s="24">
        <v>1</v>
      </c>
      <c r="B28" s="39"/>
      <c r="C28" s="33"/>
      <c r="D28" s="25"/>
      <c r="E28" s="25"/>
      <c r="F28" s="34"/>
      <c r="G28" s="34"/>
      <c r="H28" s="25"/>
      <c r="I28" s="70" t="str">
        <f>IF(C28="Trả lại đơn vụ","",IF(C28="Trả lại đơn việc","",IF(C28="Hòa giải thành","",IF(F28=0,"",EDATE(F28,VLOOKUP(C28,'Thời hạn'!$D$1:$E$10,2,0))+H28))))</f>
        <v/>
      </c>
      <c r="J28" s="59" t="str">
        <f t="shared" ca="1" si="0"/>
        <v/>
      </c>
      <c r="K28" s="25"/>
      <c r="L28" s="129"/>
      <c r="M28" s="130"/>
      <c r="N28" s="35"/>
      <c r="O28" s="34"/>
      <c r="P28" s="25"/>
      <c r="Q28" s="25"/>
      <c r="R28" s="34"/>
      <c r="S28" s="34"/>
      <c r="T28" s="137"/>
      <c r="U28" s="137"/>
      <c r="V28" s="36"/>
      <c r="W28" s="37"/>
      <c r="X28" s="71" t="str">
        <f>IF(C28="Trả lại đơn vụ","",IF(C28="Trả lại đơn việc","",IF((NETWORKDAYS(F28,G28,'Danh sách ngày nghỉ lễ'!$B$5:$B$25)-1-3)&gt;0,"Quá hạn"&amp;" "&amp;(NETWORKDAYS(F28,G28,'Danh sách ngày nghỉ lễ'!$B$5:$B$25)-1-3)&amp;" "&amp;"ngày","")))</f>
        <v/>
      </c>
      <c r="Y28" s="72" t="str">
        <f>IF(S28=0,"",IF(P28="Chuyển","",IF(P28="Nhập vào vụ khác","",IF(P28="BA",IF((S28-R28)&gt;10,"Quá hạn"&amp;" "&amp;(S28-R28-10)&amp;" "&amp;"ngày",""),IF((NETWORKDAYS(R28,S28,'Danh sách ngày nghỉ lễ'!$B$5:$B$25)-VLOOKUP(P28,'Thời hạn'!$A$17:$B$23,2,0))&gt;1,"Quá hạn"&amp;" "&amp;(NETWORKDAYS(R28,S28,'Danh sách ngày nghỉ lễ'!$B$5:$B$25)-1-VLOOKUP(P28,'Thời hạn'!$A$17:$B$23,2,0))&amp;" "&amp;"ngày","")))))</f>
        <v/>
      </c>
      <c r="Z28" s="23">
        <v>1</v>
      </c>
    </row>
    <row r="29" spans="1:26" x14ac:dyDescent="0.3">
      <c r="A29" s="24">
        <v>1</v>
      </c>
      <c r="B29" s="39"/>
      <c r="C29" s="33"/>
      <c r="D29" s="25"/>
      <c r="E29" s="25"/>
      <c r="F29" s="34"/>
      <c r="G29" s="34"/>
      <c r="H29" s="25"/>
      <c r="I29" s="70" t="str">
        <f>IF(C29="Trả lại đơn vụ","",IF(C29="Trả lại đơn việc","",IF(C29="Hòa giải thành","",IF(F29=0,"",EDATE(F29,VLOOKUP(C29,'Thời hạn'!$D$1:$E$10,2,0))+H29))))</f>
        <v/>
      </c>
      <c r="J29" s="59" t="str">
        <f t="shared" ca="1" si="0"/>
        <v/>
      </c>
      <c r="K29" s="25"/>
      <c r="L29" s="129"/>
      <c r="M29" s="130"/>
      <c r="N29" s="35"/>
      <c r="O29" s="34"/>
      <c r="P29" s="25"/>
      <c r="Q29" s="25"/>
      <c r="R29" s="34"/>
      <c r="S29" s="34"/>
      <c r="T29" s="137"/>
      <c r="U29" s="137"/>
      <c r="V29" s="36"/>
      <c r="W29" s="37"/>
      <c r="X29" s="71" t="str">
        <f>IF(C29="Trả lại đơn vụ","",IF(C29="Trả lại đơn việc","",IF((NETWORKDAYS(F29,G29,'Danh sách ngày nghỉ lễ'!$B$5:$B$25)-1-3)&gt;0,"Quá hạn"&amp;" "&amp;(NETWORKDAYS(F29,G29,'Danh sách ngày nghỉ lễ'!$B$5:$B$25)-1-3)&amp;" "&amp;"ngày","")))</f>
        <v/>
      </c>
      <c r="Y29" s="72" t="str">
        <f>IF(S29=0,"",IF(P29="Chuyển","",IF(P29="Nhập vào vụ khác","",IF(P29="BA",IF((S29-R29)&gt;10,"Quá hạn"&amp;" "&amp;(S29-R29-10)&amp;" "&amp;"ngày",""),IF((NETWORKDAYS(R29,S29,'Danh sách ngày nghỉ lễ'!$B$5:$B$25)-VLOOKUP(P29,'Thời hạn'!$A$17:$B$23,2,0))&gt;1,"Quá hạn"&amp;" "&amp;(NETWORKDAYS(R29,S29,'Danh sách ngày nghỉ lễ'!$B$5:$B$25)-1-VLOOKUP(P29,'Thời hạn'!$A$17:$B$23,2,0))&amp;" "&amp;"ngày","")))))</f>
        <v/>
      </c>
      <c r="Z29" s="23">
        <v>1</v>
      </c>
    </row>
    <row r="30" spans="1:26" x14ac:dyDescent="0.3">
      <c r="A30" s="24">
        <v>1</v>
      </c>
      <c r="B30" s="39"/>
      <c r="C30" s="33"/>
      <c r="D30" s="25"/>
      <c r="E30" s="25"/>
      <c r="F30" s="34"/>
      <c r="G30" s="34"/>
      <c r="H30" s="25"/>
      <c r="I30" s="70" t="str">
        <f>IF(C30="Trả lại đơn vụ","",IF(C30="Trả lại đơn việc","",IF(C30="Hòa giải thành","",IF(F30=0,"",EDATE(F30,VLOOKUP(C30,'Thời hạn'!$D$1:$E$10,2,0))+H30))))</f>
        <v/>
      </c>
      <c r="J30" s="59" t="str">
        <f t="shared" ca="1" si="0"/>
        <v/>
      </c>
      <c r="K30" s="25"/>
      <c r="L30" s="129"/>
      <c r="M30" s="130"/>
      <c r="N30" s="35"/>
      <c r="O30" s="34"/>
      <c r="P30" s="25"/>
      <c r="Q30" s="25"/>
      <c r="R30" s="34"/>
      <c r="S30" s="34"/>
      <c r="T30" s="137"/>
      <c r="U30" s="137"/>
      <c r="V30" s="36"/>
      <c r="W30" s="37"/>
      <c r="X30" s="71" t="str">
        <f>IF(C30="Trả lại đơn vụ","",IF(C30="Trả lại đơn việc","",IF((NETWORKDAYS(F30,G30,'Danh sách ngày nghỉ lễ'!$B$5:$B$25)-1-3)&gt;0,"Quá hạn"&amp;" "&amp;(NETWORKDAYS(F30,G30,'Danh sách ngày nghỉ lễ'!$B$5:$B$25)-1-3)&amp;" "&amp;"ngày","")))</f>
        <v/>
      </c>
      <c r="Y30" s="72" t="str">
        <f>IF(S30=0,"",IF(P30="Chuyển","",IF(P30="Nhập vào vụ khác","",IF(P30="BA",IF((S30-R30)&gt;10,"Quá hạn"&amp;" "&amp;(S30-R30-10)&amp;" "&amp;"ngày",""),IF((NETWORKDAYS(R30,S30,'Danh sách ngày nghỉ lễ'!$B$5:$B$25)-VLOOKUP(P30,'Thời hạn'!$A$17:$B$23,2,0))&gt;1,"Quá hạn"&amp;" "&amp;(NETWORKDAYS(R30,S30,'Danh sách ngày nghỉ lễ'!$B$5:$B$25)-1-VLOOKUP(P30,'Thời hạn'!$A$17:$B$23,2,0))&amp;" "&amp;"ngày","")))))</f>
        <v/>
      </c>
      <c r="Z30" s="23">
        <v>1</v>
      </c>
    </row>
    <row r="31" spans="1:26" x14ac:dyDescent="0.3">
      <c r="A31" s="24">
        <v>1</v>
      </c>
      <c r="B31" s="39"/>
      <c r="C31" s="33"/>
      <c r="D31" s="25"/>
      <c r="E31" s="25"/>
      <c r="F31" s="34"/>
      <c r="G31" s="34"/>
      <c r="H31" s="25"/>
      <c r="I31" s="70" t="str">
        <f>IF(C31="Trả lại đơn vụ","",IF(C31="Trả lại đơn việc","",IF(C31="Hòa giải thành","",IF(F31=0,"",EDATE(F31,VLOOKUP(C31,'Thời hạn'!$D$1:$E$10,2,0))+H31))))</f>
        <v/>
      </c>
      <c r="J31" s="59" t="str">
        <f t="shared" ca="1" si="0"/>
        <v/>
      </c>
      <c r="K31" s="25"/>
      <c r="L31" s="129"/>
      <c r="M31" s="130"/>
      <c r="N31" s="35"/>
      <c r="O31" s="34"/>
      <c r="P31" s="25"/>
      <c r="Q31" s="25"/>
      <c r="R31" s="34"/>
      <c r="S31" s="34"/>
      <c r="T31" s="137"/>
      <c r="U31" s="137"/>
      <c r="V31" s="36"/>
      <c r="W31" s="37"/>
      <c r="X31" s="71" t="str">
        <f>IF(C31="Trả lại đơn vụ","",IF(C31="Trả lại đơn việc","",IF((NETWORKDAYS(F31,G31,'Danh sách ngày nghỉ lễ'!$B$5:$B$25)-1-3)&gt;0,"Quá hạn"&amp;" "&amp;(NETWORKDAYS(F31,G31,'Danh sách ngày nghỉ lễ'!$B$5:$B$25)-1-3)&amp;" "&amp;"ngày","")))</f>
        <v/>
      </c>
      <c r="Y31" s="72" t="str">
        <f>IF(S31=0,"",IF(P31="Chuyển","",IF(P31="Nhập vào vụ khác","",IF(P31="BA",IF((S31-R31)&gt;10,"Quá hạn"&amp;" "&amp;(S31-R31-10)&amp;" "&amp;"ngày",""),IF((NETWORKDAYS(R31,S31,'Danh sách ngày nghỉ lễ'!$B$5:$B$25)-VLOOKUP(P31,'Thời hạn'!$A$17:$B$23,2,0))&gt;1,"Quá hạn"&amp;" "&amp;(NETWORKDAYS(R31,S31,'Danh sách ngày nghỉ lễ'!$B$5:$B$25)-1-VLOOKUP(P31,'Thời hạn'!$A$17:$B$23,2,0))&amp;" "&amp;"ngày","")))))</f>
        <v/>
      </c>
      <c r="Z31" s="23">
        <v>1</v>
      </c>
    </row>
    <row r="32" spans="1:26" x14ac:dyDescent="0.3">
      <c r="A32" s="24">
        <v>1</v>
      </c>
      <c r="B32" s="39"/>
      <c r="C32" s="33"/>
      <c r="D32" s="25"/>
      <c r="E32" s="25"/>
      <c r="F32" s="34"/>
      <c r="G32" s="34"/>
      <c r="H32" s="25"/>
      <c r="I32" s="70" t="str">
        <f>IF(C32="Trả lại đơn vụ","",IF(C32="Trả lại đơn việc","",IF(C32="Hòa giải thành","",IF(F32=0,"",EDATE(F32,VLOOKUP(C32,'Thời hạn'!$D$1:$E$10,2,0))+H32))))</f>
        <v/>
      </c>
      <c r="J32" s="59" t="str">
        <f t="shared" ca="1" si="0"/>
        <v/>
      </c>
      <c r="K32" s="25"/>
      <c r="L32" s="129"/>
      <c r="M32" s="130"/>
      <c r="N32" s="35"/>
      <c r="O32" s="34"/>
      <c r="P32" s="25"/>
      <c r="Q32" s="25"/>
      <c r="R32" s="34"/>
      <c r="S32" s="34"/>
      <c r="T32" s="137"/>
      <c r="U32" s="137"/>
      <c r="V32" s="36"/>
      <c r="W32" s="37"/>
      <c r="X32" s="71" t="str">
        <f>IF(C32="Trả lại đơn vụ","",IF(C32="Trả lại đơn việc","",IF((NETWORKDAYS(F32,G32,'Danh sách ngày nghỉ lễ'!$B$5:$B$25)-1-3)&gt;0,"Quá hạn"&amp;" "&amp;(NETWORKDAYS(F32,G32,'Danh sách ngày nghỉ lễ'!$B$5:$B$25)-1-3)&amp;" "&amp;"ngày","")))</f>
        <v/>
      </c>
      <c r="Y32" s="72" t="str">
        <f>IF(S32=0,"",IF(P32="Chuyển","",IF(P32="Nhập vào vụ khác","",IF(P32="BA",IF((S32-R32)&gt;10,"Quá hạn"&amp;" "&amp;(S32-R32-10)&amp;" "&amp;"ngày",""),IF((NETWORKDAYS(R32,S32,'Danh sách ngày nghỉ lễ'!$B$5:$B$25)-VLOOKUP(P32,'Thời hạn'!$A$17:$B$23,2,0))&gt;1,"Quá hạn"&amp;" "&amp;(NETWORKDAYS(R32,S32,'Danh sách ngày nghỉ lễ'!$B$5:$B$25)-1-VLOOKUP(P32,'Thời hạn'!$A$17:$B$23,2,0))&amp;" "&amp;"ngày","")))))</f>
        <v/>
      </c>
      <c r="Z32" s="23">
        <v>1</v>
      </c>
    </row>
    <row r="33" spans="1:26" x14ac:dyDescent="0.3">
      <c r="A33" s="24">
        <v>1</v>
      </c>
      <c r="B33" s="39"/>
      <c r="C33" s="33"/>
      <c r="D33" s="25"/>
      <c r="E33" s="25"/>
      <c r="F33" s="34"/>
      <c r="G33" s="34"/>
      <c r="H33" s="25"/>
      <c r="I33" s="70" t="str">
        <f>IF(C33="Trả lại đơn vụ","",IF(C33="Trả lại đơn việc","",IF(C33="Hòa giải thành","",IF(F33=0,"",EDATE(F33,VLOOKUP(C33,'Thời hạn'!$D$1:$E$10,2,0))+H33))))</f>
        <v/>
      </c>
      <c r="J33" s="59" t="str">
        <f t="shared" ca="1" si="0"/>
        <v/>
      </c>
      <c r="K33" s="25"/>
      <c r="L33" s="129"/>
      <c r="M33" s="130"/>
      <c r="N33" s="35"/>
      <c r="O33" s="34"/>
      <c r="P33" s="25"/>
      <c r="Q33" s="25"/>
      <c r="R33" s="34"/>
      <c r="S33" s="34"/>
      <c r="T33" s="137"/>
      <c r="U33" s="137"/>
      <c r="V33" s="36"/>
      <c r="W33" s="37"/>
      <c r="X33" s="71" t="str">
        <f>IF(C33="Trả lại đơn vụ","",IF(C33="Trả lại đơn việc","",IF((NETWORKDAYS(F33,G33,'Danh sách ngày nghỉ lễ'!$B$5:$B$25)-1-3)&gt;0,"Quá hạn"&amp;" "&amp;(NETWORKDAYS(F33,G33,'Danh sách ngày nghỉ lễ'!$B$5:$B$25)-1-3)&amp;" "&amp;"ngày","")))</f>
        <v/>
      </c>
      <c r="Y33" s="72" t="str">
        <f>IF(S33=0,"",IF(P33="Chuyển","",IF(P33="Nhập vào vụ khác","",IF(P33="BA",IF((S33-R33)&gt;10,"Quá hạn"&amp;" "&amp;(S33-R33-10)&amp;" "&amp;"ngày",""),IF((NETWORKDAYS(R33,S33,'Danh sách ngày nghỉ lễ'!$B$5:$B$25)-VLOOKUP(P33,'Thời hạn'!$A$17:$B$23,2,0))&gt;1,"Quá hạn"&amp;" "&amp;(NETWORKDAYS(R33,S33,'Danh sách ngày nghỉ lễ'!$B$5:$B$25)-1-VLOOKUP(P33,'Thời hạn'!$A$17:$B$23,2,0))&amp;" "&amp;"ngày","")))))</f>
        <v/>
      </c>
      <c r="Z33" s="23">
        <v>1</v>
      </c>
    </row>
    <row r="34" spans="1:26" x14ac:dyDescent="0.3">
      <c r="A34" s="24">
        <v>1</v>
      </c>
      <c r="B34" s="39"/>
      <c r="C34" s="33"/>
      <c r="D34" s="25"/>
      <c r="E34" s="25"/>
      <c r="F34" s="34"/>
      <c r="G34" s="34"/>
      <c r="H34" s="25"/>
      <c r="I34" s="70" t="str">
        <f>IF(C34="Trả lại đơn vụ","",IF(C34="Trả lại đơn việc","",IF(C34="Hòa giải thành","",IF(F34=0,"",EDATE(F34,VLOOKUP(C34,'Thời hạn'!$D$1:$E$10,2,0))+H34))))</f>
        <v/>
      </c>
      <c r="J34" s="59" t="str">
        <f t="shared" ca="1" si="0"/>
        <v/>
      </c>
      <c r="K34" s="25"/>
      <c r="L34" s="129"/>
      <c r="M34" s="130"/>
      <c r="N34" s="35"/>
      <c r="O34" s="34"/>
      <c r="P34" s="25"/>
      <c r="Q34" s="25"/>
      <c r="R34" s="34"/>
      <c r="S34" s="34"/>
      <c r="T34" s="137"/>
      <c r="U34" s="137"/>
      <c r="V34" s="36"/>
      <c r="W34" s="37"/>
      <c r="X34" s="71" t="str">
        <f>IF(C34="Trả lại đơn vụ","",IF(C34="Trả lại đơn việc","",IF((NETWORKDAYS(F34,G34,'Danh sách ngày nghỉ lễ'!$B$5:$B$25)-1-3)&gt;0,"Quá hạn"&amp;" "&amp;(NETWORKDAYS(F34,G34,'Danh sách ngày nghỉ lễ'!$B$5:$B$25)-1-3)&amp;" "&amp;"ngày","")))</f>
        <v/>
      </c>
      <c r="Y34" s="72" t="str">
        <f>IF(S34=0,"",IF(P34="Chuyển","",IF(P34="Nhập vào vụ khác","",IF(P34="BA",IF((S34-R34)&gt;10,"Quá hạn"&amp;" "&amp;(S34-R34-10)&amp;" "&amp;"ngày",""),IF((NETWORKDAYS(R34,S34,'Danh sách ngày nghỉ lễ'!$B$5:$B$25)-VLOOKUP(P34,'Thời hạn'!$A$17:$B$23,2,0))&gt;1,"Quá hạn"&amp;" "&amp;(NETWORKDAYS(R34,S34,'Danh sách ngày nghỉ lễ'!$B$5:$B$25)-1-VLOOKUP(P34,'Thời hạn'!$A$17:$B$23,2,0))&amp;" "&amp;"ngày","")))))</f>
        <v/>
      </c>
      <c r="Z34" s="23">
        <v>1</v>
      </c>
    </row>
    <row r="35" spans="1:26" x14ac:dyDescent="0.3">
      <c r="A35" s="24">
        <v>1</v>
      </c>
      <c r="B35" s="39"/>
      <c r="C35" s="33"/>
      <c r="D35" s="25"/>
      <c r="E35" s="25"/>
      <c r="F35" s="34"/>
      <c r="G35" s="34"/>
      <c r="H35" s="25"/>
      <c r="I35" s="70" t="str">
        <f>IF(C35="Trả lại đơn vụ","",IF(C35="Trả lại đơn việc","",IF(C35="Hòa giải thành","",IF(F35=0,"",EDATE(F35,VLOOKUP(C35,'Thời hạn'!$D$1:$E$10,2,0))+H35))))</f>
        <v/>
      </c>
      <c r="J35" s="59" t="str">
        <f t="shared" ca="1" si="0"/>
        <v/>
      </c>
      <c r="K35" s="25"/>
      <c r="L35" s="129"/>
      <c r="M35" s="130"/>
      <c r="N35" s="35"/>
      <c r="O35" s="34"/>
      <c r="P35" s="25"/>
      <c r="Q35" s="25"/>
      <c r="R35" s="34"/>
      <c r="S35" s="34"/>
      <c r="T35" s="137"/>
      <c r="U35" s="137"/>
      <c r="V35" s="36"/>
      <c r="W35" s="37"/>
      <c r="X35" s="71" t="str">
        <f>IF(C35="Trả lại đơn vụ","",IF(C35="Trả lại đơn việc","",IF((NETWORKDAYS(F35,G35,'Danh sách ngày nghỉ lễ'!$B$5:$B$25)-1-3)&gt;0,"Quá hạn"&amp;" "&amp;(NETWORKDAYS(F35,G35,'Danh sách ngày nghỉ lễ'!$B$5:$B$25)-1-3)&amp;" "&amp;"ngày","")))</f>
        <v/>
      </c>
      <c r="Y35" s="72" t="str">
        <f>IF(S35=0,"",IF(P35="Chuyển","",IF(P35="Nhập vào vụ khác","",IF(P35="BA",IF((S35-R35)&gt;10,"Quá hạn"&amp;" "&amp;(S35-R35-10)&amp;" "&amp;"ngày",""),IF((NETWORKDAYS(R35,S35,'Danh sách ngày nghỉ lễ'!$B$5:$B$25)-VLOOKUP(P35,'Thời hạn'!$A$17:$B$23,2,0))&gt;1,"Quá hạn"&amp;" "&amp;(NETWORKDAYS(R35,S35,'Danh sách ngày nghỉ lễ'!$B$5:$B$25)-1-VLOOKUP(P35,'Thời hạn'!$A$17:$B$23,2,0))&amp;" "&amp;"ngày","")))))</f>
        <v/>
      </c>
      <c r="Z35" s="23">
        <v>1</v>
      </c>
    </row>
    <row r="36" spans="1:26" x14ac:dyDescent="0.3">
      <c r="A36" s="24">
        <v>1</v>
      </c>
      <c r="B36" s="39"/>
      <c r="C36" s="33"/>
      <c r="D36" s="25"/>
      <c r="E36" s="25"/>
      <c r="F36" s="34"/>
      <c r="G36" s="34"/>
      <c r="H36" s="25"/>
      <c r="I36" s="70" t="str">
        <f>IF(C36="Trả lại đơn vụ","",IF(C36="Trả lại đơn việc","",IF(C36="Hòa giải thành","",IF(F36=0,"",EDATE(F36,VLOOKUP(C36,'Thời hạn'!$D$1:$E$10,2,0))+H36))))</f>
        <v/>
      </c>
      <c r="J36" s="59" t="str">
        <f t="shared" ca="1" si="0"/>
        <v/>
      </c>
      <c r="K36" s="25"/>
      <c r="L36" s="129"/>
      <c r="M36" s="130"/>
      <c r="N36" s="35"/>
      <c r="O36" s="34"/>
      <c r="P36" s="25"/>
      <c r="Q36" s="25"/>
      <c r="R36" s="34"/>
      <c r="S36" s="34"/>
      <c r="T36" s="137"/>
      <c r="U36" s="137"/>
      <c r="V36" s="36"/>
      <c r="W36" s="37"/>
      <c r="X36" s="71" t="str">
        <f>IF(C36="Trả lại đơn vụ","",IF(C36="Trả lại đơn việc","",IF((NETWORKDAYS(F36,G36,'Danh sách ngày nghỉ lễ'!$B$5:$B$25)-1-3)&gt;0,"Quá hạn"&amp;" "&amp;(NETWORKDAYS(F36,G36,'Danh sách ngày nghỉ lễ'!$B$5:$B$25)-1-3)&amp;" "&amp;"ngày","")))</f>
        <v/>
      </c>
      <c r="Y36" s="72" t="str">
        <f>IF(S36=0,"",IF(P36="Chuyển","",IF(P36="Nhập vào vụ khác","",IF(P36="BA",IF((S36-R36)&gt;10,"Quá hạn"&amp;" "&amp;(S36-R36-10)&amp;" "&amp;"ngày",""),IF((NETWORKDAYS(R36,S36,'Danh sách ngày nghỉ lễ'!$B$5:$B$25)-VLOOKUP(P36,'Thời hạn'!$A$17:$B$23,2,0))&gt;1,"Quá hạn"&amp;" "&amp;(NETWORKDAYS(R36,S36,'Danh sách ngày nghỉ lễ'!$B$5:$B$25)-1-VLOOKUP(P36,'Thời hạn'!$A$17:$B$23,2,0))&amp;" "&amp;"ngày","")))))</f>
        <v/>
      </c>
      <c r="Z36" s="23">
        <v>1</v>
      </c>
    </row>
    <row r="37" spans="1:26" x14ac:dyDescent="0.3">
      <c r="A37" s="24">
        <v>1</v>
      </c>
      <c r="B37" s="39"/>
      <c r="C37" s="33"/>
      <c r="D37" s="25"/>
      <c r="E37" s="25"/>
      <c r="F37" s="34"/>
      <c r="G37" s="34"/>
      <c r="H37" s="25"/>
      <c r="I37" s="70" t="str">
        <f>IF(C37="Trả lại đơn vụ","",IF(C37="Trả lại đơn việc","",IF(C37="Hòa giải thành","",IF(F37=0,"",EDATE(F37,VLOOKUP(C37,'Thời hạn'!$D$1:$E$10,2,0))+H37))))</f>
        <v/>
      </c>
      <c r="J37" s="59" t="str">
        <f t="shared" ca="1" si="0"/>
        <v/>
      </c>
      <c r="K37" s="25"/>
      <c r="L37" s="129"/>
      <c r="M37" s="130"/>
      <c r="N37" s="35"/>
      <c r="O37" s="34"/>
      <c r="P37" s="25"/>
      <c r="Q37" s="25"/>
      <c r="R37" s="34"/>
      <c r="S37" s="34"/>
      <c r="T37" s="137"/>
      <c r="U37" s="137"/>
      <c r="V37" s="36"/>
      <c r="W37" s="37"/>
      <c r="X37" s="71" t="str">
        <f>IF(C37="Trả lại đơn vụ","",IF(C37="Trả lại đơn việc","",IF((NETWORKDAYS(F37,G37,'Danh sách ngày nghỉ lễ'!$B$5:$B$25)-1-3)&gt;0,"Quá hạn"&amp;" "&amp;(NETWORKDAYS(F37,G37,'Danh sách ngày nghỉ lễ'!$B$5:$B$25)-1-3)&amp;" "&amp;"ngày","")))</f>
        <v/>
      </c>
      <c r="Y37" s="72" t="str">
        <f>IF(S37=0,"",IF(P37="Chuyển","",IF(P37="Nhập vào vụ khác","",IF(P37="BA",IF((S37-R37)&gt;10,"Quá hạn"&amp;" "&amp;(S37-R37-10)&amp;" "&amp;"ngày",""),IF((NETWORKDAYS(R37,S37,'Danh sách ngày nghỉ lễ'!$B$5:$B$25)-VLOOKUP(P37,'Thời hạn'!$A$17:$B$23,2,0))&gt;1,"Quá hạn"&amp;" "&amp;(NETWORKDAYS(R37,S37,'Danh sách ngày nghỉ lễ'!$B$5:$B$25)-1-VLOOKUP(P37,'Thời hạn'!$A$17:$B$23,2,0))&amp;" "&amp;"ngày","")))))</f>
        <v/>
      </c>
      <c r="Z37" s="23">
        <v>1</v>
      </c>
    </row>
    <row r="38" spans="1:26" x14ac:dyDescent="0.3">
      <c r="A38" s="24">
        <v>1</v>
      </c>
      <c r="B38" s="39"/>
      <c r="C38" s="33"/>
      <c r="D38" s="25"/>
      <c r="E38" s="25"/>
      <c r="F38" s="34"/>
      <c r="G38" s="34"/>
      <c r="H38" s="25"/>
      <c r="I38" s="70" t="str">
        <f>IF(C38="Trả lại đơn vụ","",IF(C38="Trả lại đơn việc","",IF(C38="Hòa giải thành","",IF(F38=0,"",EDATE(F38,VLOOKUP(C38,'Thời hạn'!$D$1:$E$10,2,0))+H38))))</f>
        <v/>
      </c>
      <c r="J38" s="59" t="str">
        <f t="shared" ca="1" si="0"/>
        <v/>
      </c>
      <c r="K38" s="25"/>
      <c r="L38" s="129"/>
      <c r="M38" s="130"/>
      <c r="N38" s="35"/>
      <c r="O38" s="34"/>
      <c r="P38" s="25"/>
      <c r="Q38" s="25"/>
      <c r="R38" s="34"/>
      <c r="S38" s="34"/>
      <c r="T38" s="137"/>
      <c r="U38" s="137"/>
      <c r="V38" s="36"/>
      <c r="W38" s="37"/>
      <c r="X38" s="71" t="str">
        <f>IF(C38="Trả lại đơn vụ","",IF(C38="Trả lại đơn việc","",IF((NETWORKDAYS(F38,G38,'Danh sách ngày nghỉ lễ'!$B$5:$B$25)-1-3)&gt;0,"Quá hạn"&amp;" "&amp;(NETWORKDAYS(F38,G38,'Danh sách ngày nghỉ lễ'!$B$5:$B$25)-1-3)&amp;" "&amp;"ngày","")))</f>
        <v/>
      </c>
      <c r="Y38" s="72" t="str">
        <f>IF(S38=0,"",IF(P38="Chuyển","",IF(P38="Nhập vào vụ khác","",IF(P38="BA",IF((S38-R38)&gt;10,"Quá hạn"&amp;" "&amp;(S38-R38-10)&amp;" "&amp;"ngày",""),IF((NETWORKDAYS(R38,S38,'Danh sách ngày nghỉ lễ'!$B$5:$B$25)-VLOOKUP(P38,'Thời hạn'!$A$17:$B$23,2,0))&gt;1,"Quá hạn"&amp;" "&amp;(NETWORKDAYS(R38,S38,'Danh sách ngày nghỉ lễ'!$B$5:$B$25)-1-VLOOKUP(P38,'Thời hạn'!$A$17:$B$23,2,0))&amp;" "&amp;"ngày","")))))</f>
        <v/>
      </c>
      <c r="Z38" s="23">
        <v>1</v>
      </c>
    </row>
    <row r="39" spans="1:26" x14ac:dyDescent="0.3">
      <c r="A39" s="24">
        <v>1</v>
      </c>
      <c r="B39" s="39"/>
      <c r="C39" s="33"/>
      <c r="D39" s="25"/>
      <c r="E39" s="25"/>
      <c r="F39" s="34"/>
      <c r="G39" s="34"/>
      <c r="H39" s="25"/>
      <c r="I39" s="70" t="str">
        <f>IF(C39="Trả lại đơn vụ","",IF(C39="Trả lại đơn việc","",IF(C39="Hòa giải thành","",IF(F39=0,"",EDATE(F39,VLOOKUP(C39,'Thời hạn'!$D$1:$E$10,2,0))+H39))))</f>
        <v/>
      </c>
      <c r="J39" s="59" t="str">
        <f t="shared" ca="1" si="0"/>
        <v/>
      </c>
      <c r="K39" s="25"/>
      <c r="L39" s="129"/>
      <c r="M39" s="130"/>
      <c r="N39" s="35"/>
      <c r="O39" s="34"/>
      <c r="P39" s="25"/>
      <c r="Q39" s="25"/>
      <c r="R39" s="34"/>
      <c r="S39" s="34"/>
      <c r="T39" s="137"/>
      <c r="U39" s="137"/>
      <c r="V39" s="36"/>
      <c r="W39" s="37"/>
      <c r="X39" s="71" t="str">
        <f>IF(C39="Trả lại đơn vụ","",IF(C39="Trả lại đơn việc","",IF((NETWORKDAYS(F39,G39,'Danh sách ngày nghỉ lễ'!$B$5:$B$25)-1-3)&gt;0,"Quá hạn"&amp;" "&amp;(NETWORKDAYS(F39,G39,'Danh sách ngày nghỉ lễ'!$B$5:$B$25)-1-3)&amp;" "&amp;"ngày","")))</f>
        <v/>
      </c>
      <c r="Y39" s="72" t="str">
        <f>IF(S39=0,"",IF(P39="Chuyển","",IF(P39="Nhập vào vụ khác","",IF(P39="BA",IF((S39-R39)&gt;10,"Quá hạn"&amp;" "&amp;(S39-R39-10)&amp;" "&amp;"ngày",""),IF((NETWORKDAYS(R39,S39,'Danh sách ngày nghỉ lễ'!$B$5:$B$25)-VLOOKUP(P39,'Thời hạn'!$A$17:$B$23,2,0))&gt;1,"Quá hạn"&amp;" "&amp;(NETWORKDAYS(R39,S39,'Danh sách ngày nghỉ lễ'!$B$5:$B$25)-1-VLOOKUP(P39,'Thời hạn'!$A$17:$B$23,2,0))&amp;" "&amp;"ngày","")))))</f>
        <v/>
      </c>
      <c r="Z39" s="23">
        <v>1</v>
      </c>
    </row>
    <row r="40" spans="1:26" x14ac:dyDescent="0.3">
      <c r="A40" s="24">
        <v>1</v>
      </c>
      <c r="B40" s="39"/>
      <c r="C40" s="33"/>
      <c r="D40" s="25"/>
      <c r="E40" s="25"/>
      <c r="F40" s="34"/>
      <c r="G40" s="34"/>
      <c r="H40" s="25"/>
      <c r="I40" s="70" t="str">
        <f>IF(C40="Trả lại đơn vụ","",IF(C40="Trả lại đơn việc","",IF(C40="Hòa giải thành","",IF(F40=0,"",EDATE(F40,VLOOKUP(C40,'Thời hạn'!$D$1:$E$10,2,0))+H40))))</f>
        <v/>
      </c>
      <c r="J40" s="59" t="str">
        <f t="shared" ca="1" si="0"/>
        <v/>
      </c>
      <c r="K40" s="25"/>
      <c r="L40" s="129"/>
      <c r="M40" s="130"/>
      <c r="N40" s="35"/>
      <c r="O40" s="34"/>
      <c r="P40" s="25"/>
      <c r="Q40" s="25"/>
      <c r="R40" s="34"/>
      <c r="S40" s="34"/>
      <c r="T40" s="137"/>
      <c r="U40" s="137"/>
      <c r="V40" s="36"/>
      <c r="W40" s="37"/>
      <c r="X40" s="71" t="str">
        <f>IF(C40="Trả lại đơn vụ","",IF(C40="Trả lại đơn việc","",IF((NETWORKDAYS(F40,G40,'Danh sách ngày nghỉ lễ'!$B$5:$B$25)-1-3)&gt;0,"Quá hạn"&amp;" "&amp;(NETWORKDAYS(F40,G40,'Danh sách ngày nghỉ lễ'!$B$5:$B$25)-1-3)&amp;" "&amp;"ngày","")))</f>
        <v/>
      </c>
      <c r="Y40" s="72" t="str">
        <f>IF(S40=0,"",IF(P40="Chuyển","",IF(P40="Nhập vào vụ khác","",IF(P40="BA",IF((S40-R40)&gt;10,"Quá hạn"&amp;" "&amp;(S40-R40-10)&amp;" "&amp;"ngày",""),IF((NETWORKDAYS(R40,S40,'Danh sách ngày nghỉ lễ'!$B$5:$B$25)-VLOOKUP(P40,'Thời hạn'!$A$17:$B$23,2,0))&gt;1,"Quá hạn"&amp;" "&amp;(NETWORKDAYS(R40,S40,'Danh sách ngày nghỉ lễ'!$B$5:$B$25)-1-VLOOKUP(P40,'Thời hạn'!$A$17:$B$23,2,0))&amp;" "&amp;"ngày","")))))</f>
        <v/>
      </c>
      <c r="Z40" s="23">
        <v>1</v>
      </c>
    </row>
    <row r="41" spans="1:26" x14ac:dyDescent="0.3">
      <c r="A41" s="24">
        <v>1</v>
      </c>
      <c r="B41" s="39"/>
      <c r="C41" s="33"/>
      <c r="D41" s="25"/>
      <c r="E41" s="25"/>
      <c r="F41" s="34"/>
      <c r="G41" s="34"/>
      <c r="H41" s="25"/>
      <c r="I41" s="70" t="str">
        <f>IF(C41="Trả lại đơn vụ","",IF(C41="Trả lại đơn việc","",IF(C41="Hòa giải thành","",IF(F41=0,"",EDATE(F41,VLOOKUP(C41,'Thời hạn'!$D$1:$E$10,2,0))+H41))))</f>
        <v/>
      </c>
      <c r="J41" s="59" t="str">
        <f t="shared" ca="1" si="0"/>
        <v/>
      </c>
      <c r="K41" s="25"/>
      <c r="L41" s="129"/>
      <c r="M41" s="130"/>
      <c r="N41" s="35"/>
      <c r="O41" s="34"/>
      <c r="P41" s="25"/>
      <c r="Q41" s="25"/>
      <c r="R41" s="34"/>
      <c r="S41" s="34"/>
      <c r="T41" s="137"/>
      <c r="U41" s="137"/>
      <c r="V41" s="36"/>
      <c r="W41" s="37"/>
      <c r="X41" s="71" t="str">
        <f>IF(C41="Trả lại đơn vụ","",IF(C41="Trả lại đơn việc","",IF((NETWORKDAYS(F41,G41,'Danh sách ngày nghỉ lễ'!$B$5:$B$25)-1-3)&gt;0,"Quá hạn"&amp;" "&amp;(NETWORKDAYS(F41,G41,'Danh sách ngày nghỉ lễ'!$B$5:$B$25)-1-3)&amp;" "&amp;"ngày","")))</f>
        <v/>
      </c>
      <c r="Y41" s="72" t="str">
        <f>IF(S41=0,"",IF(P41="Chuyển","",IF(P41="Nhập vào vụ khác","",IF(P41="BA",IF((S41-R41)&gt;10,"Quá hạn"&amp;" "&amp;(S41-R41-10)&amp;" "&amp;"ngày",""),IF((NETWORKDAYS(R41,S41,'Danh sách ngày nghỉ lễ'!$B$5:$B$25)-VLOOKUP(P41,'Thời hạn'!$A$17:$B$23,2,0))&gt;1,"Quá hạn"&amp;" "&amp;(NETWORKDAYS(R41,S41,'Danh sách ngày nghỉ lễ'!$B$5:$B$25)-1-VLOOKUP(P41,'Thời hạn'!$A$17:$B$23,2,0))&amp;" "&amp;"ngày","")))))</f>
        <v/>
      </c>
      <c r="Z41" s="23">
        <v>1</v>
      </c>
    </row>
    <row r="42" spans="1:26" x14ac:dyDescent="0.3">
      <c r="A42" s="24">
        <v>1</v>
      </c>
      <c r="B42" s="39"/>
      <c r="C42" s="33"/>
      <c r="D42" s="25"/>
      <c r="E42" s="25"/>
      <c r="F42" s="34"/>
      <c r="G42" s="34"/>
      <c r="H42" s="25"/>
      <c r="I42" s="70" t="str">
        <f>IF(C42="Trả lại đơn vụ","",IF(C42="Trả lại đơn việc","",IF(C42="Hòa giải thành","",IF(F42=0,"",EDATE(F42,VLOOKUP(C42,'Thời hạn'!$D$1:$E$10,2,0))+H42))))</f>
        <v/>
      </c>
      <c r="J42" s="59" t="str">
        <f t="shared" ca="1" si="0"/>
        <v/>
      </c>
      <c r="K42" s="25"/>
      <c r="L42" s="129"/>
      <c r="M42" s="130"/>
      <c r="N42" s="35"/>
      <c r="O42" s="34"/>
      <c r="P42" s="25"/>
      <c r="Q42" s="25"/>
      <c r="R42" s="34"/>
      <c r="S42" s="34"/>
      <c r="T42" s="137"/>
      <c r="U42" s="137"/>
      <c r="V42" s="36"/>
      <c r="W42" s="37"/>
      <c r="X42" s="71" t="str">
        <f>IF(C42="Trả lại đơn vụ","",IF(C42="Trả lại đơn việc","",IF((NETWORKDAYS(F42,G42,'Danh sách ngày nghỉ lễ'!$B$5:$B$25)-1-3)&gt;0,"Quá hạn"&amp;" "&amp;(NETWORKDAYS(F42,G42,'Danh sách ngày nghỉ lễ'!$B$5:$B$25)-1-3)&amp;" "&amp;"ngày","")))</f>
        <v/>
      </c>
      <c r="Y42" s="72" t="str">
        <f>IF(S42=0,"",IF(P42="Chuyển","",IF(P42="Nhập vào vụ khác","",IF(P42="BA",IF((S42-R42)&gt;10,"Quá hạn"&amp;" "&amp;(S42-R42-10)&amp;" "&amp;"ngày",""),IF((NETWORKDAYS(R42,S42,'Danh sách ngày nghỉ lễ'!$B$5:$B$25)-VLOOKUP(P42,'Thời hạn'!$A$17:$B$23,2,0))&gt;1,"Quá hạn"&amp;" "&amp;(NETWORKDAYS(R42,S42,'Danh sách ngày nghỉ lễ'!$B$5:$B$25)-1-VLOOKUP(P42,'Thời hạn'!$A$17:$B$23,2,0))&amp;" "&amp;"ngày","")))))</f>
        <v/>
      </c>
      <c r="Z42" s="23">
        <v>1</v>
      </c>
    </row>
    <row r="43" spans="1:26" x14ac:dyDescent="0.3">
      <c r="A43" s="24">
        <v>1</v>
      </c>
      <c r="B43" s="39"/>
      <c r="C43" s="33"/>
      <c r="D43" s="25"/>
      <c r="E43" s="25"/>
      <c r="F43" s="34"/>
      <c r="G43" s="34"/>
      <c r="H43" s="25"/>
      <c r="I43" s="70" t="str">
        <f>IF(C43="Trả lại đơn vụ","",IF(C43="Trả lại đơn việc","",IF(C43="Hòa giải thành","",IF(F43=0,"",EDATE(F43,VLOOKUP(C43,'Thời hạn'!$D$1:$E$10,2,0))+H43))))</f>
        <v/>
      </c>
      <c r="J43" s="59" t="str">
        <f t="shared" ca="1" si="0"/>
        <v/>
      </c>
      <c r="K43" s="25"/>
      <c r="L43" s="129"/>
      <c r="M43" s="130"/>
      <c r="N43" s="35"/>
      <c r="O43" s="34"/>
      <c r="P43" s="25"/>
      <c r="Q43" s="25"/>
      <c r="R43" s="34"/>
      <c r="S43" s="34"/>
      <c r="T43" s="137"/>
      <c r="U43" s="137"/>
      <c r="V43" s="36"/>
      <c r="W43" s="37"/>
      <c r="X43" s="71" t="str">
        <f>IF(C43="Trả lại đơn vụ","",IF(C43="Trả lại đơn việc","",IF((NETWORKDAYS(F43,G43,'Danh sách ngày nghỉ lễ'!$B$5:$B$25)-1-3)&gt;0,"Quá hạn"&amp;" "&amp;(NETWORKDAYS(F43,G43,'Danh sách ngày nghỉ lễ'!$B$5:$B$25)-1-3)&amp;" "&amp;"ngày","")))</f>
        <v/>
      </c>
      <c r="Y43" s="72" t="str">
        <f>IF(S43=0,"",IF(P43="Chuyển","",IF(P43="Nhập vào vụ khác","",IF(P43="BA",IF((S43-R43)&gt;10,"Quá hạn"&amp;" "&amp;(S43-R43-10)&amp;" "&amp;"ngày",""),IF((NETWORKDAYS(R43,S43,'Danh sách ngày nghỉ lễ'!$B$5:$B$25)-VLOOKUP(P43,'Thời hạn'!$A$17:$B$23,2,0))&gt;1,"Quá hạn"&amp;" "&amp;(NETWORKDAYS(R43,S43,'Danh sách ngày nghỉ lễ'!$B$5:$B$25)-1-VLOOKUP(P43,'Thời hạn'!$A$17:$B$23,2,0))&amp;" "&amp;"ngày","")))))</f>
        <v/>
      </c>
      <c r="Z43" s="23">
        <v>1</v>
      </c>
    </row>
    <row r="44" spans="1:26" x14ac:dyDescent="0.3">
      <c r="A44" s="24">
        <v>1</v>
      </c>
      <c r="B44" s="39"/>
      <c r="C44" s="33"/>
      <c r="D44" s="25"/>
      <c r="E44" s="25"/>
      <c r="F44" s="34"/>
      <c r="G44" s="34"/>
      <c r="H44" s="25"/>
      <c r="I44" s="70" t="str">
        <f>IF(C44="Trả lại đơn vụ","",IF(C44="Trả lại đơn việc","",IF(C44="Hòa giải thành","",IF(F44=0,"",EDATE(F44,VLOOKUP(C44,'Thời hạn'!$D$1:$E$10,2,0))+H44))))</f>
        <v/>
      </c>
      <c r="J44" s="59" t="str">
        <f t="shared" ca="1" si="0"/>
        <v/>
      </c>
      <c r="K44" s="25"/>
      <c r="L44" s="129"/>
      <c r="M44" s="130"/>
      <c r="N44" s="35"/>
      <c r="O44" s="34"/>
      <c r="P44" s="25"/>
      <c r="Q44" s="25"/>
      <c r="R44" s="34"/>
      <c r="S44" s="34"/>
      <c r="T44" s="137"/>
      <c r="U44" s="137"/>
      <c r="V44" s="36"/>
      <c r="W44" s="37"/>
      <c r="X44" s="71" t="str">
        <f>IF(C44="Trả lại đơn vụ","",IF(C44="Trả lại đơn việc","",IF((NETWORKDAYS(F44,G44,'Danh sách ngày nghỉ lễ'!$B$5:$B$25)-1-3)&gt;0,"Quá hạn"&amp;" "&amp;(NETWORKDAYS(F44,G44,'Danh sách ngày nghỉ lễ'!$B$5:$B$25)-1-3)&amp;" "&amp;"ngày","")))</f>
        <v/>
      </c>
      <c r="Y44" s="72" t="str">
        <f>IF(S44=0,"",IF(P44="Chuyển","",IF(P44="Nhập vào vụ khác","",IF(P44="BA",IF((S44-R44)&gt;10,"Quá hạn"&amp;" "&amp;(S44-R44-10)&amp;" "&amp;"ngày",""),IF((NETWORKDAYS(R44,S44,'Danh sách ngày nghỉ lễ'!$B$5:$B$25)-VLOOKUP(P44,'Thời hạn'!$A$17:$B$23,2,0))&gt;1,"Quá hạn"&amp;" "&amp;(NETWORKDAYS(R44,S44,'Danh sách ngày nghỉ lễ'!$B$5:$B$25)-1-VLOOKUP(P44,'Thời hạn'!$A$17:$B$23,2,0))&amp;" "&amp;"ngày","")))))</f>
        <v/>
      </c>
      <c r="Z44" s="23">
        <v>1</v>
      </c>
    </row>
    <row r="45" spans="1:26" x14ac:dyDescent="0.3">
      <c r="A45" s="24">
        <v>1</v>
      </c>
      <c r="B45" s="39"/>
      <c r="C45" s="33"/>
      <c r="D45" s="25"/>
      <c r="E45" s="25"/>
      <c r="F45" s="34"/>
      <c r="G45" s="34"/>
      <c r="H45" s="25"/>
      <c r="I45" s="70" t="str">
        <f>IF(C45="Trả lại đơn vụ","",IF(C45="Trả lại đơn việc","",IF(C45="Hòa giải thành","",IF(F45=0,"",EDATE(F45,VLOOKUP(C45,'Thời hạn'!$D$1:$E$10,2,0))+H45))))</f>
        <v/>
      </c>
      <c r="J45" s="59" t="str">
        <f t="shared" ca="1" si="0"/>
        <v/>
      </c>
      <c r="K45" s="25"/>
      <c r="L45" s="129"/>
      <c r="M45" s="130"/>
      <c r="N45" s="35"/>
      <c r="O45" s="34"/>
      <c r="P45" s="25"/>
      <c r="Q45" s="25"/>
      <c r="R45" s="34"/>
      <c r="S45" s="34"/>
      <c r="T45" s="137"/>
      <c r="U45" s="137"/>
      <c r="V45" s="36"/>
      <c r="W45" s="37"/>
      <c r="X45" s="71" t="str">
        <f>IF(C45="Trả lại đơn vụ","",IF(C45="Trả lại đơn việc","",IF((NETWORKDAYS(F45,G45,'Danh sách ngày nghỉ lễ'!$B$5:$B$25)-1-3)&gt;0,"Quá hạn"&amp;" "&amp;(NETWORKDAYS(F45,G45,'Danh sách ngày nghỉ lễ'!$B$5:$B$25)-1-3)&amp;" "&amp;"ngày","")))</f>
        <v/>
      </c>
      <c r="Y45" s="72" t="str">
        <f>IF(S45=0,"",IF(P45="Chuyển","",IF(P45="Nhập vào vụ khác","",IF(P45="BA",IF((S45-R45)&gt;10,"Quá hạn"&amp;" "&amp;(S45-R45-10)&amp;" "&amp;"ngày",""),IF((NETWORKDAYS(R45,S45,'Danh sách ngày nghỉ lễ'!$B$5:$B$25)-VLOOKUP(P45,'Thời hạn'!$A$17:$B$23,2,0))&gt;1,"Quá hạn"&amp;" "&amp;(NETWORKDAYS(R45,S45,'Danh sách ngày nghỉ lễ'!$B$5:$B$25)-1-VLOOKUP(P45,'Thời hạn'!$A$17:$B$23,2,0))&amp;" "&amp;"ngày","")))))</f>
        <v/>
      </c>
      <c r="Z45" s="23">
        <v>1</v>
      </c>
    </row>
    <row r="46" spans="1:26" x14ac:dyDescent="0.3">
      <c r="A46" s="24">
        <v>1</v>
      </c>
      <c r="B46" s="39"/>
      <c r="C46" s="33"/>
      <c r="D46" s="25"/>
      <c r="E46" s="25"/>
      <c r="F46" s="34"/>
      <c r="G46" s="34"/>
      <c r="H46" s="25"/>
      <c r="I46" s="70" t="str">
        <f>IF(C46="Trả lại đơn vụ","",IF(C46="Trả lại đơn việc","",IF(C46="Hòa giải thành","",IF(F46=0,"",EDATE(F46,VLOOKUP(C46,'Thời hạn'!$D$1:$E$10,2,0))+H46))))</f>
        <v/>
      </c>
      <c r="J46" s="59" t="str">
        <f t="shared" ca="1" si="0"/>
        <v/>
      </c>
      <c r="K46" s="25"/>
      <c r="L46" s="129"/>
      <c r="M46" s="130"/>
      <c r="N46" s="35"/>
      <c r="O46" s="34"/>
      <c r="P46" s="25"/>
      <c r="Q46" s="25"/>
      <c r="R46" s="34"/>
      <c r="S46" s="34"/>
      <c r="T46" s="137"/>
      <c r="U46" s="137"/>
      <c r="V46" s="36"/>
      <c r="W46" s="37"/>
      <c r="X46" s="71" t="str">
        <f>IF(C46="Trả lại đơn vụ","",IF(C46="Trả lại đơn việc","",IF((NETWORKDAYS(F46,G46,'Danh sách ngày nghỉ lễ'!$B$5:$B$25)-1-3)&gt;0,"Quá hạn"&amp;" "&amp;(NETWORKDAYS(F46,G46,'Danh sách ngày nghỉ lễ'!$B$5:$B$25)-1-3)&amp;" "&amp;"ngày","")))</f>
        <v/>
      </c>
      <c r="Y46" s="72" t="str">
        <f>IF(S46=0,"",IF(P46="Chuyển","",IF(P46="Nhập vào vụ khác","",IF(P46="BA",IF((S46-R46)&gt;10,"Quá hạn"&amp;" "&amp;(S46-R46-10)&amp;" "&amp;"ngày",""),IF((NETWORKDAYS(R46,S46,'Danh sách ngày nghỉ lễ'!$B$5:$B$25)-VLOOKUP(P46,'Thời hạn'!$A$17:$B$23,2,0))&gt;1,"Quá hạn"&amp;" "&amp;(NETWORKDAYS(R46,S46,'Danh sách ngày nghỉ lễ'!$B$5:$B$25)-1-VLOOKUP(P46,'Thời hạn'!$A$17:$B$23,2,0))&amp;" "&amp;"ngày","")))))</f>
        <v/>
      </c>
      <c r="Z46" s="23">
        <v>1</v>
      </c>
    </row>
    <row r="47" spans="1:26" x14ac:dyDescent="0.3">
      <c r="A47" s="24">
        <v>1</v>
      </c>
      <c r="B47" s="39"/>
      <c r="C47" s="33"/>
      <c r="D47" s="25"/>
      <c r="E47" s="25"/>
      <c r="F47" s="34"/>
      <c r="G47" s="34"/>
      <c r="H47" s="25"/>
      <c r="I47" s="70" t="str">
        <f>IF(C47="Trả lại đơn vụ","",IF(C47="Trả lại đơn việc","",IF(C47="Hòa giải thành","",IF(F47=0,"",EDATE(F47,VLOOKUP(C47,'Thời hạn'!$D$1:$E$10,2,0))+H47))))</f>
        <v/>
      </c>
      <c r="J47" s="59" t="str">
        <f t="shared" ca="1" si="0"/>
        <v/>
      </c>
      <c r="K47" s="25"/>
      <c r="L47" s="129"/>
      <c r="M47" s="130"/>
      <c r="N47" s="35"/>
      <c r="O47" s="34"/>
      <c r="P47" s="25"/>
      <c r="Q47" s="25"/>
      <c r="R47" s="34"/>
      <c r="S47" s="34"/>
      <c r="T47" s="137"/>
      <c r="U47" s="137"/>
      <c r="V47" s="36"/>
      <c r="W47" s="37"/>
      <c r="X47" s="71" t="str">
        <f>IF(C47="Trả lại đơn vụ","",IF(C47="Trả lại đơn việc","",IF((NETWORKDAYS(F47,G47,'Danh sách ngày nghỉ lễ'!$B$5:$B$25)-1-3)&gt;0,"Quá hạn"&amp;" "&amp;(NETWORKDAYS(F47,G47,'Danh sách ngày nghỉ lễ'!$B$5:$B$25)-1-3)&amp;" "&amp;"ngày","")))</f>
        <v/>
      </c>
      <c r="Y47" s="72" t="str">
        <f>IF(S47=0,"",IF(P47="Chuyển","",IF(P47="Nhập vào vụ khác","",IF(P47="BA",IF((S47-R47)&gt;10,"Quá hạn"&amp;" "&amp;(S47-R47-10)&amp;" "&amp;"ngày",""),IF((NETWORKDAYS(R47,S47,'Danh sách ngày nghỉ lễ'!$B$5:$B$25)-VLOOKUP(P47,'Thời hạn'!$A$17:$B$23,2,0))&gt;1,"Quá hạn"&amp;" "&amp;(NETWORKDAYS(R47,S47,'Danh sách ngày nghỉ lễ'!$B$5:$B$25)-1-VLOOKUP(P47,'Thời hạn'!$A$17:$B$23,2,0))&amp;" "&amp;"ngày","")))))</f>
        <v/>
      </c>
      <c r="Z47" s="23">
        <v>1</v>
      </c>
    </row>
    <row r="48" spans="1:26" x14ac:dyDescent="0.3">
      <c r="A48" s="24">
        <v>1</v>
      </c>
      <c r="B48" s="39"/>
      <c r="C48" s="33"/>
      <c r="D48" s="25"/>
      <c r="E48" s="25"/>
      <c r="F48" s="34"/>
      <c r="G48" s="34"/>
      <c r="H48" s="25"/>
      <c r="I48" s="70" t="str">
        <f>IF(C48="Trả lại đơn vụ","",IF(C48="Trả lại đơn việc","",IF(C48="Hòa giải thành","",IF(F48=0,"",EDATE(F48,VLOOKUP(C48,'Thời hạn'!$D$1:$E$10,2,0))+H48))))</f>
        <v/>
      </c>
      <c r="J48" s="59" t="str">
        <f t="shared" ca="1" si="0"/>
        <v/>
      </c>
      <c r="K48" s="25"/>
      <c r="L48" s="129"/>
      <c r="M48" s="130"/>
      <c r="N48" s="35"/>
      <c r="O48" s="34"/>
      <c r="P48" s="25"/>
      <c r="Q48" s="25"/>
      <c r="R48" s="34"/>
      <c r="S48" s="34"/>
      <c r="T48" s="137"/>
      <c r="U48" s="137"/>
      <c r="V48" s="36"/>
      <c r="W48" s="37"/>
      <c r="X48" s="71" t="str">
        <f>IF(C48="Trả lại đơn vụ","",IF(C48="Trả lại đơn việc","",IF((NETWORKDAYS(F48,G48,'Danh sách ngày nghỉ lễ'!$B$5:$B$25)-1-3)&gt;0,"Quá hạn"&amp;" "&amp;(NETWORKDAYS(F48,G48,'Danh sách ngày nghỉ lễ'!$B$5:$B$25)-1-3)&amp;" "&amp;"ngày","")))</f>
        <v/>
      </c>
      <c r="Y48" s="72" t="str">
        <f>IF(S48=0,"",IF(P48="Chuyển","",IF(P48="Nhập vào vụ khác","",IF(P48="BA",IF((S48-R48)&gt;10,"Quá hạn"&amp;" "&amp;(S48-R48-10)&amp;" "&amp;"ngày",""),IF((NETWORKDAYS(R48,S48,'Danh sách ngày nghỉ lễ'!$B$5:$B$25)-VLOOKUP(P48,'Thời hạn'!$A$17:$B$23,2,0))&gt;1,"Quá hạn"&amp;" "&amp;(NETWORKDAYS(R48,S48,'Danh sách ngày nghỉ lễ'!$B$5:$B$25)-1-VLOOKUP(P48,'Thời hạn'!$A$17:$B$23,2,0))&amp;" "&amp;"ngày","")))))</f>
        <v/>
      </c>
      <c r="Z48" s="23">
        <v>1</v>
      </c>
    </row>
    <row r="49" spans="1:26" x14ac:dyDescent="0.3">
      <c r="A49" s="24">
        <v>1</v>
      </c>
      <c r="B49" s="39"/>
      <c r="C49" s="33"/>
      <c r="D49" s="25"/>
      <c r="E49" s="25"/>
      <c r="F49" s="34"/>
      <c r="G49" s="34"/>
      <c r="H49" s="25"/>
      <c r="I49" s="70" t="str">
        <f>IF(C49="Trả lại đơn vụ","",IF(C49="Trả lại đơn việc","",IF(C49="Hòa giải thành","",IF(F49=0,"",EDATE(F49,VLOOKUP(C49,'Thời hạn'!$D$1:$E$10,2,0))+H49))))</f>
        <v/>
      </c>
      <c r="J49" s="59" t="str">
        <f t="shared" ca="1" si="0"/>
        <v/>
      </c>
      <c r="K49" s="25"/>
      <c r="L49" s="129"/>
      <c r="M49" s="130"/>
      <c r="N49" s="35"/>
      <c r="O49" s="34"/>
      <c r="P49" s="25"/>
      <c r="Q49" s="25"/>
      <c r="R49" s="34"/>
      <c r="S49" s="34"/>
      <c r="T49" s="137"/>
      <c r="U49" s="137"/>
      <c r="V49" s="36"/>
      <c r="W49" s="37"/>
      <c r="X49" s="71" t="str">
        <f>IF(C49="Trả lại đơn vụ","",IF(C49="Trả lại đơn việc","",IF((NETWORKDAYS(F49,G49,'Danh sách ngày nghỉ lễ'!$B$5:$B$25)-1-3)&gt;0,"Quá hạn"&amp;" "&amp;(NETWORKDAYS(F49,G49,'Danh sách ngày nghỉ lễ'!$B$5:$B$25)-1-3)&amp;" "&amp;"ngày","")))</f>
        <v/>
      </c>
      <c r="Y49" s="72" t="str">
        <f>IF(S49=0,"",IF(P49="Chuyển","",IF(P49="Nhập vào vụ khác","",IF(P49="BA",IF((S49-R49)&gt;10,"Quá hạn"&amp;" "&amp;(S49-R49-10)&amp;" "&amp;"ngày",""),IF((NETWORKDAYS(R49,S49,'Danh sách ngày nghỉ lễ'!$B$5:$B$25)-VLOOKUP(P49,'Thời hạn'!$A$17:$B$23,2,0))&gt;1,"Quá hạn"&amp;" "&amp;(NETWORKDAYS(R49,S49,'Danh sách ngày nghỉ lễ'!$B$5:$B$25)-1-VLOOKUP(P49,'Thời hạn'!$A$17:$B$23,2,0))&amp;" "&amp;"ngày","")))))</f>
        <v/>
      </c>
      <c r="Z49" s="23">
        <v>1</v>
      </c>
    </row>
    <row r="50" spans="1:26" x14ac:dyDescent="0.3">
      <c r="A50" s="24">
        <v>1</v>
      </c>
      <c r="B50" s="39"/>
      <c r="C50" s="33"/>
      <c r="D50" s="25"/>
      <c r="E50" s="25"/>
      <c r="F50" s="34"/>
      <c r="G50" s="34"/>
      <c r="H50" s="25"/>
      <c r="I50" s="70" t="str">
        <f>IF(C50="Trả lại đơn vụ","",IF(C50="Trả lại đơn việc","",IF(C50="Hòa giải thành","",IF(F50=0,"",EDATE(F50,VLOOKUP(C50,'Thời hạn'!$D$1:$E$10,2,0))+H50))))</f>
        <v/>
      </c>
      <c r="J50" s="59" t="str">
        <f t="shared" ca="1" si="0"/>
        <v/>
      </c>
      <c r="K50" s="25"/>
      <c r="L50" s="129"/>
      <c r="M50" s="130"/>
      <c r="N50" s="35"/>
      <c r="O50" s="34"/>
      <c r="P50" s="25"/>
      <c r="Q50" s="25"/>
      <c r="R50" s="34"/>
      <c r="S50" s="34"/>
      <c r="T50" s="137"/>
      <c r="U50" s="137"/>
      <c r="V50" s="36"/>
      <c r="W50" s="37"/>
      <c r="X50" s="71" t="str">
        <f>IF(C50="Trả lại đơn vụ","",IF(C50="Trả lại đơn việc","",IF((NETWORKDAYS(F50,G50,'Danh sách ngày nghỉ lễ'!$B$5:$B$25)-1-3)&gt;0,"Quá hạn"&amp;" "&amp;(NETWORKDAYS(F50,G50,'Danh sách ngày nghỉ lễ'!$B$5:$B$25)-1-3)&amp;" "&amp;"ngày","")))</f>
        <v/>
      </c>
      <c r="Y50" s="72" t="str">
        <f>IF(S50=0,"",IF(P50="Chuyển","",IF(P50="Nhập vào vụ khác","",IF(P50="BA",IF((S50-R50)&gt;10,"Quá hạn"&amp;" "&amp;(S50-R50-10)&amp;" "&amp;"ngày",""),IF((NETWORKDAYS(R50,S50,'Danh sách ngày nghỉ lễ'!$B$5:$B$25)-VLOOKUP(P50,'Thời hạn'!$A$17:$B$23,2,0))&gt;1,"Quá hạn"&amp;" "&amp;(NETWORKDAYS(R50,S50,'Danh sách ngày nghỉ lễ'!$B$5:$B$25)-1-VLOOKUP(P50,'Thời hạn'!$A$17:$B$23,2,0))&amp;" "&amp;"ngày","")))))</f>
        <v/>
      </c>
      <c r="Z50" s="23">
        <v>1</v>
      </c>
    </row>
    <row r="51" spans="1:26" x14ac:dyDescent="0.3">
      <c r="A51" s="24">
        <v>1</v>
      </c>
      <c r="B51" s="39"/>
      <c r="C51" s="33"/>
      <c r="D51" s="25"/>
      <c r="E51" s="25"/>
      <c r="F51" s="34"/>
      <c r="G51" s="34"/>
      <c r="H51" s="25"/>
      <c r="I51" s="70" t="str">
        <f>IF(C51="Trả lại đơn vụ","",IF(C51="Trả lại đơn việc","",IF(C51="Hòa giải thành","",IF(F51=0,"",EDATE(F51,VLOOKUP(C51,'Thời hạn'!$D$1:$E$10,2,0))+H51))))</f>
        <v/>
      </c>
      <c r="J51" s="59" t="str">
        <f t="shared" ca="1" si="0"/>
        <v/>
      </c>
      <c r="K51" s="25"/>
      <c r="L51" s="129"/>
      <c r="M51" s="130"/>
      <c r="N51" s="35"/>
      <c r="O51" s="34"/>
      <c r="P51" s="25"/>
      <c r="Q51" s="25"/>
      <c r="R51" s="34"/>
      <c r="S51" s="34"/>
      <c r="T51" s="137"/>
      <c r="U51" s="137"/>
      <c r="V51" s="36"/>
      <c r="W51" s="37"/>
      <c r="X51" s="71" t="str">
        <f>IF(C51="Trả lại đơn vụ","",IF(C51="Trả lại đơn việc","",IF((NETWORKDAYS(F51,G51,'Danh sách ngày nghỉ lễ'!$B$5:$B$25)-1-3)&gt;0,"Quá hạn"&amp;" "&amp;(NETWORKDAYS(F51,G51,'Danh sách ngày nghỉ lễ'!$B$5:$B$25)-1-3)&amp;" "&amp;"ngày","")))</f>
        <v/>
      </c>
      <c r="Y51" s="72" t="str">
        <f>IF(S51=0,"",IF(P51="Chuyển","",IF(P51="Nhập vào vụ khác","",IF(P51="BA",IF((S51-R51)&gt;10,"Quá hạn"&amp;" "&amp;(S51-R51-10)&amp;" "&amp;"ngày",""),IF((NETWORKDAYS(R51,S51,'Danh sách ngày nghỉ lễ'!$B$5:$B$25)-VLOOKUP(P51,'Thời hạn'!$A$17:$B$23,2,0))&gt;1,"Quá hạn"&amp;" "&amp;(NETWORKDAYS(R51,S51,'Danh sách ngày nghỉ lễ'!$B$5:$B$25)-1-VLOOKUP(P51,'Thời hạn'!$A$17:$B$23,2,0))&amp;" "&amp;"ngày","")))))</f>
        <v/>
      </c>
      <c r="Z51" s="23">
        <v>1</v>
      </c>
    </row>
    <row r="52" spans="1:26" x14ac:dyDescent="0.3">
      <c r="A52" s="24">
        <v>1</v>
      </c>
      <c r="B52" s="39"/>
      <c r="C52" s="33"/>
      <c r="D52" s="25"/>
      <c r="E52" s="25"/>
      <c r="F52" s="34"/>
      <c r="G52" s="34"/>
      <c r="H52" s="25"/>
      <c r="I52" s="70" t="str">
        <f>IF(C52="Trả lại đơn vụ","",IF(C52="Trả lại đơn việc","",IF(C52="Hòa giải thành","",IF(F52=0,"",EDATE(F52,VLOOKUP(C52,'Thời hạn'!$D$1:$E$10,2,0))+H52))))</f>
        <v/>
      </c>
      <c r="J52" s="59" t="str">
        <f t="shared" ca="1" si="0"/>
        <v/>
      </c>
      <c r="K52" s="25"/>
      <c r="L52" s="129"/>
      <c r="M52" s="130"/>
      <c r="N52" s="35"/>
      <c r="O52" s="34"/>
      <c r="P52" s="25"/>
      <c r="Q52" s="25"/>
      <c r="R52" s="34"/>
      <c r="S52" s="34"/>
      <c r="T52" s="137"/>
      <c r="U52" s="137"/>
      <c r="V52" s="36"/>
      <c r="W52" s="37"/>
      <c r="X52" s="71" t="str">
        <f>IF(C52="Trả lại đơn vụ","",IF(C52="Trả lại đơn việc","",IF((NETWORKDAYS(F52,G52,'Danh sách ngày nghỉ lễ'!$B$5:$B$25)-1-3)&gt;0,"Quá hạn"&amp;" "&amp;(NETWORKDAYS(F52,G52,'Danh sách ngày nghỉ lễ'!$B$5:$B$25)-1-3)&amp;" "&amp;"ngày","")))</f>
        <v/>
      </c>
      <c r="Y52" s="72" t="str">
        <f>IF(S52=0,"",IF(P52="Chuyển","",IF(P52="Nhập vào vụ khác","",IF(P52="BA",IF((S52-R52)&gt;10,"Quá hạn"&amp;" "&amp;(S52-R52-10)&amp;" "&amp;"ngày",""),IF((NETWORKDAYS(R52,S52,'Danh sách ngày nghỉ lễ'!$B$5:$B$25)-VLOOKUP(P52,'Thời hạn'!$A$17:$B$23,2,0))&gt;1,"Quá hạn"&amp;" "&amp;(NETWORKDAYS(R52,S52,'Danh sách ngày nghỉ lễ'!$B$5:$B$25)-1-VLOOKUP(P52,'Thời hạn'!$A$17:$B$23,2,0))&amp;" "&amp;"ngày","")))))</f>
        <v/>
      </c>
      <c r="Z52" s="23">
        <v>1</v>
      </c>
    </row>
    <row r="53" spans="1:26" x14ac:dyDescent="0.3">
      <c r="A53" s="24">
        <v>1</v>
      </c>
      <c r="B53" s="39"/>
      <c r="C53" s="33"/>
      <c r="D53" s="25"/>
      <c r="E53" s="25"/>
      <c r="F53" s="34"/>
      <c r="G53" s="34"/>
      <c r="H53" s="25"/>
      <c r="I53" s="70" t="str">
        <f>IF(C53="Trả lại đơn vụ","",IF(C53="Trả lại đơn việc","",IF(C53="Hòa giải thành","",IF(F53=0,"",EDATE(F53,VLOOKUP(C53,'Thời hạn'!$D$1:$E$10,2,0))+H53))))</f>
        <v/>
      </c>
      <c r="J53" s="59" t="str">
        <f t="shared" ca="1" si="0"/>
        <v/>
      </c>
      <c r="K53" s="25"/>
      <c r="L53" s="129"/>
      <c r="M53" s="130"/>
      <c r="N53" s="35"/>
      <c r="O53" s="34"/>
      <c r="P53" s="25"/>
      <c r="Q53" s="25"/>
      <c r="R53" s="34"/>
      <c r="S53" s="34"/>
      <c r="T53" s="137"/>
      <c r="U53" s="137"/>
      <c r="V53" s="36"/>
      <c r="W53" s="37"/>
      <c r="X53" s="71" t="str">
        <f>IF(C53="Trả lại đơn vụ","",IF(C53="Trả lại đơn việc","",IF((NETWORKDAYS(F53,G53,'Danh sách ngày nghỉ lễ'!$B$5:$B$25)-1-3)&gt;0,"Quá hạn"&amp;" "&amp;(NETWORKDAYS(F53,G53,'Danh sách ngày nghỉ lễ'!$B$5:$B$25)-1-3)&amp;" "&amp;"ngày","")))</f>
        <v/>
      </c>
      <c r="Y53" s="72" t="str">
        <f>IF(S53=0,"",IF(P53="Chuyển","",IF(P53="Nhập vào vụ khác","",IF(P53="BA",IF((S53-R53)&gt;10,"Quá hạn"&amp;" "&amp;(S53-R53-10)&amp;" "&amp;"ngày",""),IF((NETWORKDAYS(R53,S53,'Danh sách ngày nghỉ lễ'!$B$5:$B$25)-VLOOKUP(P53,'Thời hạn'!$A$17:$B$23,2,0))&gt;1,"Quá hạn"&amp;" "&amp;(NETWORKDAYS(R53,S53,'Danh sách ngày nghỉ lễ'!$B$5:$B$25)-1-VLOOKUP(P53,'Thời hạn'!$A$17:$B$23,2,0))&amp;" "&amp;"ngày","")))))</f>
        <v/>
      </c>
      <c r="Z53" s="23">
        <v>1</v>
      </c>
    </row>
    <row r="54" spans="1:26" x14ac:dyDescent="0.3">
      <c r="A54" s="24">
        <v>1</v>
      </c>
      <c r="B54" s="39"/>
      <c r="C54" s="33"/>
      <c r="D54" s="25"/>
      <c r="E54" s="25"/>
      <c r="F54" s="34"/>
      <c r="G54" s="34"/>
      <c r="H54" s="25"/>
      <c r="I54" s="70" t="str">
        <f>IF(C54="Trả lại đơn vụ","",IF(C54="Trả lại đơn việc","",IF(C54="Hòa giải thành","",IF(F54=0,"",EDATE(F54,VLOOKUP(C54,'Thời hạn'!$D$1:$E$10,2,0))+H54))))</f>
        <v/>
      </c>
      <c r="J54" s="59" t="str">
        <f t="shared" ca="1" si="0"/>
        <v/>
      </c>
      <c r="K54" s="25"/>
      <c r="L54" s="129"/>
      <c r="M54" s="130"/>
      <c r="N54" s="35"/>
      <c r="O54" s="34"/>
      <c r="P54" s="25"/>
      <c r="Q54" s="25"/>
      <c r="R54" s="34"/>
      <c r="S54" s="34"/>
      <c r="T54" s="137"/>
      <c r="U54" s="137"/>
      <c r="V54" s="36"/>
      <c r="W54" s="37"/>
      <c r="X54" s="71" t="str">
        <f>IF(C54="Trả lại đơn vụ","",IF(C54="Trả lại đơn việc","",IF((NETWORKDAYS(F54,G54,'Danh sách ngày nghỉ lễ'!$B$5:$B$25)-1-3)&gt;0,"Quá hạn"&amp;" "&amp;(NETWORKDAYS(F54,G54,'Danh sách ngày nghỉ lễ'!$B$5:$B$25)-1-3)&amp;" "&amp;"ngày","")))</f>
        <v/>
      </c>
      <c r="Y54" s="72" t="str">
        <f>IF(S54=0,"",IF(P54="Chuyển","",IF(P54="Nhập vào vụ khác","",IF(P54="BA",IF((S54-R54)&gt;10,"Quá hạn"&amp;" "&amp;(S54-R54-10)&amp;" "&amp;"ngày",""),IF((NETWORKDAYS(R54,S54,'Danh sách ngày nghỉ lễ'!$B$5:$B$25)-VLOOKUP(P54,'Thời hạn'!$A$17:$B$23,2,0))&gt;1,"Quá hạn"&amp;" "&amp;(NETWORKDAYS(R54,S54,'Danh sách ngày nghỉ lễ'!$B$5:$B$25)-1-VLOOKUP(P54,'Thời hạn'!$A$17:$B$23,2,0))&amp;" "&amp;"ngày","")))))</f>
        <v/>
      </c>
      <c r="Z54" s="23">
        <v>1</v>
      </c>
    </row>
    <row r="55" spans="1:26" x14ac:dyDescent="0.3">
      <c r="A55" s="24">
        <v>1</v>
      </c>
      <c r="B55" s="39"/>
      <c r="C55" s="33"/>
      <c r="D55" s="25"/>
      <c r="E55" s="25"/>
      <c r="F55" s="34"/>
      <c r="G55" s="34"/>
      <c r="H55" s="25"/>
      <c r="I55" s="70" t="str">
        <f>IF(C55="Trả lại đơn vụ","",IF(C55="Trả lại đơn việc","",IF(C55="Hòa giải thành","",IF(F55=0,"",EDATE(F55,VLOOKUP(C55,'Thời hạn'!$D$1:$E$10,2,0))+H55))))</f>
        <v/>
      </c>
      <c r="J55" s="59" t="str">
        <f t="shared" ca="1" si="0"/>
        <v/>
      </c>
      <c r="K55" s="25"/>
      <c r="L55" s="129"/>
      <c r="M55" s="130"/>
      <c r="N55" s="35"/>
      <c r="O55" s="34"/>
      <c r="P55" s="25"/>
      <c r="Q55" s="25"/>
      <c r="R55" s="34"/>
      <c r="S55" s="34"/>
      <c r="T55" s="137"/>
      <c r="U55" s="137"/>
      <c r="V55" s="36"/>
      <c r="W55" s="37"/>
      <c r="X55" s="71" t="str">
        <f>IF(C55="Trả lại đơn vụ","",IF(C55="Trả lại đơn việc","",IF((NETWORKDAYS(F55,G55,'Danh sách ngày nghỉ lễ'!$B$5:$B$25)-1-3)&gt;0,"Quá hạn"&amp;" "&amp;(NETWORKDAYS(F55,G55,'Danh sách ngày nghỉ lễ'!$B$5:$B$25)-1-3)&amp;" "&amp;"ngày","")))</f>
        <v/>
      </c>
      <c r="Y55" s="72" t="str">
        <f>IF(S55=0,"",IF(P55="Chuyển","",IF(P55="Nhập vào vụ khác","",IF(P55="BA",IF((S55-R55)&gt;10,"Quá hạn"&amp;" "&amp;(S55-R55-10)&amp;" "&amp;"ngày",""),IF((NETWORKDAYS(R55,S55,'Danh sách ngày nghỉ lễ'!$B$5:$B$25)-VLOOKUP(P55,'Thời hạn'!$A$17:$B$23,2,0))&gt;1,"Quá hạn"&amp;" "&amp;(NETWORKDAYS(R55,S55,'Danh sách ngày nghỉ lễ'!$B$5:$B$25)-1-VLOOKUP(P55,'Thời hạn'!$A$17:$B$23,2,0))&amp;" "&amp;"ngày","")))))</f>
        <v/>
      </c>
      <c r="Z55" s="23">
        <v>1</v>
      </c>
    </row>
    <row r="56" spans="1:26" x14ac:dyDescent="0.3">
      <c r="A56" s="24">
        <v>1</v>
      </c>
      <c r="B56" s="39"/>
      <c r="C56" s="33"/>
      <c r="D56" s="25"/>
      <c r="E56" s="25"/>
      <c r="F56" s="34"/>
      <c r="G56" s="34"/>
      <c r="H56" s="25"/>
      <c r="I56" s="70" t="str">
        <f>IF(C56="Trả lại đơn vụ","",IF(C56="Trả lại đơn việc","",IF(C56="Hòa giải thành","",IF(F56=0,"",EDATE(F56,VLOOKUP(C56,'Thời hạn'!$D$1:$E$10,2,0))+H56))))</f>
        <v/>
      </c>
      <c r="J56" s="59" t="str">
        <f t="shared" ca="1" si="0"/>
        <v/>
      </c>
      <c r="K56" s="25"/>
      <c r="L56" s="129"/>
      <c r="M56" s="130"/>
      <c r="N56" s="35"/>
      <c r="O56" s="34"/>
      <c r="P56" s="25"/>
      <c r="Q56" s="25"/>
      <c r="R56" s="34"/>
      <c r="S56" s="34"/>
      <c r="T56" s="137"/>
      <c r="U56" s="137"/>
      <c r="V56" s="36"/>
      <c r="W56" s="37"/>
      <c r="X56" s="71" t="str">
        <f>IF(C56="Trả lại đơn vụ","",IF(C56="Trả lại đơn việc","",IF((NETWORKDAYS(F56,G56,'Danh sách ngày nghỉ lễ'!$B$5:$B$25)-1-3)&gt;0,"Quá hạn"&amp;" "&amp;(NETWORKDAYS(F56,G56,'Danh sách ngày nghỉ lễ'!$B$5:$B$25)-1-3)&amp;" "&amp;"ngày","")))</f>
        <v/>
      </c>
      <c r="Y56" s="72" t="str">
        <f>IF(S56=0,"",IF(P56="Chuyển","",IF(P56="Nhập vào vụ khác","",IF(P56="BA",IF((S56-R56)&gt;10,"Quá hạn"&amp;" "&amp;(S56-R56-10)&amp;" "&amp;"ngày",""),IF((NETWORKDAYS(R56,S56,'Danh sách ngày nghỉ lễ'!$B$5:$B$25)-VLOOKUP(P56,'Thời hạn'!$A$17:$B$23,2,0))&gt;1,"Quá hạn"&amp;" "&amp;(NETWORKDAYS(R56,S56,'Danh sách ngày nghỉ lễ'!$B$5:$B$25)-1-VLOOKUP(P56,'Thời hạn'!$A$17:$B$23,2,0))&amp;" "&amp;"ngày","")))))</f>
        <v/>
      </c>
      <c r="Z56" s="23">
        <v>1</v>
      </c>
    </row>
    <row r="57" spans="1:26" x14ac:dyDescent="0.3">
      <c r="A57" s="24">
        <v>1</v>
      </c>
      <c r="B57" s="39"/>
      <c r="C57" s="33"/>
      <c r="D57" s="25"/>
      <c r="E57" s="25"/>
      <c r="F57" s="34"/>
      <c r="G57" s="34"/>
      <c r="H57" s="25"/>
      <c r="I57" s="70" t="str">
        <f>IF(C57="Trả lại đơn vụ","",IF(C57="Trả lại đơn việc","",IF(C57="Hòa giải thành","",IF(F57=0,"",EDATE(F57,VLOOKUP(C57,'Thời hạn'!$D$1:$E$10,2,0))+H57))))</f>
        <v/>
      </c>
      <c r="J57" s="59" t="str">
        <f t="shared" ca="1" si="0"/>
        <v/>
      </c>
      <c r="K57" s="25"/>
      <c r="L57" s="129"/>
      <c r="M57" s="130"/>
      <c r="N57" s="35"/>
      <c r="O57" s="34"/>
      <c r="P57" s="25"/>
      <c r="Q57" s="25"/>
      <c r="R57" s="34"/>
      <c r="S57" s="34"/>
      <c r="T57" s="137"/>
      <c r="U57" s="137"/>
      <c r="V57" s="36"/>
      <c r="W57" s="37"/>
      <c r="X57" s="71" t="str">
        <f>IF(C57="Trả lại đơn vụ","",IF(C57="Trả lại đơn việc","",IF((NETWORKDAYS(F57,G57,'Danh sách ngày nghỉ lễ'!$B$5:$B$25)-1-3)&gt;0,"Quá hạn"&amp;" "&amp;(NETWORKDAYS(F57,G57,'Danh sách ngày nghỉ lễ'!$B$5:$B$25)-1-3)&amp;" "&amp;"ngày","")))</f>
        <v/>
      </c>
      <c r="Y57" s="72" t="str">
        <f>IF(S57=0,"",IF(P57="Chuyển","",IF(P57="Nhập vào vụ khác","",IF(P57="BA",IF((S57-R57)&gt;10,"Quá hạn"&amp;" "&amp;(S57-R57-10)&amp;" "&amp;"ngày",""),IF((NETWORKDAYS(R57,S57,'Danh sách ngày nghỉ lễ'!$B$5:$B$25)-VLOOKUP(P57,'Thời hạn'!$A$17:$B$23,2,0))&gt;1,"Quá hạn"&amp;" "&amp;(NETWORKDAYS(R57,S57,'Danh sách ngày nghỉ lễ'!$B$5:$B$25)-1-VLOOKUP(P57,'Thời hạn'!$A$17:$B$23,2,0))&amp;" "&amp;"ngày","")))))</f>
        <v/>
      </c>
      <c r="Z57" s="23">
        <v>1</v>
      </c>
    </row>
    <row r="58" spans="1:26" x14ac:dyDescent="0.3">
      <c r="A58" s="24">
        <v>1</v>
      </c>
      <c r="B58" s="39"/>
      <c r="C58" s="33"/>
      <c r="D58" s="25"/>
      <c r="E58" s="25"/>
      <c r="F58" s="34"/>
      <c r="G58" s="34"/>
      <c r="H58" s="25"/>
      <c r="I58" s="70" t="str">
        <f>IF(C58="Trả lại đơn vụ","",IF(C58="Trả lại đơn việc","",IF(C58="Hòa giải thành","",IF(F58=0,"",EDATE(F58,VLOOKUP(C58,'Thời hạn'!$D$1:$E$10,2,0))+H58))))</f>
        <v/>
      </c>
      <c r="J58" s="59" t="str">
        <f t="shared" ca="1" si="0"/>
        <v/>
      </c>
      <c r="K58" s="25"/>
      <c r="L58" s="129"/>
      <c r="M58" s="130"/>
      <c r="N58" s="35"/>
      <c r="O58" s="34"/>
      <c r="P58" s="25"/>
      <c r="Q58" s="25"/>
      <c r="R58" s="34"/>
      <c r="S58" s="34"/>
      <c r="T58" s="137"/>
      <c r="U58" s="137"/>
      <c r="V58" s="36"/>
      <c r="W58" s="37"/>
      <c r="X58" s="71" t="str">
        <f>IF(C58="Trả lại đơn vụ","",IF(C58="Trả lại đơn việc","",IF((NETWORKDAYS(F58,G58,'Danh sách ngày nghỉ lễ'!$B$5:$B$25)-1-3)&gt;0,"Quá hạn"&amp;" "&amp;(NETWORKDAYS(F58,G58,'Danh sách ngày nghỉ lễ'!$B$5:$B$25)-1-3)&amp;" "&amp;"ngày","")))</f>
        <v/>
      </c>
      <c r="Y58" s="72" t="str">
        <f>IF(S58=0,"",IF(P58="Chuyển","",IF(P58="Nhập vào vụ khác","",IF(P58="BA",IF((S58-R58)&gt;10,"Quá hạn"&amp;" "&amp;(S58-R58-10)&amp;" "&amp;"ngày",""),IF((NETWORKDAYS(R58,S58,'Danh sách ngày nghỉ lễ'!$B$5:$B$25)-VLOOKUP(P58,'Thời hạn'!$A$17:$B$23,2,0))&gt;1,"Quá hạn"&amp;" "&amp;(NETWORKDAYS(R58,S58,'Danh sách ngày nghỉ lễ'!$B$5:$B$25)-1-VLOOKUP(P58,'Thời hạn'!$A$17:$B$23,2,0))&amp;" "&amp;"ngày","")))))</f>
        <v/>
      </c>
      <c r="Z58" s="23">
        <v>1</v>
      </c>
    </row>
    <row r="59" spans="1:26" x14ac:dyDescent="0.3">
      <c r="A59" s="24">
        <v>1</v>
      </c>
      <c r="B59" s="39"/>
      <c r="C59" s="33"/>
      <c r="D59" s="25"/>
      <c r="E59" s="25"/>
      <c r="F59" s="34"/>
      <c r="G59" s="34"/>
      <c r="H59" s="25"/>
      <c r="I59" s="70" t="str">
        <f>IF(C59="Trả lại đơn vụ","",IF(C59="Trả lại đơn việc","",IF(C59="Hòa giải thành","",IF(F59=0,"",EDATE(F59,VLOOKUP(C59,'Thời hạn'!$D$1:$E$10,2,0))+H59))))</f>
        <v/>
      </c>
      <c r="J59" s="59" t="str">
        <f t="shared" ca="1" si="0"/>
        <v/>
      </c>
      <c r="K59" s="25"/>
      <c r="L59" s="129"/>
      <c r="M59" s="130"/>
      <c r="N59" s="35"/>
      <c r="O59" s="34"/>
      <c r="P59" s="25"/>
      <c r="Q59" s="25"/>
      <c r="R59" s="34"/>
      <c r="S59" s="34"/>
      <c r="T59" s="137"/>
      <c r="U59" s="137"/>
      <c r="V59" s="36"/>
      <c r="W59" s="37"/>
      <c r="X59" s="71" t="str">
        <f>IF(C59="Trả lại đơn vụ","",IF(C59="Trả lại đơn việc","",IF((NETWORKDAYS(F59,G59,'Danh sách ngày nghỉ lễ'!$B$5:$B$25)-1-3)&gt;0,"Quá hạn"&amp;" "&amp;(NETWORKDAYS(F59,G59,'Danh sách ngày nghỉ lễ'!$B$5:$B$25)-1-3)&amp;" "&amp;"ngày","")))</f>
        <v/>
      </c>
      <c r="Y59" s="72" t="str">
        <f>IF(S59=0,"",IF(P59="Chuyển","",IF(P59="Nhập vào vụ khác","",IF(P59="BA",IF((S59-R59)&gt;10,"Quá hạn"&amp;" "&amp;(S59-R59-10)&amp;" "&amp;"ngày",""),IF((NETWORKDAYS(R59,S59,'Danh sách ngày nghỉ lễ'!$B$5:$B$25)-VLOOKUP(P59,'Thời hạn'!$A$17:$B$23,2,0))&gt;1,"Quá hạn"&amp;" "&amp;(NETWORKDAYS(R59,S59,'Danh sách ngày nghỉ lễ'!$B$5:$B$25)-1-VLOOKUP(P59,'Thời hạn'!$A$17:$B$23,2,0))&amp;" "&amp;"ngày","")))))</f>
        <v/>
      </c>
      <c r="Z59" s="23">
        <v>1</v>
      </c>
    </row>
    <row r="60" spans="1:26" x14ac:dyDescent="0.3">
      <c r="A60" s="24">
        <v>1</v>
      </c>
      <c r="B60" s="39"/>
      <c r="C60" s="33"/>
      <c r="D60" s="25"/>
      <c r="E60" s="25"/>
      <c r="F60" s="34"/>
      <c r="G60" s="34"/>
      <c r="H60" s="25"/>
      <c r="I60" s="70" t="str">
        <f>IF(C60="Trả lại đơn vụ","",IF(C60="Trả lại đơn việc","",IF(C60="Hòa giải thành","",IF(F60=0,"",EDATE(F60,VLOOKUP(C60,'Thời hạn'!$D$1:$E$10,2,0))+H60))))</f>
        <v/>
      </c>
      <c r="J60" s="59" t="str">
        <f t="shared" ca="1" si="0"/>
        <v/>
      </c>
      <c r="K60" s="25"/>
      <c r="L60" s="129"/>
      <c r="M60" s="130"/>
      <c r="N60" s="35"/>
      <c r="O60" s="34"/>
      <c r="P60" s="25"/>
      <c r="Q60" s="25"/>
      <c r="R60" s="34"/>
      <c r="S60" s="34"/>
      <c r="T60" s="137"/>
      <c r="U60" s="137"/>
      <c r="V60" s="36"/>
      <c r="W60" s="37"/>
      <c r="X60" s="71" t="str">
        <f>IF(C60="Trả lại đơn vụ","",IF(C60="Trả lại đơn việc","",IF((NETWORKDAYS(F60,G60,'Danh sách ngày nghỉ lễ'!$B$5:$B$25)-1-3)&gt;0,"Quá hạn"&amp;" "&amp;(NETWORKDAYS(F60,G60,'Danh sách ngày nghỉ lễ'!$B$5:$B$25)-1-3)&amp;" "&amp;"ngày","")))</f>
        <v/>
      </c>
      <c r="Y60" s="72" t="str">
        <f>IF(S60=0,"",IF(P60="Chuyển","",IF(P60="Nhập vào vụ khác","",IF(P60="BA",IF((S60-R60)&gt;10,"Quá hạn"&amp;" "&amp;(S60-R60-10)&amp;" "&amp;"ngày",""),IF((NETWORKDAYS(R60,S60,'Danh sách ngày nghỉ lễ'!$B$5:$B$25)-VLOOKUP(P60,'Thời hạn'!$A$17:$B$23,2,0))&gt;1,"Quá hạn"&amp;" "&amp;(NETWORKDAYS(R60,S60,'Danh sách ngày nghỉ lễ'!$B$5:$B$25)-1-VLOOKUP(P60,'Thời hạn'!$A$17:$B$23,2,0))&amp;" "&amp;"ngày","")))))</f>
        <v/>
      </c>
      <c r="Z60" s="23">
        <v>1</v>
      </c>
    </row>
    <row r="61" spans="1:26" x14ac:dyDescent="0.3">
      <c r="A61" s="24">
        <v>1</v>
      </c>
      <c r="B61" s="39"/>
      <c r="C61" s="33"/>
      <c r="D61" s="25"/>
      <c r="E61" s="25"/>
      <c r="F61" s="34"/>
      <c r="G61" s="34"/>
      <c r="H61" s="25"/>
      <c r="I61" s="70" t="str">
        <f>IF(C61="Trả lại đơn vụ","",IF(C61="Trả lại đơn việc","",IF(C61="Hòa giải thành","",IF(F61=0,"",EDATE(F61,VLOOKUP(C61,'Thời hạn'!$D$1:$E$10,2,0))+H61))))</f>
        <v/>
      </c>
      <c r="J61" s="59" t="str">
        <f t="shared" ca="1" si="0"/>
        <v/>
      </c>
      <c r="K61" s="25"/>
      <c r="L61" s="129"/>
      <c r="M61" s="130"/>
      <c r="N61" s="35"/>
      <c r="O61" s="34"/>
      <c r="P61" s="25"/>
      <c r="Q61" s="25"/>
      <c r="R61" s="34"/>
      <c r="S61" s="34"/>
      <c r="T61" s="137"/>
      <c r="U61" s="137"/>
      <c r="V61" s="36"/>
      <c r="W61" s="37"/>
      <c r="X61" s="71" t="str">
        <f>IF(C61="Trả lại đơn vụ","",IF(C61="Trả lại đơn việc","",IF((NETWORKDAYS(F61,G61,'Danh sách ngày nghỉ lễ'!$B$5:$B$25)-1-3)&gt;0,"Quá hạn"&amp;" "&amp;(NETWORKDAYS(F61,G61,'Danh sách ngày nghỉ lễ'!$B$5:$B$25)-1-3)&amp;" "&amp;"ngày","")))</f>
        <v/>
      </c>
      <c r="Y61" s="72" t="str">
        <f>IF(S61=0,"",IF(P61="Chuyển","",IF(P61="Nhập vào vụ khác","",IF(P61="BA",IF((S61-R61)&gt;10,"Quá hạn"&amp;" "&amp;(S61-R61-10)&amp;" "&amp;"ngày",""),IF((NETWORKDAYS(R61,S61,'Danh sách ngày nghỉ lễ'!$B$5:$B$25)-VLOOKUP(P61,'Thời hạn'!$A$17:$B$23,2,0))&gt;1,"Quá hạn"&amp;" "&amp;(NETWORKDAYS(R61,S61,'Danh sách ngày nghỉ lễ'!$B$5:$B$25)-1-VLOOKUP(P61,'Thời hạn'!$A$17:$B$23,2,0))&amp;" "&amp;"ngày","")))))</f>
        <v/>
      </c>
      <c r="Z61" s="23">
        <v>1</v>
      </c>
    </row>
    <row r="62" spans="1:26" x14ac:dyDescent="0.3">
      <c r="A62" s="24">
        <v>1</v>
      </c>
      <c r="B62" s="39"/>
      <c r="C62" s="33"/>
      <c r="D62" s="25"/>
      <c r="E62" s="25"/>
      <c r="F62" s="34"/>
      <c r="G62" s="34"/>
      <c r="H62" s="25"/>
      <c r="I62" s="70" t="str">
        <f>IF(C62="Trả lại đơn vụ","",IF(C62="Trả lại đơn việc","",IF(C62="Hòa giải thành","",IF(F62=0,"",EDATE(F62,VLOOKUP(C62,'Thời hạn'!$D$1:$E$10,2,0))+H62))))</f>
        <v/>
      </c>
      <c r="J62" s="59" t="str">
        <f t="shared" ca="1" si="0"/>
        <v/>
      </c>
      <c r="K62" s="25"/>
      <c r="L62" s="129"/>
      <c r="M62" s="130"/>
      <c r="N62" s="35"/>
      <c r="O62" s="34"/>
      <c r="P62" s="25"/>
      <c r="Q62" s="25"/>
      <c r="R62" s="34"/>
      <c r="S62" s="34"/>
      <c r="T62" s="137"/>
      <c r="U62" s="137"/>
      <c r="V62" s="36"/>
      <c r="W62" s="37"/>
      <c r="X62" s="71" t="str">
        <f>IF(C62="Trả lại đơn vụ","",IF(C62="Trả lại đơn việc","",IF((NETWORKDAYS(F62,G62,'Danh sách ngày nghỉ lễ'!$B$5:$B$25)-1-3)&gt;0,"Quá hạn"&amp;" "&amp;(NETWORKDAYS(F62,G62,'Danh sách ngày nghỉ lễ'!$B$5:$B$25)-1-3)&amp;" "&amp;"ngày","")))</f>
        <v/>
      </c>
      <c r="Y62" s="72" t="str">
        <f>IF(S62=0,"",IF(P62="Chuyển","",IF(P62="Nhập vào vụ khác","",IF(P62="BA",IF((S62-R62)&gt;10,"Quá hạn"&amp;" "&amp;(S62-R62-10)&amp;" "&amp;"ngày",""),IF((NETWORKDAYS(R62,S62,'Danh sách ngày nghỉ lễ'!$B$5:$B$25)-VLOOKUP(P62,'Thời hạn'!$A$17:$B$23,2,0))&gt;1,"Quá hạn"&amp;" "&amp;(NETWORKDAYS(R62,S62,'Danh sách ngày nghỉ lễ'!$B$5:$B$25)-1-VLOOKUP(P62,'Thời hạn'!$A$17:$B$23,2,0))&amp;" "&amp;"ngày","")))))</f>
        <v/>
      </c>
      <c r="Z62" s="23">
        <v>1</v>
      </c>
    </row>
    <row r="63" spans="1:26" x14ac:dyDescent="0.3">
      <c r="A63" s="24">
        <v>1</v>
      </c>
      <c r="B63" s="39"/>
      <c r="C63" s="33"/>
      <c r="D63" s="25"/>
      <c r="E63" s="25"/>
      <c r="F63" s="34"/>
      <c r="G63" s="34"/>
      <c r="H63" s="25"/>
      <c r="I63" s="70" t="str">
        <f>IF(C63="Trả lại đơn vụ","",IF(C63="Trả lại đơn việc","",IF(C63="Hòa giải thành","",IF(F63=0,"",EDATE(F63,VLOOKUP(C63,'Thời hạn'!$D$1:$E$10,2,0))+H63))))</f>
        <v/>
      </c>
      <c r="J63" s="59" t="str">
        <f t="shared" ca="1" si="0"/>
        <v/>
      </c>
      <c r="K63" s="25"/>
      <c r="L63" s="129"/>
      <c r="M63" s="130"/>
      <c r="N63" s="35"/>
      <c r="O63" s="34"/>
      <c r="P63" s="25"/>
      <c r="Q63" s="25"/>
      <c r="R63" s="34"/>
      <c r="S63" s="34"/>
      <c r="T63" s="137"/>
      <c r="U63" s="137"/>
      <c r="V63" s="36"/>
      <c r="W63" s="37"/>
      <c r="X63" s="71" t="str">
        <f>IF(C63="Trả lại đơn vụ","",IF(C63="Trả lại đơn việc","",IF((NETWORKDAYS(F63,G63,'Danh sách ngày nghỉ lễ'!$B$5:$B$25)-1-3)&gt;0,"Quá hạn"&amp;" "&amp;(NETWORKDAYS(F63,G63,'Danh sách ngày nghỉ lễ'!$B$5:$B$25)-1-3)&amp;" "&amp;"ngày","")))</f>
        <v/>
      </c>
      <c r="Y63" s="72" t="str">
        <f>IF(S63=0,"",IF(P63="Chuyển","",IF(P63="Nhập vào vụ khác","",IF(P63="BA",IF((S63-R63)&gt;10,"Quá hạn"&amp;" "&amp;(S63-R63-10)&amp;" "&amp;"ngày",""),IF((NETWORKDAYS(R63,S63,'Danh sách ngày nghỉ lễ'!$B$5:$B$25)-VLOOKUP(P63,'Thời hạn'!$A$17:$B$23,2,0))&gt;1,"Quá hạn"&amp;" "&amp;(NETWORKDAYS(R63,S63,'Danh sách ngày nghỉ lễ'!$B$5:$B$25)-1-VLOOKUP(P63,'Thời hạn'!$A$17:$B$23,2,0))&amp;" "&amp;"ngày","")))))</f>
        <v/>
      </c>
      <c r="Z63" s="23">
        <v>1</v>
      </c>
    </row>
    <row r="64" spans="1:26" x14ac:dyDescent="0.3">
      <c r="A64" s="24">
        <v>1</v>
      </c>
      <c r="B64" s="39"/>
      <c r="C64" s="33"/>
      <c r="D64" s="25"/>
      <c r="E64" s="25"/>
      <c r="F64" s="34"/>
      <c r="G64" s="34"/>
      <c r="H64" s="25"/>
      <c r="I64" s="70" t="str">
        <f>IF(C64="Trả lại đơn vụ","",IF(C64="Trả lại đơn việc","",IF(C64="Hòa giải thành","",IF(F64=0,"",EDATE(F64,VLOOKUP(C64,'Thời hạn'!$D$1:$E$10,2,0))+H64))))</f>
        <v/>
      </c>
      <c r="J64" s="59" t="str">
        <f t="shared" ca="1" si="0"/>
        <v/>
      </c>
      <c r="K64" s="25"/>
      <c r="L64" s="129"/>
      <c r="M64" s="130"/>
      <c r="N64" s="35"/>
      <c r="O64" s="34"/>
      <c r="P64" s="25"/>
      <c r="Q64" s="25"/>
      <c r="R64" s="34"/>
      <c r="S64" s="34"/>
      <c r="T64" s="137"/>
      <c r="U64" s="137"/>
      <c r="V64" s="36"/>
      <c r="W64" s="37"/>
      <c r="X64" s="71" t="str">
        <f>IF(C64="Trả lại đơn vụ","",IF(C64="Trả lại đơn việc","",IF((NETWORKDAYS(F64,G64,'Danh sách ngày nghỉ lễ'!$B$5:$B$25)-1-3)&gt;0,"Quá hạn"&amp;" "&amp;(NETWORKDAYS(F64,G64,'Danh sách ngày nghỉ lễ'!$B$5:$B$25)-1-3)&amp;" "&amp;"ngày","")))</f>
        <v/>
      </c>
      <c r="Y64" s="72" t="str">
        <f>IF(S64=0,"",IF(P64="Chuyển","",IF(P64="Nhập vào vụ khác","",IF(P64="BA",IF((S64-R64)&gt;10,"Quá hạn"&amp;" "&amp;(S64-R64-10)&amp;" "&amp;"ngày",""),IF((NETWORKDAYS(R64,S64,'Danh sách ngày nghỉ lễ'!$B$5:$B$25)-VLOOKUP(P64,'Thời hạn'!$A$17:$B$23,2,0))&gt;1,"Quá hạn"&amp;" "&amp;(NETWORKDAYS(R64,S64,'Danh sách ngày nghỉ lễ'!$B$5:$B$25)-1-VLOOKUP(P64,'Thời hạn'!$A$17:$B$23,2,0))&amp;" "&amp;"ngày","")))))</f>
        <v/>
      </c>
      <c r="Z64" s="23">
        <v>1</v>
      </c>
    </row>
    <row r="65" spans="1:26" x14ac:dyDescent="0.3">
      <c r="A65" s="24">
        <v>1</v>
      </c>
      <c r="B65" s="39"/>
      <c r="C65" s="33"/>
      <c r="D65" s="25"/>
      <c r="E65" s="25"/>
      <c r="F65" s="34"/>
      <c r="G65" s="34"/>
      <c r="H65" s="25"/>
      <c r="I65" s="70" t="str">
        <f>IF(C65="Trả lại đơn vụ","",IF(C65="Trả lại đơn việc","",IF(C65="Hòa giải thành","",IF(F65=0,"",EDATE(F65,VLOOKUP(C65,'Thời hạn'!$D$1:$E$10,2,0))+H65))))</f>
        <v/>
      </c>
      <c r="J65" s="59" t="str">
        <f t="shared" ca="1" si="0"/>
        <v/>
      </c>
      <c r="K65" s="25"/>
      <c r="L65" s="129"/>
      <c r="M65" s="130"/>
      <c r="N65" s="35"/>
      <c r="O65" s="34"/>
      <c r="P65" s="25"/>
      <c r="Q65" s="25"/>
      <c r="R65" s="34"/>
      <c r="S65" s="34"/>
      <c r="T65" s="137"/>
      <c r="U65" s="137"/>
      <c r="V65" s="36"/>
      <c r="W65" s="37"/>
      <c r="X65" s="71" t="str">
        <f>IF(C65="Trả lại đơn vụ","",IF(C65="Trả lại đơn việc","",IF((NETWORKDAYS(F65,G65,'Danh sách ngày nghỉ lễ'!$B$5:$B$25)-1-3)&gt;0,"Quá hạn"&amp;" "&amp;(NETWORKDAYS(F65,G65,'Danh sách ngày nghỉ lễ'!$B$5:$B$25)-1-3)&amp;" "&amp;"ngày","")))</f>
        <v/>
      </c>
      <c r="Y65" s="72" t="str">
        <f>IF(S65=0,"",IF(P65="Chuyển","",IF(P65="Nhập vào vụ khác","",IF(P65="BA",IF((S65-R65)&gt;10,"Quá hạn"&amp;" "&amp;(S65-R65-10)&amp;" "&amp;"ngày",""),IF((NETWORKDAYS(R65,S65,'Danh sách ngày nghỉ lễ'!$B$5:$B$25)-VLOOKUP(P65,'Thời hạn'!$A$17:$B$23,2,0))&gt;1,"Quá hạn"&amp;" "&amp;(NETWORKDAYS(R65,S65,'Danh sách ngày nghỉ lễ'!$B$5:$B$25)-1-VLOOKUP(P65,'Thời hạn'!$A$17:$B$23,2,0))&amp;" "&amp;"ngày","")))))</f>
        <v/>
      </c>
      <c r="Z65" s="23">
        <v>1</v>
      </c>
    </row>
    <row r="66" spans="1:26" x14ac:dyDescent="0.3">
      <c r="A66" s="24">
        <v>1</v>
      </c>
      <c r="B66" s="39"/>
      <c r="C66" s="33"/>
      <c r="D66" s="25"/>
      <c r="E66" s="25"/>
      <c r="F66" s="34"/>
      <c r="G66" s="34"/>
      <c r="H66" s="25"/>
      <c r="I66" s="70" t="str">
        <f>IF(C66="Trả lại đơn vụ","",IF(C66="Trả lại đơn việc","",IF(C66="Hòa giải thành","",IF(F66=0,"",EDATE(F66,VLOOKUP(C66,'Thời hạn'!$D$1:$E$10,2,0))+H66))))</f>
        <v/>
      </c>
      <c r="J66" s="59" t="str">
        <f t="shared" ca="1" si="0"/>
        <v/>
      </c>
      <c r="K66" s="25"/>
      <c r="L66" s="129"/>
      <c r="M66" s="130"/>
      <c r="N66" s="35"/>
      <c r="O66" s="34"/>
      <c r="P66" s="25"/>
      <c r="Q66" s="25"/>
      <c r="R66" s="34"/>
      <c r="S66" s="34"/>
      <c r="T66" s="137"/>
      <c r="U66" s="137"/>
      <c r="V66" s="36"/>
      <c r="W66" s="37"/>
      <c r="X66" s="71" t="str">
        <f>IF(C66="Trả lại đơn vụ","",IF(C66="Trả lại đơn việc","",IF((NETWORKDAYS(F66,G66,'Danh sách ngày nghỉ lễ'!$B$5:$B$25)-1-3)&gt;0,"Quá hạn"&amp;" "&amp;(NETWORKDAYS(F66,G66,'Danh sách ngày nghỉ lễ'!$B$5:$B$25)-1-3)&amp;" "&amp;"ngày","")))</f>
        <v/>
      </c>
      <c r="Y66" s="72" t="str">
        <f>IF(S66=0,"",IF(P66="Chuyển","",IF(P66="Nhập vào vụ khác","",IF(P66="BA",IF((S66-R66)&gt;10,"Quá hạn"&amp;" "&amp;(S66-R66-10)&amp;" "&amp;"ngày",""),IF((NETWORKDAYS(R66,S66,'Danh sách ngày nghỉ lễ'!$B$5:$B$25)-VLOOKUP(P66,'Thời hạn'!$A$17:$B$23,2,0))&gt;1,"Quá hạn"&amp;" "&amp;(NETWORKDAYS(R66,S66,'Danh sách ngày nghỉ lễ'!$B$5:$B$25)-1-VLOOKUP(P66,'Thời hạn'!$A$17:$B$23,2,0))&amp;" "&amp;"ngày","")))))</f>
        <v/>
      </c>
      <c r="Z66" s="23">
        <v>1</v>
      </c>
    </row>
    <row r="67" spans="1:26" x14ac:dyDescent="0.3">
      <c r="A67" s="24">
        <v>1</v>
      </c>
      <c r="B67" s="39"/>
      <c r="C67" s="33"/>
      <c r="D67" s="25"/>
      <c r="E67" s="25"/>
      <c r="F67" s="34"/>
      <c r="G67" s="34"/>
      <c r="H67" s="25"/>
      <c r="I67" s="70" t="str">
        <f>IF(C67="Trả lại đơn vụ","",IF(C67="Trả lại đơn việc","",IF(C67="Hòa giải thành","",IF(F67=0,"",EDATE(F67,VLOOKUP(C67,'Thời hạn'!$D$1:$E$10,2,0))+H67))))</f>
        <v/>
      </c>
      <c r="J67" s="59" t="str">
        <f t="shared" ca="1" si="0"/>
        <v/>
      </c>
      <c r="K67" s="25"/>
      <c r="L67" s="129"/>
      <c r="M67" s="130"/>
      <c r="N67" s="35"/>
      <c r="O67" s="34"/>
      <c r="P67" s="25"/>
      <c r="Q67" s="25"/>
      <c r="R67" s="34"/>
      <c r="S67" s="34"/>
      <c r="T67" s="137"/>
      <c r="U67" s="137"/>
      <c r="V67" s="36"/>
      <c r="W67" s="37"/>
      <c r="X67" s="71" t="str">
        <f>IF(C67="Trả lại đơn vụ","",IF(C67="Trả lại đơn việc","",IF((NETWORKDAYS(F67,G67,'Danh sách ngày nghỉ lễ'!$B$5:$B$25)-1-3)&gt;0,"Quá hạn"&amp;" "&amp;(NETWORKDAYS(F67,G67,'Danh sách ngày nghỉ lễ'!$B$5:$B$25)-1-3)&amp;" "&amp;"ngày","")))</f>
        <v/>
      </c>
      <c r="Y67" s="72" t="str">
        <f>IF(S67=0,"",IF(P67="Chuyển","",IF(P67="Nhập vào vụ khác","",IF(P67="BA",IF((S67-R67)&gt;10,"Quá hạn"&amp;" "&amp;(S67-R67-10)&amp;" "&amp;"ngày",""),IF((NETWORKDAYS(R67,S67,'Danh sách ngày nghỉ lễ'!$B$5:$B$25)-VLOOKUP(P67,'Thời hạn'!$A$17:$B$23,2,0))&gt;1,"Quá hạn"&amp;" "&amp;(NETWORKDAYS(R67,S67,'Danh sách ngày nghỉ lễ'!$B$5:$B$25)-1-VLOOKUP(P67,'Thời hạn'!$A$17:$B$23,2,0))&amp;" "&amp;"ngày","")))))</f>
        <v/>
      </c>
      <c r="Z67" s="23">
        <v>1</v>
      </c>
    </row>
    <row r="68" spans="1:26" x14ac:dyDescent="0.3">
      <c r="A68" s="24">
        <v>1</v>
      </c>
      <c r="B68" s="39"/>
      <c r="C68" s="33"/>
      <c r="D68" s="25"/>
      <c r="E68" s="25"/>
      <c r="F68" s="34"/>
      <c r="G68" s="34"/>
      <c r="H68" s="25"/>
      <c r="I68" s="70" t="str">
        <f>IF(C68="Trả lại đơn vụ","",IF(C68="Trả lại đơn việc","",IF(C68="Hòa giải thành","",IF(F68=0,"",EDATE(F68,VLOOKUP(C68,'Thời hạn'!$D$1:$E$10,2,0))+H68))))</f>
        <v/>
      </c>
      <c r="J68" s="59" t="str">
        <f t="shared" ca="1" si="0"/>
        <v/>
      </c>
      <c r="K68" s="25"/>
      <c r="L68" s="129"/>
      <c r="M68" s="130"/>
      <c r="N68" s="35"/>
      <c r="O68" s="34"/>
      <c r="P68" s="25"/>
      <c r="Q68" s="25"/>
      <c r="R68" s="34"/>
      <c r="S68" s="34"/>
      <c r="T68" s="137"/>
      <c r="U68" s="137"/>
      <c r="V68" s="36"/>
      <c r="W68" s="37"/>
      <c r="X68" s="71" t="str">
        <f>IF(C68="Trả lại đơn vụ","",IF(C68="Trả lại đơn việc","",IF((NETWORKDAYS(F68,G68,'Danh sách ngày nghỉ lễ'!$B$5:$B$25)-1-3)&gt;0,"Quá hạn"&amp;" "&amp;(NETWORKDAYS(F68,G68,'Danh sách ngày nghỉ lễ'!$B$5:$B$25)-1-3)&amp;" "&amp;"ngày","")))</f>
        <v/>
      </c>
      <c r="Y68" s="72" t="str">
        <f>IF(S68=0,"",IF(P68="Chuyển","",IF(P68="Nhập vào vụ khác","",IF(P68="BA",IF((S68-R68)&gt;10,"Quá hạn"&amp;" "&amp;(S68-R68-10)&amp;" "&amp;"ngày",""),IF((NETWORKDAYS(R68,S68,'Danh sách ngày nghỉ lễ'!$B$5:$B$25)-VLOOKUP(P68,'Thời hạn'!$A$17:$B$23,2,0))&gt;1,"Quá hạn"&amp;" "&amp;(NETWORKDAYS(R68,S68,'Danh sách ngày nghỉ lễ'!$B$5:$B$25)-1-VLOOKUP(P68,'Thời hạn'!$A$17:$B$23,2,0))&amp;" "&amp;"ngày","")))))</f>
        <v/>
      </c>
      <c r="Z68" s="23">
        <v>1</v>
      </c>
    </row>
    <row r="69" spans="1:26" x14ac:dyDescent="0.3">
      <c r="A69" s="24">
        <v>1</v>
      </c>
      <c r="B69" s="39"/>
      <c r="C69" s="33"/>
      <c r="D69" s="25"/>
      <c r="E69" s="25"/>
      <c r="F69" s="34"/>
      <c r="G69" s="34"/>
      <c r="H69" s="25"/>
      <c r="I69" s="70" t="str">
        <f>IF(C69="Trả lại đơn vụ","",IF(C69="Trả lại đơn việc","",IF(C69="Hòa giải thành","",IF(F69=0,"",EDATE(F69,VLOOKUP(C69,'Thời hạn'!$D$1:$E$10,2,0))+H69))))</f>
        <v/>
      </c>
      <c r="J69" s="59" t="str">
        <f t="shared" ca="1" si="0"/>
        <v/>
      </c>
      <c r="K69" s="25"/>
      <c r="L69" s="129"/>
      <c r="M69" s="130"/>
      <c r="N69" s="35"/>
      <c r="O69" s="34"/>
      <c r="P69" s="25"/>
      <c r="Q69" s="25"/>
      <c r="R69" s="34"/>
      <c r="S69" s="34"/>
      <c r="T69" s="137"/>
      <c r="U69" s="137"/>
      <c r="V69" s="36"/>
      <c r="W69" s="37"/>
      <c r="X69" s="71" t="str">
        <f>IF(C69="Trả lại đơn vụ","",IF(C69="Trả lại đơn việc","",IF((NETWORKDAYS(F69,G69,'Danh sách ngày nghỉ lễ'!$B$5:$B$25)-1-3)&gt;0,"Quá hạn"&amp;" "&amp;(NETWORKDAYS(F69,G69,'Danh sách ngày nghỉ lễ'!$B$5:$B$25)-1-3)&amp;" "&amp;"ngày","")))</f>
        <v/>
      </c>
      <c r="Y69" s="72" t="str">
        <f>IF(S69=0,"",IF(P69="Chuyển","",IF(P69="Nhập vào vụ khác","",IF(P69="BA",IF((S69-R69)&gt;10,"Quá hạn"&amp;" "&amp;(S69-R69-10)&amp;" "&amp;"ngày",""),IF((NETWORKDAYS(R69,S69,'Danh sách ngày nghỉ lễ'!$B$5:$B$25)-VLOOKUP(P69,'Thời hạn'!$A$17:$B$23,2,0))&gt;1,"Quá hạn"&amp;" "&amp;(NETWORKDAYS(R69,S69,'Danh sách ngày nghỉ lễ'!$B$5:$B$25)-1-VLOOKUP(P69,'Thời hạn'!$A$17:$B$23,2,0))&amp;" "&amp;"ngày","")))))</f>
        <v/>
      </c>
      <c r="Z69" s="23">
        <v>1</v>
      </c>
    </row>
    <row r="70" spans="1:26" x14ac:dyDescent="0.3">
      <c r="A70" s="24">
        <v>1</v>
      </c>
      <c r="B70" s="39"/>
      <c r="C70" s="33"/>
      <c r="D70" s="25"/>
      <c r="E70" s="25"/>
      <c r="F70" s="34"/>
      <c r="G70" s="34"/>
      <c r="H70" s="25"/>
      <c r="I70" s="70" t="str">
        <f>IF(C70="Trả lại đơn vụ","",IF(C70="Trả lại đơn việc","",IF(C70="Hòa giải thành","",IF(F70=0,"",EDATE(F70,VLOOKUP(C70,'Thời hạn'!$D$1:$E$10,2,0))+H70))))</f>
        <v/>
      </c>
      <c r="J70" s="59" t="str">
        <f t="shared" ca="1" si="0"/>
        <v/>
      </c>
      <c r="K70" s="25"/>
      <c r="L70" s="129"/>
      <c r="M70" s="130"/>
      <c r="N70" s="35"/>
      <c r="O70" s="34"/>
      <c r="P70" s="25"/>
      <c r="Q70" s="25"/>
      <c r="R70" s="34"/>
      <c r="S70" s="34"/>
      <c r="T70" s="137"/>
      <c r="U70" s="137"/>
      <c r="V70" s="36"/>
      <c r="W70" s="37"/>
      <c r="X70" s="71" t="str">
        <f>IF(C70="Trả lại đơn vụ","",IF(C70="Trả lại đơn việc","",IF((NETWORKDAYS(F70,G70,'Danh sách ngày nghỉ lễ'!$B$5:$B$25)-1-3)&gt;0,"Quá hạn"&amp;" "&amp;(NETWORKDAYS(F70,G70,'Danh sách ngày nghỉ lễ'!$B$5:$B$25)-1-3)&amp;" "&amp;"ngày","")))</f>
        <v/>
      </c>
      <c r="Y70" s="72" t="str">
        <f>IF(S70=0,"",IF(P70="Chuyển","",IF(P70="Nhập vào vụ khác","",IF(P70="BA",IF((S70-R70)&gt;10,"Quá hạn"&amp;" "&amp;(S70-R70-10)&amp;" "&amp;"ngày",""),IF((NETWORKDAYS(R70,S70,'Danh sách ngày nghỉ lễ'!$B$5:$B$25)-VLOOKUP(P70,'Thời hạn'!$A$17:$B$23,2,0))&gt;1,"Quá hạn"&amp;" "&amp;(NETWORKDAYS(R70,S70,'Danh sách ngày nghỉ lễ'!$B$5:$B$25)-1-VLOOKUP(P70,'Thời hạn'!$A$17:$B$23,2,0))&amp;" "&amp;"ngày","")))))</f>
        <v/>
      </c>
      <c r="Z70" s="23">
        <v>1</v>
      </c>
    </row>
    <row r="71" spans="1:26" x14ac:dyDescent="0.3">
      <c r="A71" s="24">
        <v>1</v>
      </c>
      <c r="B71" s="39"/>
      <c r="C71" s="33"/>
      <c r="D71" s="25"/>
      <c r="E71" s="25"/>
      <c r="F71" s="34"/>
      <c r="G71" s="34"/>
      <c r="H71" s="25"/>
      <c r="I71" s="70" t="str">
        <f>IF(C71="Trả lại đơn vụ","",IF(C71="Trả lại đơn việc","",IF(C71="Hòa giải thành","",IF(F71=0,"",EDATE(F71,VLOOKUP(C71,'Thời hạn'!$D$1:$E$10,2,0))+H71))))</f>
        <v/>
      </c>
      <c r="J71" s="59" t="str">
        <f t="shared" ca="1" si="0"/>
        <v/>
      </c>
      <c r="K71" s="25"/>
      <c r="L71" s="129"/>
      <c r="M71" s="130"/>
      <c r="N71" s="35"/>
      <c r="O71" s="34"/>
      <c r="P71" s="25"/>
      <c r="Q71" s="25"/>
      <c r="R71" s="34"/>
      <c r="S71" s="34"/>
      <c r="T71" s="137"/>
      <c r="U71" s="137"/>
      <c r="V71" s="36"/>
      <c r="W71" s="37"/>
      <c r="X71" s="71" t="str">
        <f>IF(C71="Trả lại đơn vụ","",IF(C71="Trả lại đơn việc","",IF((NETWORKDAYS(F71,G71,'Danh sách ngày nghỉ lễ'!$B$5:$B$25)-1-3)&gt;0,"Quá hạn"&amp;" "&amp;(NETWORKDAYS(F71,G71,'Danh sách ngày nghỉ lễ'!$B$5:$B$25)-1-3)&amp;" "&amp;"ngày","")))</f>
        <v/>
      </c>
      <c r="Y71" s="72" t="str">
        <f>IF(S71=0,"",IF(P71="Chuyển","",IF(P71="Nhập vào vụ khác","",IF(P71="BA",IF((S71-R71)&gt;10,"Quá hạn"&amp;" "&amp;(S71-R71-10)&amp;" "&amp;"ngày",""),IF((NETWORKDAYS(R71,S71,'Danh sách ngày nghỉ lễ'!$B$5:$B$25)-VLOOKUP(P71,'Thời hạn'!$A$17:$B$23,2,0))&gt;1,"Quá hạn"&amp;" "&amp;(NETWORKDAYS(R71,S71,'Danh sách ngày nghỉ lễ'!$B$5:$B$25)-1-VLOOKUP(P71,'Thời hạn'!$A$17:$B$23,2,0))&amp;" "&amp;"ngày","")))))</f>
        <v/>
      </c>
      <c r="Z71" s="23">
        <v>1</v>
      </c>
    </row>
    <row r="72" spans="1:26" x14ac:dyDescent="0.3">
      <c r="A72" s="24">
        <v>1</v>
      </c>
      <c r="B72" s="39"/>
      <c r="C72" s="33"/>
      <c r="D72" s="25"/>
      <c r="E72" s="25"/>
      <c r="F72" s="34"/>
      <c r="G72" s="34"/>
      <c r="H72" s="25"/>
      <c r="I72" s="70" t="str">
        <f>IF(C72="Trả lại đơn vụ","",IF(C72="Trả lại đơn việc","",IF(C72="Hòa giải thành","",IF(F72=0,"",EDATE(F72,VLOOKUP(C72,'Thời hạn'!$D$1:$E$10,2,0))+H72))))</f>
        <v/>
      </c>
      <c r="J72" s="59" t="str">
        <f t="shared" ca="1" si="0"/>
        <v/>
      </c>
      <c r="K72" s="25"/>
      <c r="L72" s="129"/>
      <c r="M72" s="130"/>
      <c r="N72" s="35"/>
      <c r="O72" s="34"/>
      <c r="P72" s="25"/>
      <c r="Q72" s="25"/>
      <c r="R72" s="34"/>
      <c r="S72" s="34"/>
      <c r="T72" s="137"/>
      <c r="U72" s="137"/>
      <c r="V72" s="36"/>
      <c r="W72" s="37"/>
      <c r="X72" s="71" t="str">
        <f>IF(C72="Trả lại đơn vụ","",IF(C72="Trả lại đơn việc","",IF((NETWORKDAYS(F72,G72,'Danh sách ngày nghỉ lễ'!$B$5:$B$25)-1-3)&gt;0,"Quá hạn"&amp;" "&amp;(NETWORKDAYS(F72,G72,'Danh sách ngày nghỉ lễ'!$B$5:$B$25)-1-3)&amp;" "&amp;"ngày","")))</f>
        <v/>
      </c>
      <c r="Y72" s="72" t="str">
        <f>IF(S72=0,"",IF(P72="Chuyển","",IF(P72="Nhập vào vụ khác","",IF(P72="BA",IF((S72-R72)&gt;10,"Quá hạn"&amp;" "&amp;(S72-R72-10)&amp;" "&amp;"ngày",""),IF((NETWORKDAYS(R72,S72,'Danh sách ngày nghỉ lễ'!$B$5:$B$25)-VLOOKUP(P72,'Thời hạn'!$A$17:$B$23,2,0))&gt;1,"Quá hạn"&amp;" "&amp;(NETWORKDAYS(R72,S72,'Danh sách ngày nghỉ lễ'!$B$5:$B$25)-1-VLOOKUP(P72,'Thời hạn'!$A$17:$B$23,2,0))&amp;" "&amp;"ngày","")))))</f>
        <v/>
      </c>
      <c r="Z72" s="23">
        <v>1</v>
      </c>
    </row>
    <row r="73" spans="1:26" x14ac:dyDescent="0.3">
      <c r="A73" s="24">
        <v>1</v>
      </c>
      <c r="B73" s="39"/>
      <c r="C73" s="33"/>
      <c r="D73" s="25"/>
      <c r="E73" s="25"/>
      <c r="F73" s="34"/>
      <c r="G73" s="34"/>
      <c r="H73" s="25"/>
      <c r="I73" s="70" t="str">
        <f>IF(C73="Trả lại đơn vụ","",IF(C73="Trả lại đơn việc","",IF(C73="Hòa giải thành","",IF(F73=0,"",EDATE(F73,VLOOKUP(C73,'Thời hạn'!$D$1:$E$10,2,0))+H73))))</f>
        <v/>
      </c>
      <c r="J73" s="59" t="str">
        <f t="shared" ca="1" si="0"/>
        <v/>
      </c>
      <c r="K73" s="25"/>
      <c r="L73" s="129"/>
      <c r="M73" s="130"/>
      <c r="N73" s="35"/>
      <c r="O73" s="34"/>
      <c r="P73" s="25"/>
      <c r="Q73" s="25"/>
      <c r="R73" s="34"/>
      <c r="S73" s="34"/>
      <c r="T73" s="137"/>
      <c r="U73" s="137"/>
      <c r="V73" s="36"/>
      <c r="W73" s="37"/>
      <c r="X73" s="71" t="str">
        <f>IF(C73="Trả lại đơn vụ","",IF(C73="Trả lại đơn việc","",IF((NETWORKDAYS(F73,G73,'Danh sách ngày nghỉ lễ'!$B$5:$B$25)-1-3)&gt;0,"Quá hạn"&amp;" "&amp;(NETWORKDAYS(F73,G73,'Danh sách ngày nghỉ lễ'!$B$5:$B$25)-1-3)&amp;" "&amp;"ngày","")))</f>
        <v/>
      </c>
      <c r="Y73" s="72" t="str">
        <f>IF(S73=0,"",IF(P73="Chuyển","",IF(P73="Nhập vào vụ khác","",IF(P73="BA",IF((S73-R73)&gt;10,"Quá hạn"&amp;" "&amp;(S73-R73-10)&amp;" "&amp;"ngày",""),IF((NETWORKDAYS(R73,S73,'Danh sách ngày nghỉ lễ'!$B$5:$B$25)-VLOOKUP(P73,'Thời hạn'!$A$17:$B$23,2,0))&gt;1,"Quá hạn"&amp;" "&amp;(NETWORKDAYS(R73,S73,'Danh sách ngày nghỉ lễ'!$B$5:$B$25)-1-VLOOKUP(P73,'Thời hạn'!$A$17:$B$23,2,0))&amp;" "&amp;"ngày","")))))</f>
        <v/>
      </c>
      <c r="Z73" s="23">
        <v>1</v>
      </c>
    </row>
    <row r="74" spans="1:26" x14ac:dyDescent="0.3">
      <c r="A74" s="24">
        <v>1</v>
      </c>
      <c r="B74" s="39"/>
      <c r="C74" s="33"/>
      <c r="D74" s="25"/>
      <c r="E74" s="25"/>
      <c r="F74" s="34"/>
      <c r="G74" s="34"/>
      <c r="H74" s="25"/>
      <c r="I74" s="70" t="str">
        <f>IF(C74="Trả lại đơn vụ","",IF(C74="Trả lại đơn việc","",IF(C74="Hòa giải thành","",IF(F74=0,"",EDATE(F74,VLOOKUP(C74,'Thời hạn'!$D$1:$E$10,2,0))+H74))))</f>
        <v/>
      </c>
      <c r="J74" s="59" t="str">
        <f t="shared" ca="1" si="0"/>
        <v/>
      </c>
      <c r="K74" s="25"/>
      <c r="L74" s="129"/>
      <c r="M74" s="130"/>
      <c r="N74" s="35"/>
      <c r="O74" s="34"/>
      <c r="P74" s="25"/>
      <c r="Q74" s="25"/>
      <c r="R74" s="34"/>
      <c r="S74" s="34"/>
      <c r="T74" s="137"/>
      <c r="U74" s="137"/>
      <c r="V74" s="36"/>
      <c r="W74" s="37"/>
      <c r="X74" s="71" t="str">
        <f>IF(C74="Trả lại đơn vụ","",IF(C74="Trả lại đơn việc","",IF((NETWORKDAYS(F74,G74,'Danh sách ngày nghỉ lễ'!$B$5:$B$25)-1-3)&gt;0,"Quá hạn"&amp;" "&amp;(NETWORKDAYS(F74,G74,'Danh sách ngày nghỉ lễ'!$B$5:$B$25)-1-3)&amp;" "&amp;"ngày","")))</f>
        <v/>
      </c>
      <c r="Y74" s="72" t="str">
        <f>IF(S74=0,"",IF(P74="Chuyển","",IF(P74="Nhập vào vụ khác","",IF(P74="BA",IF((S74-R74)&gt;10,"Quá hạn"&amp;" "&amp;(S74-R74-10)&amp;" "&amp;"ngày",""),IF((NETWORKDAYS(R74,S74,'Danh sách ngày nghỉ lễ'!$B$5:$B$25)-VLOOKUP(P74,'Thời hạn'!$A$17:$B$23,2,0))&gt;1,"Quá hạn"&amp;" "&amp;(NETWORKDAYS(R74,S74,'Danh sách ngày nghỉ lễ'!$B$5:$B$25)-1-VLOOKUP(P74,'Thời hạn'!$A$17:$B$23,2,0))&amp;" "&amp;"ngày","")))))</f>
        <v/>
      </c>
      <c r="Z74" s="23">
        <v>1</v>
      </c>
    </row>
    <row r="75" spans="1:26" x14ac:dyDescent="0.3">
      <c r="A75" s="24">
        <v>1</v>
      </c>
      <c r="B75" s="39"/>
      <c r="C75" s="33"/>
      <c r="D75" s="25"/>
      <c r="E75" s="25"/>
      <c r="F75" s="34"/>
      <c r="G75" s="34"/>
      <c r="H75" s="25"/>
      <c r="I75" s="70" t="str">
        <f>IF(C75="Trả lại đơn vụ","",IF(C75="Trả lại đơn việc","",IF(C75="Hòa giải thành","",IF(F75=0,"",EDATE(F75,VLOOKUP(C75,'Thời hạn'!$D$1:$E$10,2,0))+H75))))</f>
        <v/>
      </c>
      <c r="J75" s="59" t="str">
        <f t="shared" ref="J75:J138" ca="1" si="1">IF(C75="Trả lại đơn vụ","",IF(C75="Trả lại đơn việc","",IF(C75="Hòa giải thành","",IF(N75=0,IF(P75=0,IF(F75=0,"",I75-TODAY()+1),""),""))))</f>
        <v/>
      </c>
      <c r="K75" s="25"/>
      <c r="L75" s="129"/>
      <c r="M75" s="130"/>
      <c r="N75" s="35"/>
      <c r="O75" s="34"/>
      <c r="P75" s="25"/>
      <c r="Q75" s="25"/>
      <c r="R75" s="34"/>
      <c r="S75" s="34"/>
      <c r="T75" s="137"/>
      <c r="U75" s="137"/>
      <c r="V75" s="36"/>
      <c r="W75" s="37"/>
      <c r="X75" s="71" t="str">
        <f>IF(C75="Trả lại đơn vụ","",IF(C75="Trả lại đơn việc","",IF((NETWORKDAYS(F75,G75,'Danh sách ngày nghỉ lễ'!$B$5:$B$25)-1-3)&gt;0,"Quá hạn"&amp;" "&amp;(NETWORKDAYS(F75,G75,'Danh sách ngày nghỉ lễ'!$B$5:$B$25)-1-3)&amp;" "&amp;"ngày","")))</f>
        <v/>
      </c>
      <c r="Y75" s="72" t="str">
        <f>IF(S75=0,"",IF(P75="Chuyển","",IF(P75="Nhập vào vụ khác","",IF(P75="BA",IF((S75-R75)&gt;10,"Quá hạn"&amp;" "&amp;(S75-R75-10)&amp;" "&amp;"ngày",""),IF((NETWORKDAYS(R75,S75,'Danh sách ngày nghỉ lễ'!$B$5:$B$25)-VLOOKUP(P75,'Thời hạn'!$A$17:$B$23,2,0))&gt;1,"Quá hạn"&amp;" "&amp;(NETWORKDAYS(R75,S75,'Danh sách ngày nghỉ lễ'!$B$5:$B$25)-1-VLOOKUP(P75,'Thời hạn'!$A$17:$B$23,2,0))&amp;" "&amp;"ngày","")))))</f>
        <v/>
      </c>
      <c r="Z75" s="23">
        <v>1</v>
      </c>
    </row>
    <row r="76" spans="1:26" x14ac:dyDescent="0.3">
      <c r="A76" s="24">
        <v>1</v>
      </c>
      <c r="B76" s="39"/>
      <c r="C76" s="33"/>
      <c r="D76" s="25"/>
      <c r="E76" s="25"/>
      <c r="F76" s="34"/>
      <c r="G76" s="34"/>
      <c r="H76" s="25"/>
      <c r="I76" s="70" t="str">
        <f>IF(C76="Trả lại đơn vụ","",IF(C76="Trả lại đơn việc","",IF(C76="Hòa giải thành","",IF(F76=0,"",EDATE(F76,VLOOKUP(C76,'Thời hạn'!$D$1:$E$10,2,0))+H76))))</f>
        <v/>
      </c>
      <c r="J76" s="59" t="str">
        <f t="shared" ca="1" si="1"/>
        <v/>
      </c>
      <c r="K76" s="25"/>
      <c r="L76" s="129"/>
      <c r="M76" s="130"/>
      <c r="N76" s="35"/>
      <c r="O76" s="34"/>
      <c r="P76" s="25"/>
      <c r="Q76" s="25"/>
      <c r="R76" s="34"/>
      <c r="S76" s="34"/>
      <c r="T76" s="137"/>
      <c r="U76" s="137"/>
      <c r="V76" s="36"/>
      <c r="W76" s="37"/>
      <c r="X76" s="71" t="str">
        <f>IF(C76="Trả lại đơn vụ","",IF(C76="Trả lại đơn việc","",IF((NETWORKDAYS(F76,G76,'Danh sách ngày nghỉ lễ'!$B$5:$B$25)-1-3)&gt;0,"Quá hạn"&amp;" "&amp;(NETWORKDAYS(F76,G76,'Danh sách ngày nghỉ lễ'!$B$5:$B$25)-1-3)&amp;" "&amp;"ngày","")))</f>
        <v/>
      </c>
      <c r="Y76" s="72" t="str">
        <f>IF(S76=0,"",IF(P76="Chuyển","",IF(P76="Nhập vào vụ khác","",IF(P76="BA",IF((S76-R76)&gt;10,"Quá hạn"&amp;" "&amp;(S76-R76-10)&amp;" "&amp;"ngày",""),IF((NETWORKDAYS(R76,S76,'Danh sách ngày nghỉ lễ'!$B$5:$B$25)-VLOOKUP(P76,'Thời hạn'!$A$17:$B$23,2,0))&gt;1,"Quá hạn"&amp;" "&amp;(NETWORKDAYS(R76,S76,'Danh sách ngày nghỉ lễ'!$B$5:$B$25)-1-VLOOKUP(P76,'Thời hạn'!$A$17:$B$23,2,0))&amp;" "&amp;"ngày","")))))</f>
        <v/>
      </c>
      <c r="Z76" s="23">
        <v>1</v>
      </c>
    </row>
    <row r="77" spans="1:26" x14ac:dyDescent="0.3">
      <c r="A77" s="24">
        <v>1</v>
      </c>
      <c r="B77" s="39"/>
      <c r="C77" s="33"/>
      <c r="D77" s="25"/>
      <c r="E77" s="25"/>
      <c r="F77" s="34"/>
      <c r="G77" s="34"/>
      <c r="H77" s="25"/>
      <c r="I77" s="70" t="str">
        <f>IF(C77="Trả lại đơn vụ","",IF(C77="Trả lại đơn việc","",IF(C77="Hòa giải thành","",IF(F77=0,"",EDATE(F77,VLOOKUP(C77,'Thời hạn'!$D$1:$E$10,2,0))+H77))))</f>
        <v/>
      </c>
      <c r="J77" s="59" t="str">
        <f t="shared" ca="1" si="1"/>
        <v/>
      </c>
      <c r="K77" s="25"/>
      <c r="L77" s="129"/>
      <c r="M77" s="130"/>
      <c r="N77" s="35"/>
      <c r="O77" s="34"/>
      <c r="P77" s="25"/>
      <c r="Q77" s="25"/>
      <c r="R77" s="34"/>
      <c r="S77" s="34"/>
      <c r="T77" s="137"/>
      <c r="U77" s="137"/>
      <c r="V77" s="36"/>
      <c r="W77" s="37"/>
      <c r="X77" s="71" t="str">
        <f>IF(C77="Trả lại đơn vụ","",IF(C77="Trả lại đơn việc","",IF((NETWORKDAYS(F77,G77,'Danh sách ngày nghỉ lễ'!$B$5:$B$25)-1-3)&gt;0,"Quá hạn"&amp;" "&amp;(NETWORKDAYS(F77,G77,'Danh sách ngày nghỉ lễ'!$B$5:$B$25)-1-3)&amp;" "&amp;"ngày","")))</f>
        <v/>
      </c>
      <c r="Y77" s="72" t="str">
        <f>IF(S77=0,"",IF(P77="Chuyển","",IF(P77="Nhập vào vụ khác","",IF(P77="BA",IF((S77-R77)&gt;10,"Quá hạn"&amp;" "&amp;(S77-R77-10)&amp;" "&amp;"ngày",""),IF((NETWORKDAYS(R77,S77,'Danh sách ngày nghỉ lễ'!$B$5:$B$25)-VLOOKUP(P77,'Thời hạn'!$A$17:$B$23,2,0))&gt;1,"Quá hạn"&amp;" "&amp;(NETWORKDAYS(R77,S77,'Danh sách ngày nghỉ lễ'!$B$5:$B$25)-1-VLOOKUP(P77,'Thời hạn'!$A$17:$B$23,2,0))&amp;" "&amp;"ngày","")))))</f>
        <v/>
      </c>
      <c r="Z77" s="23">
        <v>1</v>
      </c>
    </row>
    <row r="78" spans="1:26" x14ac:dyDescent="0.3">
      <c r="A78" s="24">
        <v>1</v>
      </c>
      <c r="B78" s="39"/>
      <c r="C78" s="33"/>
      <c r="D78" s="25"/>
      <c r="E78" s="25"/>
      <c r="F78" s="34"/>
      <c r="G78" s="34"/>
      <c r="H78" s="25"/>
      <c r="I78" s="70" t="str">
        <f>IF(C78="Trả lại đơn vụ","",IF(C78="Trả lại đơn việc","",IF(C78="Hòa giải thành","",IF(F78=0,"",EDATE(F78,VLOOKUP(C78,'Thời hạn'!$D$1:$E$10,2,0))+H78))))</f>
        <v/>
      </c>
      <c r="J78" s="59" t="str">
        <f t="shared" ca="1" si="1"/>
        <v/>
      </c>
      <c r="K78" s="25"/>
      <c r="L78" s="129"/>
      <c r="M78" s="130"/>
      <c r="N78" s="35"/>
      <c r="O78" s="34"/>
      <c r="P78" s="25"/>
      <c r="Q78" s="25"/>
      <c r="R78" s="34"/>
      <c r="S78" s="34"/>
      <c r="T78" s="137"/>
      <c r="U78" s="137"/>
      <c r="V78" s="36"/>
      <c r="W78" s="37"/>
      <c r="X78" s="71" t="str">
        <f>IF(C78="Trả lại đơn vụ","",IF(C78="Trả lại đơn việc","",IF((NETWORKDAYS(F78,G78,'Danh sách ngày nghỉ lễ'!$B$5:$B$25)-1-3)&gt;0,"Quá hạn"&amp;" "&amp;(NETWORKDAYS(F78,G78,'Danh sách ngày nghỉ lễ'!$B$5:$B$25)-1-3)&amp;" "&amp;"ngày","")))</f>
        <v/>
      </c>
      <c r="Y78" s="72" t="str">
        <f>IF(S78=0,"",IF(P78="Chuyển","",IF(P78="Nhập vào vụ khác","",IF(P78="BA",IF((S78-R78)&gt;10,"Quá hạn"&amp;" "&amp;(S78-R78-10)&amp;" "&amp;"ngày",""),IF((NETWORKDAYS(R78,S78,'Danh sách ngày nghỉ lễ'!$B$5:$B$25)-VLOOKUP(P78,'Thời hạn'!$A$17:$B$23,2,0))&gt;1,"Quá hạn"&amp;" "&amp;(NETWORKDAYS(R78,S78,'Danh sách ngày nghỉ lễ'!$B$5:$B$25)-1-VLOOKUP(P78,'Thời hạn'!$A$17:$B$23,2,0))&amp;" "&amp;"ngày","")))))</f>
        <v/>
      </c>
      <c r="Z78" s="23">
        <v>1</v>
      </c>
    </row>
    <row r="79" spans="1:26" x14ac:dyDescent="0.3">
      <c r="A79" s="24">
        <v>1</v>
      </c>
      <c r="B79" s="39"/>
      <c r="C79" s="33"/>
      <c r="D79" s="25"/>
      <c r="E79" s="25"/>
      <c r="F79" s="34"/>
      <c r="G79" s="34"/>
      <c r="H79" s="25"/>
      <c r="I79" s="70" t="str">
        <f>IF(C79="Trả lại đơn vụ","",IF(C79="Trả lại đơn việc","",IF(C79="Hòa giải thành","",IF(F79=0,"",EDATE(F79,VLOOKUP(C79,'Thời hạn'!$D$1:$E$10,2,0))+H79))))</f>
        <v/>
      </c>
      <c r="J79" s="59" t="str">
        <f t="shared" ca="1" si="1"/>
        <v/>
      </c>
      <c r="K79" s="25"/>
      <c r="L79" s="129"/>
      <c r="M79" s="130"/>
      <c r="N79" s="35"/>
      <c r="O79" s="34"/>
      <c r="P79" s="25"/>
      <c r="Q79" s="25"/>
      <c r="R79" s="34"/>
      <c r="S79" s="34"/>
      <c r="T79" s="137"/>
      <c r="U79" s="137"/>
      <c r="V79" s="36"/>
      <c r="W79" s="37"/>
      <c r="X79" s="71" t="str">
        <f>IF(C79="Trả lại đơn vụ","",IF(C79="Trả lại đơn việc","",IF((NETWORKDAYS(F79,G79,'Danh sách ngày nghỉ lễ'!$B$5:$B$25)-1-3)&gt;0,"Quá hạn"&amp;" "&amp;(NETWORKDAYS(F79,G79,'Danh sách ngày nghỉ lễ'!$B$5:$B$25)-1-3)&amp;" "&amp;"ngày","")))</f>
        <v/>
      </c>
      <c r="Y79" s="72" t="str">
        <f>IF(S79=0,"",IF(P79="Chuyển","",IF(P79="Nhập vào vụ khác","",IF(P79="BA",IF((S79-R79)&gt;10,"Quá hạn"&amp;" "&amp;(S79-R79-10)&amp;" "&amp;"ngày",""),IF((NETWORKDAYS(R79,S79,'Danh sách ngày nghỉ lễ'!$B$5:$B$25)-VLOOKUP(P79,'Thời hạn'!$A$17:$B$23,2,0))&gt;1,"Quá hạn"&amp;" "&amp;(NETWORKDAYS(R79,S79,'Danh sách ngày nghỉ lễ'!$B$5:$B$25)-1-VLOOKUP(P79,'Thời hạn'!$A$17:$B$23,2,0))&amp;" "&amp;"ngày","")))))</f>
        <v/>
      </c>
      <c r="Z79" s="23">
        <v>1</v>
      </c>
    </row>
    <row r="80" spans="1:26" x14ac:dyDescent="0.3">
      <c r="A80" s="24">
        <v>1</v>
      </c>
      <c r="B80" s="39"/>
      <c r="C80" s="33"/>
      <c r="D80" s="25"/>
      <c r="E80" s="25"/>
      <c r="F80" s="34"/>
      <c r="G80" s="34"/>
      <c r="H80" s="25"/>
      <c r="I80" s="70" t="str">
        <f>IF(C80="Trả lại đơn vụ","",IF(C80="Trả lại đơn việc","",IF(C80="Hòa giải thành","",IF(F80=0,"",EDATE(F80,VLOOKUP(C80,'Thời hạn'!$D$1:$E$10,2,0))+H80))))</f>
        <v/>
      </c>
      <c r="J80" s="59" t="str">
        <f t="shared" ca="1" si="1"/>
        <v/>
      </c>
      <c r="K80" s="25"/>
      <c r="L80" s="129"/>
      <c r="M80" s="130"/>
      <c r="N80" s="35"/>
      <c r="O80" s="34"/>
      <c r="P80" s="25"/>
      <c r="Q80" s="25"/>
      <c r="R80" s="34"/>
      <c r="S80" s="34"/>
      <c r="T80" s="137"/>
      <c r="U80" s="137"/>
      <c r="V80" s="36"/>
      <c r="W80" s="37"/>
      <c r="X80" s="71" t="str">
        <f>IF(C80="Trả lại đơn vụ","",IF(C80="Trả lại đơn việc","",IF((NETWORKDAYS(F80,G80,'Danh sách ngày nghỉ lễ'!$B$5:$B$25)-1-3)&gt;0,"Quá hạn"&amp;" "&amp;(NETWORKDAYS(F80,G80,'Danh sách ngày nghỉ lễ'!$B$5:$B$25)-1-3)&amp;" "&amp;"ngày","")))</f>
        <v/>
      </c>
      <c r="Y80" s="72" t="str">
        <f>IF(S80=0,"",IF(P80="Chuyển","",IF(P80="Nhập vào vụ khác","",IF(P80="BA",IF((S80-R80)&gt;10,"Quá hạn"&amp;" "&amp;(S80-R80-10)&amp;" "&amp;"ngày",""),IF((NETWORKDAYS(R80,S80,'Danh sách ngày nghỉ lễ'!$B$5:$B$25)-VLOOKUP(P80,'Thời hạn'!$A$17:$B$23,2,0))&gt;1,"Quá hạn"&amp;" "&amp;(NETWORKDAYS(R80,S80,'Danh sách ngày nghỉ lễ'!$B$5:$B$25)-1-VLOOKUP(P80,'Thời hạn'!$A$17:$B$23,2,0))&amp;" "&amp;"ngày","")))))</f>
        <v/>
      </c>
      <c r="Z80" s="23">
        <v>1</v>
      </c>
    </row>
    <row r="81" spans="1:26" x14ac:dyDescent="0.3">
      <c r="A81" s="24">
        <v>1</v>
      </c>
      <c r="B81" s="39"/>
      <c r="C81" s="33"/>
      <c r="D81" s="25"/>
      <c r="E81" s="25"/>
      <c r="F81" s="34"/>
      <c r="G81" s="34"/>
      <c r="H81" s="25"/>
      <c r="I81" s="70" t="str">
        <f>IF(C81="Trả lại đơn vụ","",IF(C81="Trả lại đơn việc","",IF(C81="Hòa giải thành","",IF(F81=0,"",EDATE(F81,VLOOKUP(C81,'Thời hạn'!$D$1:$E$10,2,0))+H81))))</f>
        <v/>
      </c>
      <c r="J81" s="59" t="str">
        <f t="shared" ca="1" si="1"/>
        <v/>
      </c>
      <c r="K81" s="25"/>
      <c r="L81" s="129"/>
      <c r="M81" s="130"/>
      <c r="N81" s="35"/>
      <c r="O81" s="34"/>
      <c r="P81" s="25"/>
      <c r="Q81" s="25"/>
      <c r="R81" s="34"/>
      <c r="S81" s="34"/>
      <c r="T81" s="137"/>
      <c r="U81" s="137"/>
      <c r="V81" s="36"/>
      <c r="W81" s="37"/>
      <c r="X81" s="71" t="str">
        <f>IF(C81="Trả lại đơn vụ","",IF(C81="Trả lại đơn việc","",IF((NETWORKDAYS(F81,G81,'Danh sách ngày nghỉ lễ'!$B$5:$B$25)-1-3)&gt;0,"Quá hạn"&amp;" "&amp;(NETWORKDAYS(F81,G81,'Danh sách ngày nghỉ lễ'!$B$5:$B$25)-1-3)&amp;" "&amp;"ngày","")))</f>
        <v/>
      </c>
      <c r="Y81" s="72" t="str">
        <f>IF(S81=0,"",IF(P81="Chuyển","",IF(P81="Nhập vào vụ khác","",IF(P81="BA",IF((S81-R81)&gt;10,"Quá hạn"&amp;" "&amp;(S81-R81-10)&amp;" "&amp;"ngày",""),IF((NETWORKDAYS(R81,S81,'Danh sách ngày nghỉ lễ'!$B$5:$B$25)-VLOOKUP(P81,'Thời hạn'!$A$17:$B$23,2,0))&gt;1,"Quá hạn"&amp;" "&amp;(NETWORKDAYS(R81,S81,'Danh sách ngày nghỉ lễ'!$B$5:$B$25)-1-VLOOKUP(P81,'Thời hạn'!$A$17:$B$23,2,0))&amp;" "&amp;"ngày","")))))</f>
        <v/>
      </c>
      <c r="Z81" s="23">
        <v>1</v>
      </c>
    </row>
    <row r="82" spans="1:26" x14ac:dyDescent="0.3">
      <c r="A82" s="24">
        <v>1</v>
      </c>
      <c r="B82" s="39"/>
      <c r="C82" s="33"/>
      <c r="D82" s="25"/>
      <c r="E82" s="25"/>
      <c r="F82" s="34"/>
      <c r="G82" s="34"/>
      <c r="H82" s="25"/>
      <c r="I82" s="70" t="str">
        <f>IF(C82="Trả lại đơn vụ","",IF(C82="Trả lại đơn việc","",IF(C82="Hòa giải thành","",IF(F82=0,"",EDATE(F82,VLOOKUP(C82,'Thời hạn'!$D$1:$E$10,2,0))+H82))))</f>
        <v/>
      </c>
      <c r="J82" s="59" t="str">
        <f t="shared" ca="1" si="1"/>
        <v/>
      </c>
      <c r="K82" s="25"/>
      <c r="L82" s="129"/>
      <c r="M82" s="130"/>
      <c r="N82" s="35"/>
      <c r="O82" s="34"/>
      <c r="P82" s="25"/>
      <c r="Q82" s="25"/>
      <c r="R82" s="34"/>
      <c r="S82" s="34"/>
      <c r="T82" s="137"/>
      <c r="U82" s="137"/>
      <c r="V82" s="36"/>
      <c r="W82" s="37"/>
      <c r="X82" s="71" t="str">
        <f>IF(C82="Trả lại đơn vụ","",IF(C82="Trả lại đơn việc","",IF((NETWORKDAYS(F82,G82,'Danh sách ngày nghỉ lễ'!$B$5:$B$25)-1-3)&gt;0,"Quá hạn"&amp;" "&amp;(NETWORKDAYS(F82,G82,'Danh sách ngày nghỉ lễ'!$B$5:$B$25)-1-3)&amp;" "&amp;"ngày","")))</f>
        <v/>
      </c>
      <c r="Y82" s="72" t="str">
        <f>IF(S82=0,"",IF(P82="Chuyển","",IF(P82="Nhập vào vụ khác","",IF(P82="BA",IF((S82-R82)&gt;10,"Quá hạn"&amp;" "&amp;(S82-R82-10)&amp;" "&amp;"ngày",""),IF((NETWORKDAYS(R82,S82,'Danh sách ngày nghỉ lễ'!$B$5:$B$25)-VLOOKUP(P82,'Thời hạn'!$A$17:$B$23,2,0))&gt;1,"Quá hạn"&amp;" "&amp;(NETWORKDAYS(R82,S82,'Danh sách ngày nghỉ lễ'!$B$5:$B$25)-1-VLOOKUP(P82,'Thời hạn'!$A$17:$B$23,2,0))&amp;" "&amp;"ngày","")))))</f>
        <v/>
      </c>
      <c r="Z82" s="23">
        <v>1</v>
      </c>
    </row>
    <row r="83" spans="1:26" x14ac:dyDescent="0.3">
      <c r="A83" s="24">
        <v>1</v>
      </c>
      <c r="B83" s="39"/>
      <c r="C83" s="33"/>
      <c r="D83" s="25"/>
      <c r="E83" s="25"/>
      <c r="F83" s="34"/>
      <c r="G83" s="34"/>
      <c r="H83" s="25"/>
      <c r="I83" s="70" t="str">
        <f>IF(C83="Trả lại đơn vụ","",IF(C83="Trả lại đơn việc","",IF(C83="Hòa giải thành","",IF(F83=0,"",EDATE(F83,VLOOKUP(C83,'Thời hạn'!$D$1:$E$10,2,0))+H83))))</f>
        <v/>
      </c>
      <c r="J83" s="59" t="str">
        <f t="shared" ca="1" si="1"/>
        <v/>
      </c>
      <c r="K83" s="25"/>
      <c r="L83" s="129"/>
      <c r="M83" s="130"/>
      <c r="N83" s="35"/>
      <c r="O83" s="34"/>
      <c r="P83" s="25"/>
      <c r="Q83" s="25"/>
      <c r="R83" s="34"/>
      <c r="S83" s="34"/>
      <c r="T83" s="137"/>
      <c r="U83" s="137"/>
      <c r="V83" s="36"/>
      <c r="W83" s="37"/>
      <c r="X83" s="71" t="str">
        <f>IF(C83="Trả lại đơn vụ","",IF(C83="Trả lại đơn việc","",IF((NETWORKDAYS(F83,G83,'Danh sách ngày nghỉ lễ'!$B$5:$B$25)-1-3)&gt;0,"Quá hạn"&amp;" "&amp;(NETWORKDAYS(F83,G83,'Danh sách ngày nghỉ lễ'!$B$5:$B$25)-1-3)&amp;" "&amp;"ngày","")))</f>
        <v/>
      </c>
      <c r="Y83" s="72" t="str">
        <f>IF(S83=0,"",IF(P83="Chuyển","",IF(P83="Nhập vào vụ khác","",IF(P83="BA",IF((S83-R83)&gt;10,"Quá hạn"&amp;" "&amp;(S83-R83-10)&amp;" "&amp;"ngày",""),IF((NETWORKDAYS(R83,S83,'Danh sách ngày nghỉ lễ'!$B$5:$B$25)-VLOOKUP(P83,'Thời hạn'!$A$17:$B$23,2,0))&gt;1,"Quá hạn"&amp;" "&amp;(NETWORKDAYS(R83,S83,'Danh sách ngày nghỉ lễ'!$B$5:$B$25)-1-VLOOKUP(P83,'Thời hạn'!$A$17:$B$23,2,0))&amp;" "&amp;"ngày","")))))</f>
        <v/>
      </c>
      <c r="Z83" s="23">
        <v>1</v>
      </c>
    </row>
    <row r="84" spans="1:26" x14ac:dyDescent="0.3">
      <c r="A84" s="24">
        <v>1</v>
      </c>
      <c r="B84" s="39"/>
      <c r="C84" s="33"/>
      <c r="D84" s="25"/>
      <c r="E84" s="25"/>
      <c r="F84" s="34"/>
      <c r="G84" s="34"/>
      <c r="H84" s="25"/>
      <c r="I84" s="70" t="str">
        <f>IF(C84="Trả lại đơn vụ","",IF(C84="Trả lại đơn việc","",IF(C84="Hòa giải thành","",IF(F84=0,"",EDATE(F84,VLOOKUP(C84,'Thời hạn'!$D$1:$E$10,2,0))+H84))))</f>
        <v/>
      </c>
      <c r="J84" s="59" t="str">
        <f t="shared" ca="1" si="1"/>
        <v/>
      </c>
      <c r="K84" s="25"/>
      <c r="L84" s="129"/>
      <c r="M84" s="130"/>
      <c r="N84" s="35"/>
      <c r="O84" s="34"/>
      <c r="P84" s="25"/>
      <c r="Q84" s="25"/>
      <c r="R84" s="34"/>
      <c r="S84" s="34"/>
      <c r="T84" s="137"/>
      <c r="U84" s="137"/>
      <c r="V84" s="36"/>
      <c r="W84" s="37"/>
      <c r="X84" s="71" t="str">
        <f>IF(C84="Trả lại đơn vụ","",IF(C84="Trả lại đơn việc","",IF((NETWORKDAYS(F84,G84,'Danh sách ngày nghỉ lễ'!$B$5:$B$25)-1-3)&gt;0,"Quá hạn"&amp;" "&amp;(NETWORKDAYS(F84,G84,'Danh sách ngày nghỉ lễ'!$B$5:$B$25)-1-3)&amp;" "&amp;"ngày","")))</f>
        <v/>
      </c>
      <c r="Y84" s="72" t="str">
        <f>IF(S84=0,"",IF(P84="Chuyển","",IF(P84="Nhập vào vụ khác","",IF(P84="BA",IF((S84-R84)&gt;10,"Quá hạn"&amp;" "&amp;(S84-R84-10)&amp;" "&amp;"ngày",""),IF((NETWORKDAYS(R84,S84,'Danh sách ngày nghỉ lễ'!$B$5:$B$25)-VLOOKUP(P84,'Thời hạn'!$A$17:$B$23,2,0))&gt;1,"Quá hạn"&amp;" "&amp;(NETWORKDAYS(R84,S84,'Danh sách ngày nghỉ lễ'!$B$5:$B$25)-1-VLOOKUP(P84,'Thời hạn'!$A$17:$B$23,2,0))&amp;" "&amp;"ngày","")))))</f>
        <v/>
      </c>
      <c r="Z84" s="23">
        <v>1</v>
      </c>
    </row>
    <row r="85" spans="1:26" x14ac:dyDescent="0.3">
      <c r="A85" s="24">
        <v>1</v>
      </c>
      <c r="B85" s="39"/>
      <c r="C85" s="33"/>
      <c r="D85" s="25"/>
      <c r="E85" s="25"/>
      <c r="F85" s="34"/>
      <c r="G85" s="34"/>
      <c r="H85" s="25"/>
      <c r="I85" s="70" t="str">
        <f>IF(C85="Trả lại đơn vụ","",IF(C85="Trả lại đơn việc","",IF(C85="Hòa giải thành","",IF(F85=0,"",EDATE(F85,VLOOKUP(C85,'Thời hạn'!$D$1:$E$10,2,0))+H85))))</f>
        <v/>
      </c>
      <c r="J85" s="59" t="str">
        <f t="shared" ca="1" si="1"/>
        <v/>
      </c>
      <c r="K85" s="25"/>
      <c r="L85" s="129"/>
      <c r="M85" s="130"/>
      <c r="N85" s="35"/>
      <c r="O85" s="34"/>
      <c r="P85" s="25"/>
      <c r="Q85" s="25"/>
      <c r="R85" s="34"/>
      <c r="S85" s="34"/>
      <c r="T85" s="137"/>
      <c r="U85" s="137"/>
      <c r="V85" s="36"/>
      <c r="W85" s="37"/>
      <c r="X85" s="71" t="str">
        <f>IF(C85="Trả lại đơn vụ","",IF(C85="Trả lại đơn việc","",IF((NETWORKDAYS(F85,G85,'Danh sách ngày nghỉ lễ'!$B$5:$B$25)-1-3)&gt;0,"Quá hạn"&amp;" "&amp;(NETWORKDAYS(F85,G85,'Danh sách ngày nghỉ lễ'!$B$5:$B$25)-1-3)&amp;" "&amp;"ngày","")))</f>
        <v/>
      </c>
      <c r="Y85" s="72" t="str">
        <f>IF(S85=0,"",IF(P85="Chuyển","",IF(P85="Nhập vào vụ khác","",IF(P85="BA",IF((S85-R85)&gt;10,"Quá hạn"&amp;" "&amp;(S85-R85-10)&amp;" "&amp;"ngày",""),IF((NETWORKDAYS(R85,S85,'Danh sách ngày nghỉ lễ'!$B$5:$B$25)-VLOOKUP(P85,'Thời hạn'!$A$17:$B$23,2,0))&gt;1,"Quá hạn"&amp;" "&amp;(NETWORKDAYS(R85,S85,'Danh sách ngày nghỉ lễ'!$B$5:$B$25)-1-VLOOKUP(P85,'Thời hạn'!$A$17:$B$23,2,0))&amp;" "&amp;"ngày","")))))</f>
        <v/>
      </c>
      <c r="Z85" s="23">
        <v>1</v>
      </c>
    </row>
    <row r="86" spans="1:26" x14ac:dyDescent="0.3">
      <c r="A86" s="24">
        <v>1</v>
      </c>
      <c r="B86" s="39"/>
      <c r="C86" s="33"/>
      <c r="D86" s="25"/>
      <c r="E86" s="25"/>
      <c r="F86" s="34"/>
      <c r="G86" s="34"/>
      <c r="H86" s="25"/>
      <c r="I86" s="70" t="str">
        <f>IF(C86="Trả lại đơn vụ","",IF(C86="Trả lại đơn việc","",IF(C86="Hòa giải thành","",IF(F86=0,"",EDATE(F86,VLOOKUP(C86,'Thời hạn'!$D$1:$E$10,2,0))+H86))))</f>
        <v/>
      </c>
      <c r="J86" s="59" t="str">
        <f t="shared" ca="1" si="1"/>
        <v/>
      </c>
      <c r="K86" s="25"/>
      <c r="L86" s="129"/>
      <c r="M86" s="130"/>
      <c r="N86" s="35"/>
      <c r="O86" s="34"/>
      <c r="P86" s="25"/>
      <c r="Q86" s="25"/>
      <c r="R86" s="34"/>
      <c r="S86" s="34"/>
      <c r="T86" s="137"/>
      <c r="U86" s="137"/>
      <c r="V86" s="36"/>
      <c r="W86" s="37"/>
      <c r="X86" s="71" t="str">
        <f>IF(C86="Trả lại đơn vụ","",IF(C86="Trả lại đơn việc","",IF((NETWORKDAYS(F86,G86,'Danh sách ngày nghỉ lễ'!$B$5:$B$25)-1-3)&gt;0,"Quá hạn"&amp;" "&amp;(NETWORKDAYS(F86,G86,'Danh sách ngày nghỉ lễ'!$B$5:$B$25)-1-3)&amp;" "&amp;"ngày","")))</f>
        <v/>
      </c>
      <c r="Y86" s="72" t="str">
        <f>IF(S86=0,"",IF(P86="Chuyển","",IF(P86="Nhập vào vụ khác","",IF(P86="BA",IF((S86-R86)&gt;10,"Quá hạn"&amp;" "&amp;(S86-R86-10)&amp;" "&amp;"ngày",""),IF((NETWORKDAYS(R86,S86,'Danh sách ngày nghỉ lễ'!$B$5:$B$25)-VLOOKUP(P86,'Thời hạn'!$A$17:$B$23,2,0))&gt;1,"Quá hạn"&amp;" "&amp;(NETWORKDAYS(R86,S86,'Danh sách ngày nghỉ lễ'!$B$5:$B$25)-1-VLOOKUP(P86,'Thời hạn'!$A$17:$B$23,2,0))&amp;" "&amp;"ngày","")))))</f>
        <v/>
      </c>
      <c r="Z86" s="23">
        <v>1</v>
      </c>
    </row>
    <row r="87" spans="1:26" x14ac:dyDescent="0.3">
      <c r="A87" s="24">
        <v>1</v>
      </c>
      <c r="B87" s="39"/>
      <c r="C87" s="33"/>
      <c r="D87" s="25"/>
      <c r="E87" s="25"/>
      <c r="F87" s="34"/>
      <c r="G87" s="34"/>
      <c r="H87" s="25"/>
      <c r="I87" s="70" t="str">
        <f>IF(C87="Trả lại đơn vụ","",IF(C87="Trả lại đơn việc","",IF(C87="Hòa giải thành","",IF(F87=0,"",EDATE(F87,VLOOKUP(C87,'Thời hạn'!$D$1:$E$10,2,0))+H87))))</f>
        <v/>
      </c>
      <c r="J87" s="59" t="str">
        <f t="shared" ca="1" si="1"/>
        <v/>
      </c>
      <c r="K87" s="25"/>
      <c r="L87" s="129"/>
      <c r="M87" s="130"/>
      <c r="N87" s="35"/>
      <c r="O87" s="34"/>
      <c r="P87" s="25"/>
      <c r="Q87" s="25"/>
      <c r="R87" s="34"/>
      <c r="S87" s="34"/>
      <c r="T87" s="137"/>
      <c r="U87" s="137"/>
      <c r="V87" s="36"/>
      <c r="W87" s="37"/>
      <c r="X87" s="71" t="str">
        <f>IF(C87="Trả lại đơn vụ","",IF(C87="Trả lại đơn việc","",IF((NETWORKDAYS(F87,G87,'Danh sách ngày nghỉ lễ'!$B$5:$B$25)-1-3)&gt;0,"Quá hạn"&amp;" "&amp;(NETWORKDAYS(F87,G87,'Danh sách ngày nghỉ lễ'!$B$5:$B$25)-1-3)&amp;" "&amp;"ngày","")))</f>
        <v/>
      </c>
      <c r="Y87" s="72" t="str">
        <f>IF(S87=0,"",IF(P87="Chuyển","",IF(P87="Nhập vào vụ khác","",IF(P87="BA",IF((S87-R87)&gt;10,"Quá hạn"&amp;" "&amp;(S87-R87-10)&amp;" "&amp;"ngày",""),IF((NETWORKDAYS(R87,S87,'Danh sách ngày nghỉ lễ'!$B$5:$B$25)-VLOOKUP(P87,'Thời hạn'!$A$17:$B$23,2,0))&gt;1,"Quá hạn"&amp;" "&amp;(NETWORKDAYS(R87,S87,'Danh sách ngày nghỉ lễ'!$B$5:$B$25)-1-VLOOKUP(P87,'Thời hạn'!$A$17:$B$23,2,0))&amp;" "&amp;"ngày","")))))</f>
        <v/>
      </c>
      <c r="Z87" s="23">
        <v>1</v>
      </c>
    </row>
    <row r="88" spans="1:26" x14ac:dyDescent="0.3">
      <c r="A88" s="24">
        <v>1</v>
      </c>
      <c r="B88" s="39"/>
      <c r="C88" s="33"/>
      <c r="D88" s="25"/>
      <c r="E88" s="25"/>
      <c r="F88" s="34"/>
      <c r="G88" s="34"/>
      <c r="H88" s="25"/>
      <c r="I88" s="70" t="str">
        <f>IF(C88="Trả lại đơn vụ","",IF(C88="Trả lại đơn việc","",IF(C88="Hòa giải thành","",IF(F88=0,"",EDATE(F88,VLOOKUP(C88,'Thời hạn'!$D$1:$E$10,2,0))+H88))))</f>
        <v/>
      </c>
      <c r="J88" s="59" t="str">
        <f t="shared" ca="1" si="1"/>
        <v/>
      </c>
      <c r="K88" s="25"/>
      <c r="L88" s="129"/>
      <c r="M88" s="130"/>
      <c r="N88" s="35"/>
      <c r="O88" s="34"/>
      <c r="P88" s="25"/>
      <c r="Q88" s="25"/>
      <c r="R88" s="34"/>
      <c r="S88" s="34"/>
      <c r="T88" s="137"/>
      <c r="U88" s="137"/>
      <c r="V88" s="36"/>
      <c r="W88" s="37"/>
      <c r="X88" s="71" t="str">
        <f>IF(C88="Trả lại đơn vụ","",IF(C88="Trả lại đơn việc","",IF((NETWORKDAYS(F88,G88,'Danh sách ngày nghỉ lễ'!$B$5:$B$25)-1-3)&gt;0,"Quá hạn"&amp;" "&amp;(NETWORKDAYS(F88,G88,'Danh sách ngày nghỉ lễ'!$B$5:$B$25)-1-3)&amp;" "&amp;"ngày","")))</f>
        <v/>
      </c>
      <c r="Y88" s="72" t="str">
        <f>IF(S88=0,"",IF(P88="Chuyển","",IF(P88="Nhập vào vụ khác","",IF(P88="BA",IF((S88-R88)&gt;10,"Quá hạn"&amp;" "&amp;(S88-R88-10)&amp;" "&amp;"ngày",""),IF((NETWORKDAYS(R88,S88,'Danh sách ngày nghỉ lễ'!$B$5:$B$25)-VLOOKUP(P88,'Thời hạn'!$A$17:$B$23,2,0))&gt;1,"Quá hạn"&amp;" "&amp;(NETWORKDAYS(R88,S88,'Danh sách ngày nghỉ lễ'!$B$5:$B$25)-1-VLOOKUP(P88,'Thời hạn'!$A$17:$B$23,2,0))&amp;" "&amp;"ngày","")))))</f>
        <v/>
      </c>
      <c r="Z88" s="23">
        <v>1</v>
      </c>
    </row>
    <row r="89" spans="1:26" x14ac:dyDescent="0.3">
      <c r="A89" s="24">
        <v>1</v>
      </c>
      <c r="B89" s="39"/>
      <c r="C89" s="33"/>
      <c r="D89" s="25"/>
      <c r="E89" s="25"/>
      <c r="F89" s="34"/>
      <c r="G89" s="34"/>
      <c r="H89" s="25"/>
      <c r="I89" s="70" t="str">
        <f>IF(C89="Trả lại đơn vụ","",IF(C89="Trả lại đơn việc","",IF(C89="Hòa giải thành","",IF(F89=0,"",EDATE(F89,VLOOKUP(C89,'Thời hạn'!$D$1:$E$10,2,0))+H89))))</f>
        <v/>
      </c>
      <c r="J89" s="59" t="str">
        <f t="shared" ca="1" si="1"/>
        <v/>
      </c>
      <c r="K89" s="25"/>
      <c r="L89" s="129"/>
      <c r="M89" s="130"/>
      <c r="N89" s="35"/>
      <c r="O89" s="34"/>
      <c r="P89" s="25"/>
      <c r="Q89" s="25"/>
      <c r="R89" s="34"/>
      <c r="S89" s="34"/>
      <c r="T89" s="137"/>
      <c r="U89" s="137"/>
      <c r="V89" s="36"/>
      <c r="W89" s="37"/>
      <c r="X89" s="71" t="str">
        <f>IF(C89="Trả lại đơn vụ","",IF(C89="Trả lại đơn việc","",IF((NETWORKDAYS(F89,G89,'Danh sách ngày nghỉ lễ'!$B$5:$B$25)-1-3)&gt;0,"Quá hạn"&amp;" "&amp;(NETWORKDAYS(F89,G89,'Danh sách ngày nghỉ lễ'!$B$5:$B$25)-1-3)&amp;" "&amp;"ngày","")))</f>
        <v/>
      </c>
      <c r="Y89" s="72" t="str">
        <f>IF(S89=0,"",IF(P89="Chuyển","",IF(P89="Nhập vào vụ khác","",IF(P89="BA",IF((S89-R89)&gt;10,"Quá hạn"&amp;" "&amp;(S89-R89-10)&amp;" "&amp;"ngày",""),IF((NETWORKDAYS(R89,S89,'Danh sách ngày nghỉ lễ'!$B$5:$B$25)-VLOOKUP(P89,'Thời hạn'!$A$17:$B$23,2,0))&gt;1,"Quá hạn"&amp;" "&amp;(NETWORKDAYS(R89,S89,'Danh sách ngày nghỉ lễ'!$B$5:$B$25)-1-VLOOKUP(P89,'Thời hạn'!$A$17:$B$23,2,0))&amp;" "&amp;"ngày","")))))</f>
        <v/>
      </c>
      <c r="Z89" s="23">
        <v>1</v>
      </c>
    </row>
    <row r="90" spans="1:26" x14ac:dyDescent="0.3">
      <c r="A90" s="24">
        <v>1</v>
      </c>
      <c r="B90" s="39"/>
      <c r="C90" s="33"/>
      <c r="D90" s="25"/>
      <c r="E90" s="25"/>
      <c r="F90" s="34"/>
      <c r="G90" s="34"/>
      <c r="H90" s="25"/>
      <c r="I90" s="70" t="str">
        <f>IF(C90="Trả lại đơn vụ","",IF(C90="Trả lại đơn việc","",IF(C90="Hòa giải thành","",IF(F90=0,"",EDATE(F90,VLOOKUP(C90,'Thời hạn'!$D$1:$E$10,2,0))+H90))))</f>
        <v/>
      </c>
      <c r="J90" s="59" t="str">
        <f t="shared" ca="1" si="1"/>
        <v/>
      </c>
      <c r="K90" s="25"/>
      <c r="L90" s="129"/>
      <c r="M90" s="130"/>
      <c r="N90" s="35"/>
      <c r="O90" s="34"/>
      <c r="P90" s="25"/>
      <c r="Q90" s="25"/>
      <c r="R90" s="34"/>
      <c r="S90" s="34"/>
      <c r="T90" s="137"/>
      <c r="U90" s="137"/>
      <c r="V90" s="36"/>
      <c r="W90" s="37"/>
      <c r="X90" s="71" t="str">
        <f>IF(C90="Trả lại đơn vụ","",IF(C90="Trả lại đơn việc","",IF((NETWORKDAYS(F90,G90,'Danh sách ngày nghỉ lễ'!$B$5:$B$25)-1-3)&gt;0,"Quá hạn"&amp;" "&amp;(NETWORKDAYS(F90,G90,'Danh sách ngày nghỉ lễ'!$B$5:$B$25)-1-3)&amp;" "&amp;"ngày","")))</f>
        <v/>
      </c>
      <c r="Y90" s="72" t="str">
        <f>IF(S90=0,"",IF(P90="Chuyển","",IF(P90="Nhập vào vụ khác","",IF(P90="BA",IF((S90-R90)&gt;10,"Quá hạn"&amp;" "&amp;(S90-R90-10)&amp;" "&amp;"ngày",""),IF((NETWORKDAYS(R90,S90,'Danh sách ngày nghỉ lễ'!$B$5:$B$25)-VLOOKUP(P90,'Thời hạn'!$A$17:$B$23,2,0))&gt;1,"Quá hạn"&amp;" "&amp;(NETWORKDAYS(R90,S90,'Danh sách ngày nghỉ lễ'!$B$5:$B$25)-1-VLOOKUP(P90,'Thời hạn'!$A$17:$B$23,2,0))&amp;" "&amp;"ngày","")))))</f>
        <v/>
      </c>
      <c r="Z90" s="23">
        <v>1</v>
      </c>
    </row>
    <row r="91" spans="1:26" x14ac:dyDescent="0.3">
      <c r="A91" s="24">
        <v>1</v>
      </c>
      <c r="B91" s="39"/>
      <c r="C91" s="33"/>
      <c r="D91" s="25"/>
      <c r="E91" s="25"/>
      <c r="F91" s="34"/>
      <c r="G91" s="34"/>
      <c r="H91" s="25"/>
      <c r="I91" s="70" t="str">
        <f>IF(C91="Trả lại đơn vụ","",IF(C91="Trả lại đơn việc","",IF(C91="Hòa giải thành","",IF(F91=0,"",EDATE(F91,VLOOKUP(C91,'Thời hạn'!$D$1:$E$10,2,0))+H91))))</f>
        <v/>
      </c>
      <c r="J91" s="59" t="str">
        <f t="shared" ca="1" si="1"/>
        <v/>
      </c>
      <c r="K91" s="25"/>
      <c r="L91" s="129"/>
      <c r="M91" s="130"/>
      <c r="N91" s="35"/>
      <c r="O91" s="34"/>
      <c r="P91" s="25"/>
      <c r="Q91" s="25"/>
      <c r="R91" s="34"/>
      <c r="S91" s="34"/>
      <c r="T91" s="137"/>
      <c r="U91" s="137"/>
      <c r="V91" s="36"/>
      <c r="W91" s="37"/>
      <c r="X91" s="71" t="str">
        <f>IF(C91="Trả lại đơn vụ","",IF(C91="Trả lại đơn việc","",IF((NETWORKDAYS(F91,G91,'Danh sách ngày nghỉ lễ'!$B$5:$B$25)-1-3)&gt;0,"Quá hạn"&amp;" "&amp;(NETWORKDAYS(F91,G91,'Danh sách ngày nghỉ lễ'!$B$5:$B$25)-1-3)&amp;" "&amp;"ngày","")))</f>
        <v/>
      </c>
      <c r="Y91" s="72" t="str">
        <f>IF(S91=0,"",IF(P91="Chuyển","",IF(P91="Nhập vào vụ khác","",IF(P91="BA",IF((S91-R91)&gt;10,"Quá hạn"&amp;" "&amp;(S91-R91-10)&amp;" "&amp;"ngày",""),IF((NETWORKDAYS(R91,S91,'Danh sách ngày nghỉ lễ'!$B$5:$B$25)-VLOOKUP(P91,'Thời hạn'!$A$17:$B$23,2,0))&gt;1,"Quá hạn"&amp;" "&amp;(NETWORKDAYS(R91,S91,'Danh sách ngày nghỉ lễ'!$B$5:$B$25)-1-VLOOKUP(P91,'Thời hạn'!$A$17:$B$23,2,0))&amp;" "&amp;"ngày","")))))</f>
        <v/>
      </c>
      <c r="Z91" s="23">
        <v>1</v>
      </c>
    </row>
    <row r="92" spans="1:26" x14ac:dyDescent="0.3">
      <c r="A92" s="24">
        <v>1</v>
      </c>
      <c r="B92" s="39"/>
      <c r="C92" s="33"/>
      <c r="D92" s="25"/>
      <c r="E92" s="25"/>
      <c r="F92" s="34"/>
      <c r="G92" s="34"/>
      <c r="H92" s="25"/>
      <c r="I92" s="70" t="str">
        <f>IF(C92="Trả lại đơn vụ","",IF(C92="Trả lại đơn việc","",IF(C92="Hòa giải thành","",IF(F92=0,"",EDATE(F92,VLOOKUP(C92,'Thời hạn'!$D$1:$E$10,2,0))+H92))))</f>
        <v/>
      </c>
      <c r="J92" s="59" t="str">
        <f t="shared" ca="1" si="1"/>
        <v/>
      </c>
      <c r="K92" s="25"/>
      <c r="L92" s="129"/>
      <c r="M92" s="130"/>
      <c r="N92" s="35"/>
      <c r="O92" s="34"/>
      <c r="P92" s="25"/>
      <c r="Q92" s="25"/>
      <c r="R92" s="34"/>
      <c r="S92" s="34"/>
      <c r="T92" s="137"/>
      <c r="U92" s="137"/>
      <c r="V92" s="36"/>
      <c r="W92" s="37"/>
      <c r="X92" s="71" t="str">
        <f>IF(C92="Trả lại đơn vụ","",IF(C92="Trả lại đơn việc","",IF((NETWORKDAYS(F92,G92,'Danh sách ngày nghỉ lễ'!$B$5:$B$25)-1-3)&gt;0,"Quá hạn"&amp;" "&amp;(NETWORKDAYS(F92,G92,'Danh sách ngày nghỉ lễ'!$B$5:$B$25)-1-3)&amp;" "&amp;"ngày","")))</f>
        <v/>
      </c>
      <c r="Y92" s="72" t="str">
        <f>IF(S92=0,"",IF(P92="Chuyển","",IF(P92="Nhập vào vụ khác","",IF(P92="BA",IF((S92-R92)&gt;10,"Quá hạn"&amp;" "&amp;(S92-R92-10)&amp;" "&amp;"ngày",""),IF((NETWORKDAYS(R92,S92,'Danh sách ngày nghỉ lễ'!$B$5:$B$25)-VLOOKUP(P92,'Thời hạn'!$A$17:$B$23,2,0))&gt;1,"Quá hạn"&amp;" "&amp;(NETWORKDAYS(R92,S92,'Danh sách ngày nghỉ lễ'!$B$5:$B$25)-1-VLOOKUP(P92,'Thời hạn'!$A$17:$B$23,2,0))&amp;" "&amp;"ngày","")))))</f>
        <v/>
      </c>
      <c r="Z92" s="23">
        <v>1</v>
      </c>
    </row>
    <row r="93" spans="1:26" x14ac:dyDescent="0.3">
      <c r="A93" s="24">
        <v>1</v>
      </c>
      <c r="B93" s="39"/>
      <c r="C93" s="33"/>
      <c r="D93" s="25"/>
      <c r="E93" s="25"/>
      <c r="F93" s="34"/>
      <c r="G93" s="34"/>
      <c r="H93" s="25"/>
      <c r="I93" s="70" t="str">
        <f>IF(C93="Trả lại đơn vụ","",IF(C93="Trả lại đơn việc","",IF(C93="Hòa giải thành","",IF(F93=0,"",EDATE(F93,VLOOKUP(C93,'Thời hạn'!$D$1:$E$10,2,0))+H93))))</f>
        <v/>
      </c>
      <c r="J93" s="59" t="str">
        <f t="shared" ca="1" si="1"/>
        <v/>
      </c>
      <c r="K93" s="25"/>
      <c r="L93" s="129"/>
      <c r="M93" s="130"/>
      <c r="N93" s="35"/>
      <c r="O93" s="34"/>
      <c r="P93" s="25"/>
      <c r="Q93" s="25"/>
      <c r="R93" s="34"/>
      <c r="S93" s="34"/>
      <c r="T93" s="137"/>
      <c r="U93" s="137"/>
      <c r="V93" s="36"/>
      <c r="W93" s="37"/>
      <c r="X93" s="71" t="str">
        <f>IF(C93="Trả lại đơn vụ","",IF(C93="Trả lại đơn việc","",IF((NETWORKDAYS(F93,G93,'Danh sách ngày nghỉ lễ'!$B$5:$B$25)-1-3)&gt;0,"Quá hạn"&amp;" "&amp;(NETWORKDAYS(F93,G93,'Danh sách ngày nghỉ lễ'!$B$5:$B$25)-1-3)&amp;" "&amp;"ngày","")))</f>
        <v/>
      </c>
      <c r="Y93" s="72" t="str">
        <f>IF(S93=0,"",IF(P93="Chuyển","",IF(P93="Nhập vào vụ khác","",IF(P93="BA",IF((S93-R93)&gt;10,"Quá hạn"&amp;" "&amp;(S93-R93-10)&amp;" "&amp;"ngày",""),IF((NETWORKDAYS(R93,S93,'Danh sách ngày nghỉ lễ'!$B$5:$B$25)-VLOOKUP(P93,'Thời hạn'!$A$17:$B$23,2,0))&gt;1,"Quá hạn"&amp;" "&amp;(NETWORKDAYS(R93,S93,'Danh sách ngày nghỉ lễ'!$B$5:$B$25)-1-VLOOKUP(P93,'Thời hạn'!$A$17:$B$23,2,0))&amp;" "&amp;"ngày","")))))</f>
        <v/>
      </c>
      <c r="Z93" s="23">
        <v>1</v>
      </c>
    </row>
    <row r="94" spans="1:26" x14ac:dyDescent="0.3">
      <c r="A94" s="24">
        <v>1</v>
      </c>
      <c r="B94" s="39"/>
      <c r="C94" s="33"/>
      <c r="D94" s="25"/>
      <c r="E94" s="25"/>
      <c r="F94" s="34"/>
      <c r="G94" s="34"/>
      <c r="H94" s="25"/>
      <c r="I94" s="70" t="str">
        <f>IF(C94="Trả lại đơn vụ","",IF(C94="Trả lại đơn việc","",IF(C94="Hòa giải thành","",IF(F94=0,"",EDATE(F94,VLOOKUP(C94,'Thời hạn'!$D$1:$E$10,2,0))+H94))))</f>
        <v/>
      </c>
      <c r="J94" s="59" t="str">
        <f t="shared" ca="1" si="1"/>
        <v/>
      </c>
      <c r="K94" s="25"/>
      <c r="L94" s="129"/>
      <c r="M94" s="130"/>
      <c r="N94" s="35"/>
      <c r="O94" s="34"/>
      <c r="P94" s="25"/>
      <c r="Q94" s="25"/>
      <c r="R94" s="34"/>
      <c r="S94" s="34"/>
      <c r="T94" s="137"/>
      <c r="U94" s="137"/>
      <c r="V94" s="36"/>
      <c r="W94" s="37"/>
      <c r="X94" s="71" t="str">
        <f>IF(C94="Trả lại đơn vụ","",IF(C94="Trả lại đơn việc","",IF((NETWORKDAYS(F94,G94,'Danh sách ngày nghỉ lễ'!$B$5:$B$25)-1-3)&gt;0,"Quá hạn"&amp;" "&amp;(NETWORKDAYS(F94,G94,'Danh sách ngày nghỉ lễ'!$B$5:$B$25)-1-3)&amp;" "&amp;"ngày","")))</f>
        <v/>
      </c>
      <c r="Y94" s="72" t="str">
        <f>IF(S94=0,"",IF(P94="Chuyển","",IF(P94="Nhập vào vụ khác","",IF(P94="BA",IF((S94-R94)&gt;10,"Quá hạn"&amp;" "&amp;(S94-R94-10)&amp;" "&amp;"ngày",""),IF((NETWORKDAYS(R94,S94,'Danh sách ngày nghỉ lễ'!$B$5:$B$25)-VLOOKUP(P94,'Thời hạn'!$A$17:$B$23,2,0))&gt;1,"Quá hạn"&amp;" "&amp;(NETWORKDAYS(R94,S94,'Danh sách ngày nghỉ lễ'!$B$5:$B$25)-1-VLOOKUP(P94,'Thời hạn'!$A$17:$B$23,2,0))&amp;" "&amp;"ngày","")))))</f>
        <v/>
      </c>
      <c r="Z94" s="23">
        <v>1</v>
      </c>
    </row>
    <row r="95" spans="1:26" x14ac:dyDescent="0.3">
      <c r="A95" s="24">
        <v>1</v>
      </c>
      <c r="B95" s="39"/>
      <c r="C95" s="33"/>
      <c r="D95" s="25"/>
      <c r="E95" s="25"/>
      <c r="F95" s="34"/>
      <c r="G95" s="34"/>
      <c r="H95" s="25"/>
      <c r="I95" s="70" t="str">
        <f>IF(C95="Trả lại đơn vụ","",IF(C95="Trả lại đơn việc","",IF(C95="Hòa giải thành","",IF(F95=0,"",EDATE(F95,VLOOKUP(C95,'Thời hạn'!$D$1:$E$10,2,0))+H95))))</f>
        <v/>
      </c>
      <c r="J95" s="59" t="str">
        <f t="shared" ca="1" si="1"/>
        <v/>
      </c>
      <c r="K95" s="25"/>
      <c r="L95" s="129"/>
      <c r="M95" s="130"/>
      <c r="N95" s="35"/>
      <c r="O95" s="34"/>
      <c r="P95" s="25"/>
      <c r="Q95" s="25"/>
      <c r="R95" s="34"/>
      <c r="S95" s="34"/>
      <c r="T95" s="137"/>
      <c r="U95" s="137"/>
      <c r="V95" s="36"/>
      <c r="W95" s="37"/>
      <c r="X95" s="71" t="str">
        <f>IF(C95="Trả lại đơn vụ","",IF(C95="Trả lại đơn việc","",IF((NETWORKDAYS(F95,G95,'Danh sách ngày nghỉ lễ'!$B$5:$B$25)-1-3)&gt;0,"Quá hạn"&amp;" "&amp;(NETWORKDAYS(F95,G95,'Danh sách ngày nghỉ lễ'!$B$5:$B$25)-1-3)&amp;" "&amp;"ngày","")))</f>
        <v/>
      </c>
      <c r="Y95" s="72" t="str">
        <f>IF(S95=0,"",IF(P95="Chuyển","",IF(P95="Nhập vào vụ khác","",IF(P95="BA",IF((S95-R95)&gt;10,"Quá hạn"&amp;" "&amp;(S95-R95-10)&amp;" "&amp;"ngày",""),IF((NETWORKDAYS(R95,S95,'Danh sách ngày nghỉ lễ'!$B$5:$B$25)-VLOOKUP(P95,'Thời hạn'!$A$17:$B$23,2,0))&gt;1,"Quá hạn"&amp;" "&amp;(NETWORKDAYS(R95,S95,'Danh sách ngày nghỉ lễ'!$B$5:$B$25)-1-VLOOKUP(P95,'Thời hạn'!$A$17:$B$23,2,0))&amp;" "&amp;"ngày","")))))</f>
        <v/>
      </c>
      <c r="Z95" s="23">
        <v>1</v>
      </c>
    </row>
    <row r="96" spans="1:26" x14ac:dyDescent="0.3">
      <c r="A96" s="24">
        <v>1</v>
      </c>
      <c r="B96" s="39"/>
      <c r="C96" s="33"/>
      <c r="D96" s="25"/>
      <c r="E96" s="25"/>
      <c r="F96" s="34"/>
      <c r="G96" s="34"/>
      <c r="H96" s="25"/>
      <c r="I96" s="70" t="str">
        <f>IF(C96="Trả lại đơn vụ","",IF(C96="Trả lại đơn việc","",IF(C96="Hòa giải thành","",IF(F96=0,"",EDATE(F96,VLOOKUP(C96,'Thời hạn'!$D$1:$E$10,2,0))+H96))))</f>
        <v/>
      </c>
      <c r="J96" s="59" t="str">
        <f t="shared" ca="1" si="1"/>
        <v/>
      </c>
      <c r="K96" s="25"/>
      <c r="L96" s="129"/>
      <c r="M96" s="130"/>
      <c r="N96" s="35"/>
      <c r="O96" s="34"/>
      <c r="P96" s="25"/>
      <c r="Q96" s="25"/>
      <c r="R96" s="34"/>
      <c r="S96" s="34"/>
      <c r="T96" s="137"/>
      <c r="U96" s="137"/>
      <c r="V96" s="36"/>
      <c r="W96" s="37"/>
      <c r="X96" s="71" t="str">
        <f>IF(C96="Trả lại đơn vụ","",IF(C96="Trả lại đơn việc","",IF((NETWORKDAYS(F96,G96,'Danh sách ngày nghỉ lễ'!$B$5:$B$25)-1-3)&gt;0,"Quá hạn"&amp;" "&amp;(NETWORKDAYS(F96,G96,'Danh sách ngày nghỉ lễ'!$B$5:$B$25)-1-3)&amp;" "&amp;"ngày","")))</f>
        <v/>
      </c>
      <c r="Y96" s="72" t="str">
        <f>IF(S96=0,"",IF(P96="Chuyển","",IF(P96="Nhập vào vụ khác","",IF(P96="BA",IF((S96-R96)&gt;10,"Quá hạn"&amp;" "&amp;(S96-R96-10)&amp;" "&amp;"ngày",""),IF((NETWORKDAYS(R96,S96,'Danh sách ngày nghỉ lễ'!$B$5:$B$25)-VLOOKUP(P96,'Thời hạn'!$A$17:$B$23,2,0))&gt;1,"Quá hạn"&amp;" "&amp;(NETWORKDAYS(R96,S96,'Danh sách ngày nghỉ lễ'!$B$5:$B$25)-1-VLOOKUP(P96,'Thời hạn'!$A$17:$B$23,2,0))&amp;" "&amp;"ngày","")))))</f>
        <v/>
      </c>
      <c r="Z96" s="23">
        <v>1</v>
      </c>
    </row>
    <row r="97" spans="1:26" x14ac:dyDescent="0.3">
      <c r="A97" s="24">
        <v>1</v>
      </c>
      <c r="B97" s="39"/>
      <c r="C97" s="33"/>
      <c r="D97" s="25"/>
      <c r="E97" s="25"/>
      <c r="F97" s="34"/>
      <c r="G97" s="34"/>
      <c r="H97" s="25"/>
      <c r="I97" s="70" t="str">
        <f>IF(C97="Trả lại đơn vụ","",IF(C97="Trả lại đơn việc","",IF(C97="Hòa giải thành","",IF(F97=0,"",EDATE(F97,VLOOKUP(C97,'Thời hạn'!$D$1:$E$10,2,0))+H97))))</f>
        <v/>
      </c>
      <c r="J97" s="59" t="str">
        <f t="shared" ca="1" si="1"/>
        <v/>
      </c>
      <c r="K97" s="25"/>
      <c r="L97" s="129"/>
      <c r="M97" s="130"/>
      <c r="N97" s="35"/>
      <c r="O97" s="34"/>
      <c r="P97" s="25"/>
      <c r="Q97" s="25"/>
      <c r="R97" s="34"/>
      <c r="S97" s="34"/>
      <c r="T97" s="137"/>
      <c r="U97" s="137"/>
      <c r="V97" s="36"/>
      <c r="W97" s="37"/>
      <c r="X97" s="71" t="str">
        <f>IF(C97="Trả lại đơn vụ","",IF(C97="Trả lại đơn việc","",IF((NETWORKDAYS(F97,G97,'Danh sách ngày nghỉ lễ'!$B$5:$B$25)-1-3)&gt;0,"Quá hạn"&amp;" "&amp;(NETWORKDAYS(F97,G97,'Danh sách ngày nghỉ lễ'!$B$5:$B$25)-1-3)&amp;" "&amp;"ngày","")))</f>
        <v/>
      </c>
      <c r="Y97" s="72" t="str">
        <f>IF(S97=0,"",IF(P97="Chuyển","",IF(P97="Nhập vào vụ khác","",IF(P97="BA",IF((S97-R97)&gt;10,"Quá hạn"&amp;" "&amp;(S97-R97-10)&amp;" "&amp;"ngày",""),IF((NETWORKDAYS(R97,S97,'Danh sách ngày nghỉ lễ'!$B$5:$B$25)-VLOOKUP(P97,'Thời hạn'!$A$17:$B$23,2,0))&gt;1,"Quá hạn"&amp;" "&amp;(NETWORKDAYS(R97,S97,'Danh sách ngày nghỉ lễ'!$B$5:$B$25)-1-VLOOKUP(P97,'Thời hạn'!$A$17:$B$23,2,0))&amp;" "&amp;"ngày","")))))</f>
        <v/>
      </c>
      <c r="Z97" s="23">
        <v>1</v>
      </c>
    </row>
    <row r="98" spans="1:26" x14ac:dyDescent="0.3">
      <c r="A98" s="24">
        <v>1</v>
      </c>
      <c r="B98" s="39"/>
      <c r="C98" s="33"/>
      <c r="D98" s="25"/>
      <c r="E98" s="25"/>
      <c r="F98" s="34"/>
      <c r="G98" s="34"/>
      <c r="H98" s="25"/>
      <c r="I98" s="70" t="str">
        <f>IF(C98="Trả lại đơn vụ","",IF(C98="Trả lại đơn việc","",IF(C98="Hòa giải thành","",IF(F98=0,"",EDATE(F98,VLOOKUP(C98,'Thời hạn'!$D$1:$E$10,2,0))+H98))))</f>
        <v/>
      </c>
      <c r="J98" s="59" t="str">
        <f t="shared" ca="1" si="1"/>
        <v/>
      </c>
      <c r="K98" s="25"/>
      <c r="L98" s="129"/>
      <c r="M98" s="130"/>
      <c r="N98" s="35"/>
      <c r="O98" s="34"/>
      <c r="P98" s="25"/>
      <c r="Q98" s="25"/>
      <c r="R98" s="34"/>
      <c r="S98" s="34"/>
      <c r="T98" s="137"/>
      <c r="U98" s="137"/>
      <c r="V98" s="36"/>
      <c r="W98" s="37"/>
      <c r="X98" s="71" t="str">
        <f>IF(C98="Trả lại đơn vụ","",IF(C98="Trả lại đơn việc","",IF((NETWORKDAYS(F98,G98,'Danh sách ngày nghỉ lễ'!$B$5:$B$25)-1-3)&gt;0,"Quá hạn"&amp;" "&amp;(NETWORKDAYS(F98,G98,'Danh sách ngày nghỉ lễ'!$B$5:$B$25)-1-3)&amp;" "&amp;"ngày","")))</f>
        <v/>
      </c>
      <c r="Y98" s="72" t="str">
        <f>IF(S98=0,"",IF(P98="Chuyển","",IF(P98="Nhập vào vụ khác","",IF(P98="BA",IF((S98-R98)&gt;10,"Quá hạn"&amp;" "&amp;(S98-R98-10)&amp;" "&amp;"ngày",""),IF((NETWORKDAYS(R98,S98,'Danh sách ngày nghỉ lễ'!$B$5:$B$25)-VLOOKUP(P98,'Thời hạn'!$A$17:$B$23,2,0))&gt;1,"Quá hạn"&amp;" "&amp;(NETWORKDAYS(R98,S98,'Danh sách ngày nghỉ lễ'!$B$5:$B$25)-1-VLOOKUP(P98,'Thời hạn'!$A$17:$B$23,2,0))&amp;" "&amp;"ngày","")))))</f>
        <v/>
      </c>
      <c r="Z98" s="23">
        <v>1</v>
      </c>
    </row>
    <row r="99" spans="1:26" x14ac:dyDescent="0.3">
      <c r="A99" s="24">
        <v>1</v>
      </c>
      <c r="B99" s="39"/>
      <c r="C99" s="33"/>
      <c r="D99" s="25"/>
      <c r="E99" s="25"/>
      <c r="F99" s="34"/>
      <c r="G99" s="34"/>
      <c r="H99" s="25"/>
      <c r="I99" s="70" t="str">
        <f>IF(C99="Trả lại đơn vụ","",IF(C99="Trả lại đơn việc","",IF(C99="Hòa giải thành","",IF(F99=0,"",EDATE(F99,VLOOKUP(C99,'Thời hạn'!$D$1:$E$10,2,0))+H99))))</f>
        <v/>
      </c>
      <c r="J99" s="59" t="str">
        <f t="shared" ca="1" si="1"/>
        <v/>
      </c>
      <c r="K99" s="25"/>
      <c r="L99" s="129"/>
      <c r="M99" s="130"/>
      <c r="N99" s="35"/>
      <c r="O99" s="34"/>
      <c r="P99" s="25"/>
      <c r="Q99" s="25"/>
      <c r="R99" s="34"/>
      <c r="S99" s="34"/>
      <c r="T99" s="137"/>
      <c r="U99" s="137"/>
      <c r="V99" s="36"/>
      <c r="W99" s="37"/>
      <c r="X99" s="71" t="str">
        <f>IF(C99="Trả lại đơn vụ","",IF(C99="Trả lại đơn việc","",IF((NETWORKDAYS(F99,G99,'Danh sách ngày nghỉ lễ'!$B$5:$B$25)-1-3)&gt;0,"Quá hạn"&amp;" "&amp;(NETWORKDAYS(F99,G99,'Danh sách ngày nghỉ lễ'!$B$5:$B$25)-1-3)&amp;" "&amp;"ngày","")))</f>
        <v/>
      </c>
      <c r="Y99" s="72" t="str">
        <f>IF(S99=0,"",IF(P99="Chuyển","",IF(P99="Nhập vào vụ khác","",IF(P99="BA",IF((S99-R99)&gt;10,"Quá hạn"&amp;" "&amp;(S99-R99-10)&amp;" "&amp;"ngày",""),IF((NETWORKDAYS(R99,S99,'Danh sách ngày nghỉ lễ'!$B$5:$B$25)-VLOOKUP(P99,'Thời hạn'!$A$17:$B$23,2,0))&gt;1,"Quá hạn"&amp;" "&amp;(NETWORKDAYS(R99,S99,'Danh sách ngày nghỉ lễ'!$B$5:$B$25)-1-VLOOKUP(P99,'Thời hạn'!$A$17:$B$23,2,0))&amp;" "&amp;"ngày","")))))</f>
        <v/>
      </c>
      <c r="Z99" s="23">
        <v>1</v>
      </c>
    </row>
    <row r="100" spans="1:26" x14ac:dyDescent="0.3">
      <c r="A100" s="24">
        <v>1</v>
      </c>
      <c r="B100" s="39"/>
      <c r="C100" s="33"/>
      <c r="D100" s="25"/>
      <c r="E100" s="25"/>
      <c r="F100" s="34"/>
      <c r="G100" s="34"/>
      <c r="H100" s="25"/>
      <c r="I100" s="70" t="str">
        <f>IF(C100="Trả lại đơn vụ","",IF(C100="Trả lại đơn việc","",IF(C100="Hòa giải thành","",IF(F100=0,"",EDATE(F100,VLOOKUP(C100,'Thời hạn'!$D$1:$E$10,2,0))+H100))))</f>
        <v/>
      </c>
      <c r="J100" s="59" t="str">
        <f t="shared" ca="1" si="1"/>
        <v/>
      </c>
      <c r="K100" s="25"/>
      <c r="L100" s="129"/>
      <c r="M100" s="130"/>
      <c r="N100" s="35"/>
      <c r="O100" s="34"/>
      <c r="P100" s="25"/>
      <c r="Q100" s="25"/>
      <c r="R100" s="34"/>
      <c r="S100" s="34"/>
      <c r="T100" s="137"/>
      <c r="U100" s="137"/>
      <c r="V100" s="36"/>
      <c r="W100" s="37"/>
      <c r="X100" s="71" t="str">
        <f>IF(C100="Trả lại đơn vụ","",IF(C100="Trả lại đơn việc","",IF((NETWORKDAYS(F100,G100,'Danh sách ngày nghỉ lễ'!$B$5:$B$25)-1-3)&gt;0,"Quá hạn"&amp;" "&amp;(NETWORKDAYS(F100,G100,'Danh sách ngày nghỉ lễ'!$B$5:$B$25)-1-3)&amp;" "&amp;"ngày","")))</f>
        <v/>
      </c>
      <c r="Y100" s="72" t="str">
        <f>IF(S100=0,"",IF(P100="Chuyển","",IF(P100="Nhập vào vụ khác","",IF(P100="BA",IF((S100-R100)&gt;10,"Quá hạn"&amp;" "&amp;(S100-R100-10)&amp;" "&amp;"ngày",""),IF((NETWORKDAYS(R100,S100,'Danh sách ngày nghỉ lễ'!$B$5:$B$25)-VLOOKUP(P100,'Thời hạn'!$A$17:$B$23,2,0))&gt;1,"Quá hạn"&amp;" "&amp;(NETWORKDAYS(R100,S100,'Danh sách ngày nghỉ lễ'!$B$5:$B$25)-1-VLOOKUP(P100,'Thời hạn'!$A$17:$B$23,2,0))&amp;" "&amp;"ngày","")))))</f>
        <v/>
      </c>
      <c r="Z100" s="23">
        <v>1</v>
      </c>
    </row>
    <row r="101" spans="1:26" x14ac:dyDescent="0.3">
      <c r="A101" s="24">
        <v>1</v>
      </c>
      <c r="B101" s="39"/>
      <c r="C101" s="33"/>
      <c r="D101" s="25"/>
      <c r="E101" s="25"/>
      <c r="F101" s="34"/>
      <c r="G101" s="34"/>
      <c r="H101" s="25"/>
      <c r="I101" s="70" t="str">
        <f>IF(C101="Trả lại đơn vụ","",IF(C101="Trả lại đơn việc","",IF(C101="Hòa giải thành","",IF(F101=0,"",EDATE(F101,VLOOKUP(C101,'Thời hạn'!$D$1:$E$10,2,0))+H101))))</f>
        <v/>
      </c>
      <c r="J101" s="59" t="str">
        <f t="shared" ca="1" si="1"/>
        <v/>
      </c>
      <c r="K101" s="25"/>
      <c r="L101" s="129"/>
      <c r="M101" s="130"/>
      <c r="N101" s="35"/>
      <c r="O101" s="34"/>
      <c r="P101" s="25"/>
      <c r="Q101" s="25"/>
      <c r="R101" s="34"/>
      <c r="S101" s="34"/>
      <c r="T101" s="137"/>
      <c r="U101" s="137"/>
      <c r="V101" s="36"/>
      <c r="W101" s="37"/>
      <c r="X101" s="71" t="str">
        <f>IF(C101="Trả lại đơn vụ","",IF(C101="Trả lại đơn việc","",IF((NETWORKDAYS(F101,G101,'Danh sách ngày nghỉ lễ'!$B$5:$B$25)-1-3)&gt;0,"Quá hạn"&amp;" "&amp;(NETWORKDAYS(F101,G101,'Danh sách ngày nghỉ lễ'!$B$5:$B$25)-1-3)&amp;" "&amp;"ngày","")))</f>
        <v/>
      </c>
      <c r="Y101" s="72" t="str">
        <f>IF(S101=0,"",IF(P101="Chuyển","",IF(P101="Nhập vào vụ khác","",IF(P101="BA",IF((S101-R101)&gt;10,"Quá hạn"&amp;" "&amp;(S101-R101-10)&amp;" "&amp;"ngày",""),IF((NETWORKDAYS(R101,S101,'Danh sách ngày nghỉ lễ'!$B$5:$B$25)-VLOOKUP(P101,'Thời hạn'!$A$17:$B$23,2,0))&gt;1,"Quá hạn"&amp;" "&amp;(NETWORKDAYS(R101,S101,'Danh sách ngày nghỉ lễ'!$B$5:$B$25)-1-VLOOKUP(P101,'Thời hạn'!$A$17:$B$23,2,0))&amp;" "&amp;"ngày","")))))</f>
        <v/>
      </c>
      <c r="Z101" s="23">
        <v>1</v>
      </c>
    </row>
    <row r="102" spans="1:26" x14ac:dyDescent="0.3">
      <c r="A102" s="24">
        <v>1</v>
      </c>
      <c r="B102" s="39"/>
      <c r="C102" s="33"/>
      <c r="D102" s="25"/>
      <c r="E102" s="25"/>
      <c r="F102" s="34"/>
      <c r="G102" s="34"/>
      <c r="H102" s="25"/>
      <c r="I102" s="70" t="str">
        <f>IF(C102="Trả lại đơn vụ","",IF(C102="Trả lại đơn việc","",IF(C102="Hòa giải thành","",IF(F102=0,"",EDATE(F102,VLOOKUP(C102,'Thời hạn'!$D$1:$E$10,2,0))+H102))))</f>
        <v/>
      </c>
      <c r="J102" s="59" t="str">
        <f t="shared" ca="1" si="1"/>
        <v/>
      </c>
      <c r="K102" s="25"/>
      <c r="L102" s="129"/>
      <c r="M102" s="130"/>
      <c r="N102" s="35"/>
      <c r="O102" s="34"/>
      <c r="P102" s="25"/>
      <c r="Q102" s="25"/>
      <c r="R102" s="34"/>
      <c r="S102" s="34"/>
      <c r="T102" s="137"/>
      <c r="U102" s="137"/>
      <c r="V102" s="36"/>
      <c r="W102" s="37"/>
      <c r="X102" s="71" t="str">
        <f>IF(C102="Trả lại đơn vụ","",IF(C102="Trả lại đơn việc","",IF((NETWORKDAYS(F102,G102,'Danh sách ngày nghỉ lễ'!$B$5:$B$25)-1-3)&gt;0,"Quá hạn"&amp;" "&amp;(NETWORKDAYS(F102,G102,'Danh sách ngày nghỉ lễ'!$B$5:$B$25)-1-3)&amp;" "&amp;"ngày","")))</f>
        <v/>
      </c>
      <c r="Y102" s="72" t="str">
        <f>IF(S102=0,"",IF(P102="Chuyển","",IF(P102="Nhập vào vụ khác","",IF(P102="BA",IF((S102-R102)&gt;10,"Quá hạn"&amp;" "&amp;(S102-R102-10)&amp;" "&amp;"ngày",""),IF((NETWORKDAYS(R102,S102,'Danh sách ngày nghỉ lễ'!$B$5:$B$25)-VLOOKUP(P102,'Thời hạn'!$A$17:$B$23,2,0))&gt;1,"Quá hạn"&amp;" "&amp;(NETWORKDAYS(R102,S102,'Danh sách ngày nghỉ lễ'!$B$5:$B$25)-1-VLOOKUP(P102,'Thời hạn'!$A$17:$B$23,2,0))&amp;" "&amp;"ngày","")))))</f>
        <v/>
      </c>
      <c r="Z102" s="23">
        <v>1</v>
      </c>
    </row>
    <row r="103" spans="1:26" x14ac:dyDescent="0.3">
      <c r="A103" s="24">
        <v>1</v>
      </c>
      <c r="B103" s="39"/>
      <c r="C103" s="33"/>
      <c r="D103" s="25"/>
      <c r="E103" s="25"/>
      <c r="F103" s="34"/>
      <c r="G103" s="34"/>
      <c r="H103" s="25"/>
      <c r="I103" s="70" t="str">
        <f>IF(C103="Trả lại đơn vụ","",IF(C103="Trả lại đơn việc","",IF(C103="Hòa giải thành","",IF(F103=0,"",EDATE(F103,VLOOKUP(C103,'Thời hạn'!$D$1:$E$10,2,0))+H103))))</f>
        <v/>
      </c>
      <c r="J103" s="59" t="str">
        <f t="shared" ca="1" si="1"/>
        <v/>
      </c>
      <c r="K103" s="25"/>
      <c r="L103" s="129"/>
      <c r="M103" s="130"/>
      <c r="N103" s="35"/>
      <c r="O103" s="34"/>
      <c r="P103" s="25"/>
      <c r="Q103" s="25"/>
      <c r="R103" s="34"/>
      <c r="S103" s="34"/>
      <c r="T103" s="137"/>
      <c r="U103" s="137"/>
      <c r="V103" s="36"/>
      <c r="W103" s="37"/>
      <c r="X103" s="71" t="str">
        <f>IF(C103="Trả lại đơn vụ","",IF(C103="Trả lại đơn việc","",IF((NETWORKDAYS(F103,G103,'Danh sách ngày nghỉ lễ'!$B$5:$B$25)-1-3)&gt;0,"Quá hạn"&amp;" "&amp;(NETWORKDAYS(F103,G103,'Danh sách ngày nghỉ lễ'!$B$5:$B$25)-1-3)&amp;" "&amp;"ngày","")))</f>
        <v/>
      </c>
      <c r="Y103" s="72" t="str">
        <f>IF(S103=0,"",IF(P103="Chuyển","",IF(P103="Nhập vào vụ khác","",IF(P103="BA",IF((S103-R103)&gt;10,"Quá hạn"&amp;" "&amp;(S103-R103-10)&amp;" "&amp;"ngày",""),IF((NETWORKDAYS(R103,S103,'Danh sách ngày nghỉ lễ'!$B$5:$B$25)-VLOOKUP(P103,'Thời hạn'!$A$17:$B$23,2,0))&gt;1,"Quá hạn"&amp;" "&amp;(NETWORKDAYS(R103,S103,'Danh sách ngày nghỉ lễ'!$B$5:$B$25)-1-VLOOKUP(P103,'Thời hạn'!$A$17:$B$23,2,0))&amp;" "&amp;"ngày","")))))</f>
        <v/>
      </c>
      <c r="Z103" s="23">
        <v>1</v>
      </c>
    </row>
    <row r="104" spans="1:26" x14ac:dyDescent="0.3">
      <c r="A104" s="24">
        <v>1</v>
      </c>
      <c r="B104" s="39"/>
      <c r="C104" s="33"/>
      <c r="D104" s="25"/>
      <c r="E104" s="25"/>
      <c r="F104" s="34"/>
      <c r="G104" s="34"/>
      <c r="H104" s="25"/>
      <c r="I104" s="70" t="str">
        <f>IF(C104="Trả lại đơn vụ","",IF(C104="Trả lại đơn việc","",IF(C104="Hòa giải thành","",IF(F104=0,"",EDATE(F104,VLOOKUP(C104,'Thời hạn'!$D$1:$E$10,2,0))+H104))))</f>
        <v/>
      </c>
      <c r="J104" s="59" t="str">
        <f t="shared" ca="1" si="1"/>
        <v/>
      </c>
      <c r="K104" s="25"/>
      <c r="L104" s="129"/>
      <c r="M104" s="130"/>
      <c r="N104" s="35"/>
      <c r="O104" s="34"/>
      <c r="P104" s="25"/>
      <c r="Q104" s="25"/>
      <c r="R104" s="34"/>
      <c r="S104" s="34"/>
      <c r="T104" s="137"/>
      <c r="U104" s="137"/>
      <c r="V104" s="36"/>
      <c r="W104" s="37"/>
      <c r="X104" s="71" t="str">
        <f>IF(C104="Trả lại đơn vụ","",IF(C104="Trả lại đơn việc","",IF((NETWORKDAYS(F104,G104,'Danh sách ngày nghỉ lễ'!$B$5:$B$25)-1-3)&gt;0,"Quá hạn"&amp;" "&amp;(NETWORKDAYS(F104,G104,'Danh sách ngày nghỉ lễ'!$B$5:$B$25)-1-3)&amp;" "&amp;"ngày","")))</f>
        <v/>
      </c>
      <c r="Y104" s="72" t="str">
        <f>IF(S104=0,"",IF(P104="Chuyển","",IF(P104="Nhập vào vụ khác","",IF(P104="BA",IF((S104-R104)&gt;10,"Quá hạn"&amp;" "&amp;(S104-R104-10)&amp;" "&amp;"ngày",""),IF((NETWORKDAYS(R104,S104,'Danh sách ngày nghỉ lễ'!$B$5:$B$25)-VLOOKUP(P104,'Thời hạn'!$A$17:$B$23,2,0))&gt;1,"Quá hạn"&amp;" "&amp;(NETWORKDAYS(R104,S104,'Danh sách ngày nghỉ lễ'!$B$5:$B$25)-1-VLOOKUP(P104,'Thời hạn'!$A$17:$B$23,2,0))&amp;" "&amp;"ngày","")))))</f>
        <v/>
      </c>
      <c r="Z104" s="23">
        <v>1</v>
      </c>
    </row>
    <row r="105" spans="1:26" x14ac:dyDescent="0.3">
      <c r="A105" s="24">
        <v>1</v>
      </c>
      <c r="B105" s="39"/>
      <c r="C105" s="33"/>
      <c r="D105" s="25"/>
      <c r="E105" s="25"/>
      <c r="F105" s="34"/>
      <c r="G105" s="34"/>
      <c r="H105" s="25"/>
      <c r="I105" s="70" t="str">
        <f>IF(C105="Trả lại đơn vụ","",IF(C105="Trả lại đơn việc","",IF(C105="Hòa giải thành","",IF(F105=0,"",EDATE(F105,VLOOKUP(C105,'Thời hạn'!$D$1:$E$10,2,0))+H105))))</f>
        <v/>
      </c>
      <c r="J105" s="59" t="str">
        <f t="shared" ca="1" si="1"/>
        <v/>
      </c>
      <c r="K105" s="25"/>
      <c r="L105" s="129"/>
      <c r="M105" s="130"/>
      <c r="N105" s="35"/>
      <c r="O105" s="34"/>
      <c r="P105" s="25"/>
      <c r="Q105" s="25"/>
      <c r="R105" s="34"/>
      <c r="S105" s="34"/>
      <c r="T105" s="137"/>
      <c r="U105" s="137"/>
      <c r="V105" s="36"/>
      <c r="W105" s="37"/>
      <c r="X105" s="71" t="str">
        <f>IF(C105="Trả lại đơn vụ","",IF(C105="Trả lại đơn việc","",IF((NETWORKDAYS(F105,G105,'Danh sách ngày nghỉ lễ'!$B$5:$B$25)-1-3)&gt;0,"Quá hạn"&amp;" "&amp;(NETWORKDAYS(F105,G105,'Danh sách ngày nghỉ lễ'!$B$5:$B$25)-1-3)&amp;" "&amp;"ngày","")))</f>
        <v/>
      </c>
      <c r="Y105" s="72" t="str">
        <f>IF(S105=0,"",IF(P105="Chuyển","",IF(P105="Nhập vào vụ khác","",IF(P105="BA",IF((S105-R105)&gt;10,"Quá hạn"&amp;" "&amp;(S105-R105-10)&amp;" "&amp;"ngày",""),IF((NETWORKDAYS(R105,S105,'Danh sách ngày nghỉ lễ'!$B$5:$B$25)-VLOOKUP(P105,'Thời hạn'!$A$17:$B$23,2,0))&gt;1,"Quá hạn"&amp;" "&amp;(NETWORKDAYS(R105,S105,'Danh sách ngày nghỉ lễ'!$B$5:$B$25)-1-VLOOKUP(P105,'Thời hạn'!$A$17:$B$23,2,0))&amp;" "&amp;"ngày","")))))</f>
        <v/>
      </c>
      <c r="Z105" s="23">
        <v>1</v>
      </c>
    </row>
    <row r="106" spans="1:26" x14ac:dyDescent="0.3">
      <c r="A106" s="24">
        <v>1</v>
      </c>
      <c r="B106" s="39"/>
      <c r="C106" s="33"/>
      <c r="D106" s="25"/>
      <c r="E106" s="25"/>
      <c r="F106" s="34"/>
      <c r="G106" s="34"/>
      <c r="H106" s="25"/>
      <c r="I106" s="70" t="str">
        <f>IF(C106="Trả lại đơn vụ","",IF(C106="Trả lại đơn việc","",IF(C106="Hòa giải thành","",IF(F106=0,"",EDATE(F106,VLOOKUP(C106,'Thời hạn'!$D$1:$E$10,2,0))+H106))))</f>
        <v/>
      </c>
      <c r="J106" s="59" t="str">
        <f t="shared" ca="1" si="1"/>
        <v/>
      </c>
      <c r="K106" s="25"/>
      <c r="L106" s="129"/>
      <c r="M106" s="130"/>
      <c r="N106" s="35"/>
      <c r="O106" s="34"/>
      <c r="P106" s="25"/>
      <c r="Q106" s="25"/>
      <c r="R106" s="34"/>
      <c r="S106" s="34"/>
      <c r="T106" s="137"/>
      <c r="U106" s="137"/>
      <c r="V106" s="36"/>
      <c r="W106" s="37"/>
      <c r="X106" s="71" t="str">
        <f>IF(C106="Trả lại đơn vụ","",IF(C106="Trả lại đơn việc","",IF((NETWORKDAYS(F106,G106,'Danh sách ngày nghỉ lễ'!$B$5:$B$25)-1-3)&gt;0,"Quá hạn"&amp;" "&amp;(NETWORKDAYS(F106,G106,'Danh sách ngày nghỉ lễ'!$B$5:$B$25)-1-3)&amp;" "&amp;"ngày","")))</f>
        <v/>
      </c>
      <c r="Y106" s="72" t="str">
        <f>IF(S106=0,"",IF(P106="Chuyển","",IF(P106="Nhập vào vụ khác","",IF(P106="BA",IF((S106-R106)&gt;10,"Quá hạn"&amp;" "&amp;(S106-R106-10)&amp;" "&amp;"ngày",""),IF((NETWORKDAYS(R106,S106,'Danh sách ngày nghỉ lễ'!$B$5:$B$25)-VLOOKUP(P106,'Thời hạn'!$A$17:$B$23,2,0))&gt;1,"Quá hạn"&amp;" "&amp;(NETWORKDAYS(R106,S106,'Danh sách ngày nghỉ lễ'!$B$5:$B$25)-1-VLOOKUP(P106,'Thời hạn'!$A$17:$B$23,2,0))&amp;" "&amp;"ngày","")))))</f>
        <v/>
      </c>
      <c r="Z106" s="23">
        <v>1</v>
      </c>
    </row>
    <row r="107" spans="1:26" x14ac:dyDescent="0.3">
      <c r="A107" s="24">
        <v>1</v>
      </c>
      <c r="B107" s="39"/>
      <c r="C107" s="33"/>
      <c r="D107" s="25"/>
      <c r="E107" s="25"/>
      <c r="F107" s="34"/>
      <c r="G107" s="34"/>
      <c r="H107" s="25"/>
      <c r="I107" s="70" t="str">
        <f>IF(C107="Trả lại đơn vụ","",IF(C107="Trả lại đơn việc","",IF(C107="Hòa giải thành","",IF(F107=0,"",EDATE(F107,VLOOKUP(C107,'Thời hạn'!$D$1:$E$10,2,0))+H107))))</f>
        <v/>
      </c>
      <c r="J107" s="59" t="str">
        <f t="shared" ca="1" si="1"/>
        <v/>
      </c>
      <c r="K107" s="25"/>
      <c r="L107" s="129"/>
      <c r="M107" s="130"/>
      <c r="N107" s="35"/>
      <c r="O107" s="34"/>
      <c r="P107" s="25"/>
      <c r="Q107" s="25"/>
      <c r="R107" s="34"/>
      <c r="S107" s="34"/>
      <c r="T107" s="137"/>
      <c r="U107" s="137"/>
      <c r="V107" s="36"/>
      <c r="W107" s="37"/>
      <c r="X107" s="71" t="str">
        <f>IF(C107="Trả lại đơn vụ","",IF(C107="Trả lại đơn việc","",IF((NETWORKDAYS(F107,G107,'Danh sách ngày nghỉ lễ'!$B$5:$B$25)-1-3)&gt;0,"Quá hạn"&amp;" "&amp;(NETWORKDAYS(F107,G107,'Danh sách ngày nghỉ lễ'!$B$5:$B$25)-1-3)&amp;" "&amp;"ngày","")))</f>
        <v/>
      </c>
      <c r="Y107" s="72" t="str">
        <f>IF(S107=0,"",IF(P107="Chuyển","",IF(P107="Nhập vào vụ khác","",IF(P107="BA",IF((S107-R107)&gt;10,"Quá hạn"&amp;" "&amp;(S107-R107-10)&amp;" "&amp;"ngày",""),IF((NETWORKDAYS(R107,S107,'Danh sách ngày nghỉ lễ'!$B$5:$B$25)-VLOOKUP(P107,'Thời hạn'!$A$17:$B$23,2,0))&gt;1,"Quá hạn"&amp;" "&amp;(NETWORKDAYS(R107,S107,'Danh sách ngày nghỉ lễ'!$B$5:$B$25)-1-VLOOKUP(P107,'Thời hạn'!$A$17:$B$23,2,0))&amp;" "&amp;"ngày","")))))</f>
        <v/>
      </c>
      <c r="Z107" s="23">
        <v>1</v>
      </c>
    </row>
    <row r="108" spans="1:26" x14ac:dyDescent="0.3">
      <c r="A108" s="24">
        <v>1</v>
      </c>
      <c r="B108" s="39"/>
      <c r="C108" s="33"/>
      <c r="D108" s="25"/>
      <c r="E108" s="25"/>
      <c r="F108" s="34"/>
      <c r="G108" s="34"/>
      <c r="H108" s="25"/>
      <c r="I108" s="70" t="str">
        <f>IF(C108="Trả lại đơn vụ","",IF(C108="Trả lại đơn việc","",IF(C108="Hòa giải thành","",IF(F108=0,"",EDATE(F108,VLOOKUP(C108,'Thời hạn'!$D$1:$E$10,2,0))+H108))))</f>
        <v/>
      </c>
      <c r="J108" s="59" t="str">
        <f t="shared" ca="1" si="1"/>
        <v/>
      </c>
      <c r="K108" s="25"/>
      <c r="L108" s="129"/>
      <c r="M108" s="130"/>
      <c r="N108" s="35"/>
      <c r="O108" s="34"/>
      <c r="P108" s="25"/>
      <c r="Q108" s="25"/>
      <c r="R108" s="34"/>
      <c r="S108" s="34"/>
      <c r="T108" s="137"/>
      <c r="U108" s="137"/>
      <c r="V108" s="36"/>
      <c r="W108" s="37"/>
      <c r="X108" s="71" t="str">
        <f>IF(C108="Trả lại đơn vụ","",IF(C108="Trả lại đơn việc","",IF((NETWORKDAYS(F108,G108,'Danh sách ngày nghỉ lễ'!$B$5:$B$25)-1-3)&gt;0,"Quá hạn"&amp;" "&amp;(NETWORKDAYS(F108,G108,'Danh sách ngày nghỉ lễ'!$B$5:$B$25)-1-3)&amp;" "&amp;"ngày","")))</f>
        <v/>
      </c>
      <c r="Y108" s="72" t="str">
        <f>IF(S108=0,"",IF(P108="Chuyển","",IF(P108="Nhập vào vụ khác","",IF(P108="BA",IF((S108-R108)&gt;10,"Quá hạn"&amp;" "&amp;(S108-R108-10)&amp;" "&amp;"ngày",""),IF((NETWORKDAYS(R108,S108,'Danh sách ngày nghỉ lễ'!$B$5:$B$25)-VLOOKUP(P108,'Thời hạn'!$A$17:$B$23,2,0))&gt;1,"Quá hạn"&amp;" "&amp;(NETWORKDAYS(R108,S108,'Danh sách ngày nghỉ lễ'!$B$5:$B$25)-1-VLOOKUP(P108,'Thời hạn'!$A$17:$B$23,2,0))&amp;" "&amp;"ngày","")))))</f>
        <v/>
      </c>
      <c r="Z108" s="23">
        <v>1</v>
      </c>
    </row>
    <row r="109" spans="1:26" x14ac:dyDescent="0.3">
      <c r="A109" s="24">
        <v>1</v>
      </c>
      <c r="B109" s="39"/>
      <c r="C109" s="33"/>
      <c r="D109" s="25"/>
      <c r="E109" s="25"/>
      <c r="F109" s="34"/>
      <c r="G109" s="34"/>
      <c r="H109" s="25"/>
      <c r="I109" s="70" t="str">
        <f>IF(C109="Trả lại đơn vụ","",IF(C109="Trả lại đơn việc","",IF(C109="Hòa giải thành","",IF(F109=0,"",EDATE(F109,VLOOKUP(C109,'Thời hạn'!$D$1:$E$10,2,0))+H109))))</f>
        <v/>
      </c>
      <c r="J109" s="59" t="str">
        <f t="shared" ca="1" si="1"/>
        <v/>
      </c>
      <c r="K109" s="25"/>
      <c r="L109" s="129"/>
      <c r="M109" s="130"/>
      <c r="N109" s="35"/>
      <c r="O109" s="34"/>
      <c r="P109" s="25"/>
      <c r="Q109" s="25"/>
      <c r="R109" s="34"/>
      <c r="S109" s="34"/>
      <c r="T109" s="137"/>
      <c r="U109" s="137"/>
      <c r="V109" s="36"/>
      <c r="W109" s="37"/>
      <c r="X109" s="71" t="str">
        <f>IF(C109="Trả lại đơn vụ","",IF(C109="Trả lại đơn việc","",IF((NETWORKDAYS(F109,G109,'Danh sách ngày nghỉ lễ'!$B$5:$B$25)-1-3)&gt;0,"Quá hạn"&amp;" "&amp;(NETWORKDAYS(F109,G109,'Danh sách ngày nghỉ lễ'!$B$5:$B$25)-1-3)&amp;" "&amp;"ngày","")))</f>
        <v/>
      </c>
      <c r="Y109" s="72" t="str">
        <f>IF(S109=0,"",IF(P109="Chuyển","",IF(P109="Nhập vào vụ khác","",IF(P109="BA",IF((S109-R109)&gt;10,"Quá hạn"&amp;" "&amp;(S109-R109-10)&amp;" "&amp;"ngày",""),IF((NETWORKDAYS(R109,S109,'Danh sách ngày nghỉ lễ'!$B$5:$B$25)-VLOOKUP(P109,'Thời hạn'!$A$17:$B$23,2,0))&gt;1,"Quá hạn"&amp;" "&amp;(NETWORKDAYS(R109,S109,'Danh sách ngày nghỉ lễ'!$B$5:$B$25)-1-VLOOKUP(P109,'Thời hạn'!$A$17:$B$23,2,0))&amp;" "&amp;"ngày","")))))</f>
        <v/>
      </c>
      <c r="Z109" s="23">
        <v>1</v>
      </c>
    </row>
    <row r="110" spans="1:26" x14ac:dyDescent="0.3">
      <c r="A110" s="24">
        <v>1</v>
      </c>
      <c r="B110" s="39"/>
      <c r="C110" s="33"/>
      <c r="D110" s="25"/>
      <c r="E110" s="25"/>
      <c r="F110" s="34"/>
      <c r="G110" s="34"/>
      <c r="H110" s="25"/>
      <c r="I110" s="70" t="str">
        <f>IF(C110="Trả lại đơn vụ","",IF(C110="Trả lại đơn việc","",IF(C110="Hòa giải thành","",IF(F110=0,"",EDATE(F110,VLOOKUP(C110,'Thời hạn'!$D$1:$E$10,2,0))+H110))))</f>
        <v/>
      </c>
      <c r="J110" s="59" t="str">
        <f t="shared" ca="1" si="1"/>
        <v/>
      </c>
      <c r="K110" s="25"/>
      <c r="L110" s="129"/>
      <c r="M110" s="130"/>
      <c r="N110" s="35"/>
      <c r="O110" s="34"/>
      <c r="P110" s="25"/>
      <c r="Q110" s="25"/>
      <c r="R110" s="34"/>
      <c r="S110" s="34"/>
      <c r="T110" s="137"/>
      <c r="U110" s="137"/>
      <c r="V110" s="36"/>
      <c r="W110" s="37"/>
      <c r="X110" s="71" t="str">
        <f>IF(C110="Trả lại đơn vụ","",IF(C110="Trả lại đơn việc","",IF((NETWORKDAYS(F110,G110,'Danh sách ngày nghỉ lễ'!$B$5:$B$25)-1-3)&gt;0,"Quá hạn"&amp;" "&amp;(NETWORKDAYS(F110,G110,'Danh sách ngày nghỉ lễ'!$B$5:$B$25)-1-3)&amp;" "&amp;"ngày","")))</f>
        <v/>
      </c>
      <c r="Y110" s="72" t="str">
        <f>IF(S110=0,"",IF(P110="Chuyển","",IF(P110="Nhập vào vụ khác","",IF(P110="BA",IF((S110-R110)&gt;10,"Quá hạn"&amp;" "&amp;(S110-R110-10)&amp;" "&amp;"ngày",""),IF((NETWORKDAYS(R110,S110,'Danh sách ngày nghỉ lễ'!$B$5:$B$25)-VLOOKUP(P110,'Thời hạn'!$A$17:$B$23,2,0))&gt;1,"Quá hạn"&amp;" "&amp;(NETWORKDAYS(R110,S110,'Danh sách ngày nghỉ lễ'!$B$5:$B$25)-1-VLOOKUP(P110,'Thời hạn'!$A$17:$B$23,2,0))&amp;" "&amp;"ngày","")))))</f>
        <v/>
      </c>
      <c r="Z110" s="23">
        <v>1</v>
      </c>
    </row>
    <row r="111" spans="1:26" x14ac:dyDescent="0.3">
      <c r="A111" s="24">
        <v>1</v>
      </c>
      <c r="B111" s="39"/>
      <c r="C111" s="33"/>
      <c r="D111" s="25"/>
      <c r="E111" s="25"/>
      <c r="F111" s="34"/>
      <c r="G111" s="34"/>
      <c r="H111" s="25"/>
      <c r="I111" s="70" t="str">
        <f>IF(C111="Trả lại đơn vụ","",IF(C111="Trả lại đơn việc","",IF(C111="Hòa giải thành","",IF(F111=0,"",EDATE(F111,VLOOKUP(C111,'Thời hạn'!$D$1:$E$10,2,0))+H111))))</f>
        <v/>
      </c>
      <c r="J111" s="59" t="str">
        <f t="shared" ca="1" si="1"/>
        <v/>
      </c>
      <c r="K111" s="25"/>
      <c r="L111" s="129"/>
      <c r="M111" s="130"/>
      <c r="N111" s="35"/>
      <c r="O111" s="34"/>
      <c r="P111" s="25"/>
      <c r="Q111" s="25"/>
      <c r="R111" s="34"/>
      <c r="S111" s="34"/>
      <c r="T111" s="137"/>
      <c r="U111" s="137"/>
      <c r="V111" s="36"/>
      <c r="W111" s="37"/>
      <c r="X111" s="71" t="str">
        <f>IF(C111="Trả lại đơn vụ","",IF(C111="Trả lại đơn việc","",IF((NETWORKDAYS(F111,G111,'Danh sách ngày nghỉ lễ'!$B$5:$B$25)-1-3)&gt;0,"Quá hạn"&amp;" "&amp;(NETWORKDAYS(F111,G111,'Danh sách ngày nghỉ lễ'!$B$5:$B$25)-1-3)&amp;" "&amp;"ngày","")))</f>
        <v/>
      </c>
      <c r="Y111" s="72" t="str">
        <f>IF(S111=0,"",IF(P111="Chuyển","",IF(P111="Nhập vào vụ khác","",IF(P111="BA",IF((S111-R111)&gt;10,"Quá hạn"&amp;" "&amp;(S111-R111-10)&amp;" "&amp;"ngày",""),IF((NETWORKDAYS(R111,S111,'Danh sách ngày nghỉ lễ'!$B$5:$B$25)-VLOOKUP(P111,'Thời hạn'!$A$17:$B$23,2,0))&gt;1,"Quá hạn"&amp;" "&amp;(NETWORKDAYS(R111,S111,'Danh sách ngày nghỉ lễ'!$B$5:$B$25)-1-VLOOKUP(P111,'Thời hạn'!$A$17:$B$23,2,0))&amp;" "&amp;"ngày","")))))</f>
        <v/>
      </c>
      <c r="Z111" s="23">
        <v>1</v>
      </c>
    </row>
    <row r="112" spans="1:26" x14ac:dyDescent="0.3">
      <c r="A112" s="24">
        <v>1</v>
      </c>
      <c r="B112" s="39"/>
      <c r="C112" s="33"/>
      <c r="D112" s="25"/>
      <c r="E112" s="25"/>
      <c r="F112" s="34"/>
      <c r="G112" s="34"/>
      <c r="H112" s="25"/>
      <c r="I112" s="70" t="str">
        <f>IF(C112="Trả lại đơn vụ","",IF(C112="Trả lại đơn việc","",IF(C112="Hòa giải thành","",IF(F112=0,"",EDATE(F112,VLOOKUP(C112,'Thời hạn'!$D$1:$E$10,2,0))+H112))))</f>
        <v/>
      </c>
      <c r="J112" s="59" t="str">
        <f t="shared" ca="1" si="1"/>
        <v/>
      </c>
      <c r="K112" s="25"/>
      <c r="L112" s="129"/>
      <c r="M112" s="130"/>
      <c r="N112" s="35"/>
      <c r="O112" s="34"/>
      <c r="P112" s="25"/>
      <c r="Q112" s="25"/>
      <c r="R112" s="34"/>
      <c r="S112" s="34"/>
      <c r="T112" s="137"/>
      <c r="U112" s="137"/>
      <c r="V112" s="36"/>
      <c r="W112" s="37"/>
      <c r="X112" s="71" t="str">
        <f>IF(C112="Trả lại đơn vụ","",IF(C112="Trả lại đơn việc","",IF((NETWORKDAYS(F112,G112,'Danh sách ngày nghỉ lễ'!$B$5:$B$25)-1-3)&gt;0,"Quá hạn"&amp;" "&amp;(NETWORKDAYS(F112,G112,'Danh sách ngày nghỉ lễ'!$B$5:$B$25)-1-3)&amp;" "&amp;"ngày","")))</f>
        <v/>
      </c>
      <c r="Y112" s="72" t="str">
        <f>IF(S112=0,"",IF(P112="Chuyển","",IF(P112="Nhập vào vụ khác","",IF(P112="BA",IF((S112-R112)&gt;10,"Quá hạn"&amp;" "&amp;(S112-R112-10)&amp;" "&amp;"ngày",""),IF((NETWORKDAYS(R112,S112,'Danh sách ngày nghỉ lễ'!$B$5:$B$25)-VLOOKUP(P112,'Thời hạn'!$A$17:$B$23,2,0))&gt;1,"Quá hạn"&amp;" "&amp;(NETWORKDAYS(R112,S112,'Danh sách ngày nghỉ lễ'!$B$5:$B$25)-1-VLOOKUP(P112,'Thời hạn'!$A$17:$B$23,2,0))&amp;" "&amp;"ngày","")))))</f>
        <v/>
      </c>
      <c r="Z112" s="23">
        <v>1</v>
      </c>
    </row>
    <row r="113" spans="1:26" x14ac:dyDescent="0.3">
      <c r="A113" s="24">
        <v>1</v>
      </c>
      <c r="B113" s="39"/>
      <c r="C113" s="33"/>
      <c r="D113" s="25"/>
      <c r="E113" s="25"/>
      <c r="F113" s="34"/>
      <c r="G113" s="34"/>
      <c r="H113" s="25"/>
      <c r="I113" s="70" t="str">
        <f>IF(C113="Trả lại đơn vụ","",IF(C113="Trả lại đơn việc","",IF(C113="Hòa giải thành","",IF(F113=0,"",EDATE(F113,VLOOKUP(C113,'Thời hạn'!$D$1:$E$10,2,0))+H113))))</f>
        <v/>
      </c>
      <c r="J113" s="59" t="str">
        <f t="shared" ca="1" si="1"/>
        <v/>
      </c>
      <c r="K113" s="25"/>
      <c r="L113" s="129"/>
      <c r="M113" s="130"/>
      <c r="N113" s="35"/>
      <c r="O113" s="34"/>
      <c r="P113" s="25"/>
      <c r="Q113" s="25"/>
      <c r="R113" s="34"/>
      <c r="S113" s="34"/>
      <c r="T113" s="137"/>
      <c r="U113" s="137"/>
      <c r="V113" s="36"/>
      <c r="W113" s="37"/>
      <c r="X113" s="71" t="str">
        <f>IF(C113="Trả lại đơn vụ","",IF(C113="Trả lại đơn việc","",IF((NETWORKDAYS(F113,G113,'Danh sách ngày nghỉ lễ'!$B$5:$B$25)-1-3)&gt;0,"Quá hạn"&amp;" "&amp;(NETWORKDAYS(F113,G113,'Danh sách ngày nghỉ lễ'!$B$5:$B$25)-1-3)&amp;" "&amp;"ngày","")))</f>
        <v/>
      </c>
      <c r="Y113" s="72" t="str">
        <f>IF(S113=0,"",IF(P113="Chuyển","",IF(P113="Nhập vào vụ khác","",IF(P113="BA",IF((S113-R113)&gt;10,"Quá hạn"&amp;" "&amp;(S113-R113-10)&amp;" "&amp;"ngày",""),IF((NETWORKDAYS(R113,S113,'Danh sách ngày nghỉ lễ'!$B$5:$B$25)-VLOOKUP(P113,'Thời hạn'!$A$17:$B$23,2,0))&gt;1,"Quá hạn"&amp;" "&amp;(NETWORKDAYS(R113,S113,'Danh sách ngày nghỉ lễ'!$B$5:$B$25)-1-VLOOKUP(P113,'Thời hạn'!$A$17:$B$23,2,0))&amp;" "&amp;"ngày","")))))</f>
        <v/>
      </c>
      <c r="Z113" s="23">
        <v>1</v>
      </c>
    </row>
    <row r="114" spans="1:26" x14ac:dyDescent="0.3">
      <c r="A114" s="24">
        <v>1</v>
      </c>
      <c r="B114" s="39"/>
      <c r="C114" s="33"/>
      <c r="D114" s="25"/>
      <c r="E114" s="25"/>
      <c r="F114" s="34"/>
      <c r="G114" s="34"/>
      <c r="H114" s="25"/>
      <c r="I114" s="70" t="str">
        <f>IF(C114="Trả lại đơn vụ","",IF(C114="Trả lại đơn việc","",IF(C114="Hòa giải thành","",IF(F114=0,"",EDATE(F114,VLOOKUP(C114,'Thời hạn'!$D$1:$E$10,2,0))+H114))))</f>
        <v/>
      </c>
      <c r="J114" s="59" t="str">
        <f t="shared" ca="1" si="1"/>
        <v/>
      </c>
      <c r="K114" s="25"/>
      <c r="L114" s="129"/>
      <c r="M114" s="130"/>
      <c r="N114" s="35"/>
      <c r="O114" s="34"/>
      <c r="P114" s="25"/>
      <c r="Q114" s="25"/>
      <c r="R114" s="34"/>
      <c r="S114" s="34"/>
      <c r="T114" s="137"/>
      <c r="U114" s="137"/>
      <c r="V114" s="36"/>
      <c r="W114" s="37"/>
      <c r="X114" s="71" t="str">
        <f>IF(C114="Trả lại đơn vụ","",IF(C114="Trả lại đơn việc","",IF((NETWORKDAYS(F114,G114,'Danh sách ngày nghỉ lễ'!$B$5:$B$25)-1-3)&gt;0,"Quá hạn"&amp;" "&amp;(NETWORKDAYS(F114,G114,'Danh sách ngày nghỉ lễ'!$B$5:$B$25)-1-3)&amp;" "&amp;"ngày","")))</f>
        <v/>
      </c>
      <c r="Y114" s="72" t="str">
        <f>IF(S114=0,"",IF(P114="Chuyển","",IF(P114="Nhập vào vụ khác","",IF(P114="BA",IF((S114-R114)&gt;10,"Quá hạn"&amp;" "&amp;(S114-R114-10)&amp;" "&amp;"ngày",""),IF((NETWORKDAYS(R114,S114,'Danh sách ngày nghỉ lễ'!$B$5:$B$25)-VLOOKUP(P114,'Thời hạn'!$A$17:$B$23,2,0))&gt;1,"Quá hạn"&amp;" "&amp;(NETWORKDAYS(R114,S114,'Danh sách ngày nghỉ lễ'!$B$5:$B$25)-1-VLOOKUP(P114,'Thời hạn'!$A$17:$B$23,2,0))&amp;" "&amp;"ngày","")))))</f>
        <v/>
      </c>
      <c r="Z114" s="23">
        <v>1</v>
      </c>
    </row>
    <row r="115" spans="1:26" x14ac:dyDescent="0.3">
      <c r="A115" s="24">
        <v>1</v>
      </c>
      <c r="B115" s="39"/>
      <c r="C115" s="33"/>
      <c r="D115" s="25"/>
      <c r="E115" s="25"/>
      <c r="F115" s="34"/>
      <c r="G115" s="34"/>
      <c r="H115" s="25"/>
      <c r="I115" s="70" t="str">
        <f>IF(C115="Trả lại đơn vụ","",IF(C115="Trả lại đơn việc","",IF(C115="Hòa giải thành","",IF(F115=0,"",EDATE(F115,VLOOKUP(C115,'Thời hạn'!$D$1:$E$10,2,0))+H115))))</f>
        <v/>
      </c>
      <c r="J115" s="59" t="str">
        <f t="shared" ca="1" si="1"/>
        <v/>
      </c>
      <c r="K115" s="25"/>
      <c r="L115" s="129"/>
      <c r="M115" s="130"/>
      <c r="N115" s="35"/>
      <c r="O115" s="34"/>
      <c r="P115" s="25"/>
      <c r="Q115" s="25"/>
      <c r="R115" s="34"/>
      <c r="S115" s="34"/>
      <c r="T115" s="137"/>
      <c r="U115" s="137"/>
      <c r="V115" s="36"/>
      <c r="W115" s="37"/>
      <c r="X115" s="71" t="str">
        <f>IF(C115="Trả lại đơn vụ","",IF(C115="Trả lại đơn việc","",IF((NETWORKDAYS(F115,G115,'Danh sách ngày nghỉ lễ'!$B$5:$B$25)-1-3)&gt;0,"Quá hạn"&amp;" "&amp;(NETWORKDAYS(F115,G115,'Danh sách ngày nghỉ lễ'!$B$5:$B$25)-1-3)&amp;" "&amp;"ngày","")))</f>
        <v/>
      </c>
      <c r="Y115" s="72" t="str">
        <f>IF(S115=0,"",IF(P115="Chuyển","",IF(P115="Nhập vào vụ khác","",IF(P115="BA",IF((S115-R115)&gt;10,"Quá hạn"&amp;" "&amp;(S115-R115-10)&amp;" "&amp;"ngày",""),IF((NETWORKDAYS(R115,S115,'Danh sách ngày nghỉ lễ'!$B$5:$B$25)-VLOOKUP(P115,'Thời hạn'!$A$17:$B$23,2,0))&gt;1,"Quá hạn"&amp;" "&amp;(NETWORKDAYS(R115,S115,'Danh sách ngày nghỉ lễ'!$B$5:$B$25)-1-VLOOKUP(P115,'Thời hạn'!$A$17:$B$23,2,0))&amp;" "&amp;"ngày","")))))</f>
        <v/>
      </c>
      <c r="Z115" s="23">
        <v>1</v>
      </c>
    </row>
    <row r="116" spans="1:26" x14ac:dyDescent="0.3">
      <c r="A116" s="24">
        <v>1</v>
      </c>
      <c r="B116" s="39"/>
      <c r="C116" s="33"/>
      <c r="D116" s="25"/>
      <c r="E116" s="25"/>
      <c r="F116" s="34"/>
      <c r="G116" s="34"/>
      <c r="H116" s="25"/>
      <c r="I116" s="70" t="str">
        <f>IF(C116="Trả lại đơn vụ","",IF(C116="Trả lại đơn việc","",IF(C116="Hòa giải thành","",IF(F116=0,"",EDATE(F116,VLOOKUP(C116,'Thời hạn'!$D$1:$E$10,2,0))+H116))))</f>
        <v/>
      </c>
      <c r="J116" s="59" t="str">
        <f t="shared" ca="1" si="1"/>
        <v/>
      </c>
      <c r="K116" s="25"/>
      <c r="L116" s="129"/>
      <c r="M116" s="130"/>
      <c r="N116" s="35"/>
      <c r="O116" s="34"/>
      <c r="P116" s="25"/>
      <c r="Q116" s="25"/>
      <c r="R116" s="34"/>
      <c r="S116" s="34"/>
      <c r="T116" s="137"/>
      <c r="U116" s="137"/>
      <c r="V116" s="36"/>
      <c r="W116" s="37"/>
      <c r="X116" s="71" t="str">
        <f>IF(C116="Trả lại đơn vụ","",IF(C116="Trả lại đơn việc","",IF((NETWORKDAYS(F116,G116,'Danh sách ngày nghỉ lễ'!$B$5:$B$25)-1-3)&gt;0,"Quá hạn"&amp;" "&amp;(NETWORKDAYS(F116,G116,'Danh sách ngày nghỉ lễ'!$B$5:$B$25)-1-3)&amp;" "&amp;"ngày","")))</f>
        <v/>
      </c>
      <c r="Y116" s="72" t="str">
        <f>IF(S116=0,"",IF(P116="Chuyển","",IF(P116="Nhập vào vụ khác","",IF(P116="BA",IF((S116-R116)&gt;10,"Quá hạn"&amp;" "&amp;(S116-R116-10)&amp;" "&amp;"ngày",""),IF((NETWORKDAYS(R116,S116,'Danh sách ngày nghỉ lễ'!$B$5:$B$25)-VLOOKUP(P116,'Thời hạn'!$A$17:$B$23,2,0))&gt;1,"Quá hạn"&amp;" "&amp;(NETWORKDAYS(R116,S116,'Danh sách ngày nghỉ lễ'!$B$5:$B$25)-1-VLOOKUP(P116,'Thời hạn'!$A$17:$B$23,2,0))&amp;" "&amp;"ngày","")))))</f>
        <v/>
      </c>
      <c r="Z116" s="23">
        <v>1</v>
      </c>
    </row>
    <row r="117" spans="1:26" x14ac:dyDescent="0.3">
      <c r="A117" s="24">
        <v>1</v>
      </c>
      <c r="B117" s="39"/>
      <c r="C117" s="33"/>
      <c r="D117" s="25"/>
      <c r="E117" s="25"/>
      <c r="F117" s="34"/>
      <c r="G117" s="34"/>
      <c r="H117" s="25"/>
      <c r="I117" s="70" t="str">
        <f>IF(C117="Trả lại đơn vụ","",IF(C117="Trả lại đơn việc","",IF(C117="Hòa giải thành","",IF(F117=0,"",EDATE(F117,VLOOKUP(C117,'Thời hạn'!$D$1:$E$10,2,0))+H117))))</f>
        <v/>
      </c>
      <c r="J117" s="59" t="str">
        <f t="shared" ca="1" si="1"/>
        <v/>
      </c>
      <c r="K117" s="25"/>
      <c r="L117" s="129"/>
      <c r="M117" s="130"/>
      <c r="N117" s="35"/>
      <c r="O117" s="34"/>
      <c r="P117" s="25"/>
      <c r="Q117" s="25"/>
      <c r="R117" s="34"/>
      <c r="S117" s="34"/>
      <c r="T117" s="137"/>
      <c r="U117" s="137"/>
      <c r="V117" s="36"/>
      <c r="W117" s="37"/>
      <c r="X117" s="71" t="str">
        <f>IF(C117="Trả lại đơn vụ","",IF(C117="Trả lại đơn việc","",IF((NETWORKDAYS(F117,G117,'Danh sách ngày nghỉ lễ'!$B$5:$B$25)-1-3)&gt;0,"Quá hạn"&amp;" "&amp;(NETWORKDAYS(F117,G117,'Danh sách ngày nghỉ lễ'!$B$5:$B$25)-1-3)&amp;" "&amp;"ngày","")))</f>
        <v/>
      </c>
      <c r="Y117" s="72" t="str">
        <f>IF(S117=0,"",IF(P117="Chuyển","",IF(P117="Nhập vào vụ khác","",IF(P117="BA",IF((S117-R117)&gt;10,"Quá hạn"&amp;" "&amp;(S117-R117-10)&amp;" "&amp;"ngày",""),IF((NETWORKDAYS(R117,S117,'Danh sách ngày nghỉ lễ'!$B$5:$B$25)-VLOOKUP(P117,'Thời hạn'!$A$17:$B$23,2,0))&gt;1,"Quá hạn"&amp;" "&amp;(NETWORKDAYS(R117,S117,'Danh sách ngày nghỉ lễ'!$B$5:$B$25)-1-VLOOKUP(P117,'Thời hạn'!$A$17:$B$23,2,0))&amp;" "&amp;"ngày","")))))</f>
        <v/>
      </c>
      <c r="Z117" s="23">
        <v>1</v>
      </c>
    </row>
    <row r="118" spans="1:26" x14ac:dyDescent="0.3">
      <c r="A118" s="24">
        <v>1</v>
      </c>
      <c r="B118" s="39"/>
      <c r="C118" s="33"/>
      <c r="D118" s="25"/>
      <c r="E118" s="25"/>
      <c r="F118" s="34"/>
      <c r="G118" s="34"/>
      <c r="H118" s="25"/>
      <c r="I118" s="70" t="str">
        <f>IF(C118="Trả lại đơn vụ","",IF(C118="Trả lại đơn việc","",IF(C118="Hòa giải thành","",IF(F118=0,"",EDATE(F118,VLOOKUP(C118,'Thời hạn'!$D$1:$E$10,2,0))+H118))))</f>
        <v/>
      </c>
      <c r="J118" s="59" t="str">
        <f t="shared" ca="1" si="1"/>
        <v/>
      </c>
      <c r="K118" s="25"/>
      <c r="L118" s="129"/>
      <c r="M118" s="130"/>
      <c r="N118" s="35"/>
      <c r="O118" s="34"/>
      <c r="P118" s="25"/>
      <c r="Q118" s="25"/>
      <c r="R118" s="34"/>
      <c r="S118" s="34"/>
      <c r="T118" s="137"/>
      <c r="U118" s="137"/>
      <c r="V118" s="36"/>
      <c r="W118" s="37"/>
      <c r="X118" s="71" t="str">
        <f>IF(C118="Trả lại đơn vụ","",IF(C118="Trả lại đơn việc","",IF((NETWORKDAYS(F118,G118,'Danh sách ngày nghỉ lễ'!$B$5:$B$25)-1-3)&gt;0,"Quá hạn"&amp;" "&amp;(NETWORKDAYS(F118,G118,'Danh sách ngày nghỉ lễ'!$B$5:$B$25)-1-3)&amp;" "&amp;"ngày","")))</f>
        <v/>
      </c>
      <c r="Y118" s="72" t="str">
        <f>IF(S118=0,"",IF(P118="Chuyển","",IF(P118="Nhập vào vụ khác","",IF(P118="BA",IF((S118-R118)&gt;10,"Quá hạn"&amp;" "&amp;(S118-R118-10)&amp;" "&amp;"ngày",""),IF((NETWORKDAYS(R118,S118,'Danh sách ngày nghỉ lễ'!$B$5:$B$25)-VLOOKUP(P118,'Thời hạn'!$A$17:$B$23,2,0))&gt;1,"Quá hạn"&amp;" "&amp;(NETWORKDAYS(R118,S118,'Danh sách ngày nghỉ lễ'!$B$5:$B$25)-1-VLOOKUP(P118,'Thời hạn'!$A$17:$B$23,2,0))&amp;" "&amp;"ngày","")))))</f>
        <v/>
      </c>
      <c r="Z118" s="23">
        <v>1</v>
      </c>
    </row>
    <row r="119" spans="1:26" x14ac:dyDescent="0.3">
      <c r="A119" s="24">
        <v>1</v>
      </c>
      <c r="B119" s="39"/>
      <c r="C119" s="33"/>
      <c r="D119" s="25"/>
      <c r="E119" s="25"/>
      <c r="F119" s="34"/>
      <c r="G119" s="34"/>
      <c r="H119" s="25"/>
      <c r="I119" s="70" t="str">
        <f>IF(C119="Trả lại đơn vụ","",IF(C119="Trả lại đơn việc","",IF(C119="Hòa giải thành","",IF(F119=0,"",EDATE(F119,VLOOKUP(C119,'Thời hạn'!$D$1:$E$10,2,0))+H119))))</f>
        <v/>
      </c>
      <c r="J119" s="59" t="str">
        <f t="shared" ca="1" si="1"/>
        <v/>
      </c>
      <c r="K119" s="25"/>
      <c r="L119" s="129"/>
      <c r="M119" s="130"/>
      <c r="N119" s="35"/>
      <c r="O119" s="34"/>
      <c r="P119" s="25"/>
      <c r="Q119" s="25"/>
      <c r="R119" s="34"/>
      <c r="S119" s="34"/>
      <c r="T119" s="137"/>
      <c r="U119" s="137"/>
      <c r="V119" s="36"/>
      <c r="W119" s="37"/>
      <c r="X119" s="71" t="str">
        <f>IF(C119="Trả lại đơn vụ","",IF(C119="Trả lại đơn việc","",IF((NETWORKDAYS(F119,G119,'Danh sách ngày nghỉ lễ'!$B$5:$B$25)-1-3)&gt;0,"Quá hạn"&amp;" "&amp;(NETWORKDAYS(F119,G119,'Danh sách ngày nghỉ lễ'!$B$5:$B$25)-1-3)&amp;" "&amp;"ngày","")))</f>
        <v/>
      </c>
      <c r="Y119" s="72" t="str">
        <f>IF(S119=0,"",IF(P119="Chuyển","",IF(P119="Nhập vào vụ khác","",IF(P119="BA",IF((S119-R119)&gt;10,"Quá hạn"&amp;" "&amp;(S119-R119-10)&amp;" "&amp;"ngày",""),IF((NETWORKDAYS(R119,S119,'Danh sách ngày nghỉ lễ'!$B$5:$B$25)-VLOOKUP(P119,'Thời hạn'!$A$17:$B$23,2,0))&gt;1,"Quá hạn"&amp;" "&amp;(NETWORKDAYS(R119,S119,'Danh sách ngày nghỉ lễ'!$B$5:$B$25)-1-VLOOKUP(P119,'Thời hạn'!$A$17:$B$23,2,0))&amp;" "&amp;"ngày","")))))</f>
        <v/>
      </c>
      <c r="Z119" s="23">
        <v>1</v>
      </c>
    </row>
    <row r="120" spans="1:26" x14ac:dyDescent="0.3">
      <c r="A120" s="24">
        <v>1</v>
      </c>
      <c r="B120" s="39"/>
      <c r="C120" s="33"/>
      <c r="D120" s="25"/>
      <c r="E120" s="25"/>
      <c r="F120" s="34"/>
      <c r="G120" s="34"/>
      <c r="H120" s="25"/>
      <c r="I120" s="70" t="str">
        <f>IF(C120="Trả lại đơn vụ","",IF(C120="Trả lại đơn việc","",IF(C120="Hòa giải thành","",IF(F120=0,"",EDATE(F120,VLOOKUP(C120,'Thời hạn'!$D$1:$E$10,2,0))+H120))))</f>
        <v/>
      </c>
      <c r="J120" s="59" t="str">
        <f t="shared" ca="1" si="1"/>
        <v/>
      </c>
      <c r="K120" s="25"/>
      <c r="L120" s="129"/>
      <c r="M120" s="130"/>
      <c r="N120" s="35"/>
      <c r="O120" s="34"/>
      <c r="P120" s="25"/>
      <c r="Q120" s="25"/>
      <c r="R120" s="34"/>
      <c r="S120" s="34"/>
      <c r="T120" s="137"/>
      <c r="U120" s="137"/>
      <c r="V120" s="36"/>
      <c r="W120" s="37"/>
      <c r="X120" s="71" t="str">
        <f>IF(C120="Trả lại đơn vụ","",IF(C120="Trả lại đơn việc","",IF((NETWORKDAYS(F120,G120,'Danh sách ngày nghỉ lễ'!$B$5:$B$25)-1-3)&gt;0,"Quá hạn"&amp;" "&amp;(NETWORKDAYS(F120,G120,'Danh sách ngày nghỉ lễ'!$B$5:$B$25)-1-3)&amp;" "&amp;"ngày","")))</f>
        <v/>
      </c>
      <c r="Y120" s="72" t="str">
        <f>IF(S120=0,"",IF(P120="Chuyển","",IF(P120="Nhập vào vụ khác","",IF(P120="BA",IF((S120-R120)&gt;10,"Quá hạn"&amp;" "&amp;(S120-R120-10)&amp;" "&amp;"ngày",""),IF((NETWORKDAYS(R120,S120,'Danh sách ngày nghỉ lễ'!$B$5:$B$25)-VLOOKUP(P120,'Thời hạn'!$A$17:$B$23,2,0))&gt;1,"Quá hạn"&amp;" "&amp;(NETWORKDAYS(R120,S120,'Danh sách ngày nghỉ lễ'!$B$5:$B$25)-1-VLOOKUP(P120,'Thời hạn'!$A$17:$B$23,2,0))&amp;" "&amp;"ngày","")))))</f>
        <v/>
      </c>
      <c r="Z120" s="23">
        <v>1</v>
      </c>
    </row>
    <row r="121" spans="1:26" x14ac:dyDescent="0.3">
      <c r="A121" s="24">
        <v>1</v>
      </c>
      <c r="B121" s="39"/>
      <c r="C121" s="33"/>
      <c r="D121" s="25"/>
      <c r="E121" s="25"/>
      <c r="F121" s="34"/>
      <c r="G121" s="34"/>
      <c r="H121" s="25"/>
      <c r="I121" s="70" t="str">
        <f>IF(C121="Trả lại đơn vụ","",IF(C121="Trả lại đơn việc","",IF(C121="Hòa giải thành","",IF(F121=0,"",EDATE(F121,VLOOKUP(C121,'Thời hạn'!$D$1:$E$10,2,0))+H121))))</f>
        <v/>
      </c>
      <c r="J121" s="59" t="str">
        <f t="shared" ca="1" si="1"/>
        <v/>
      </c>
      <c r="K121" s="25"/>
      <c r="L121" s="129"/>
      <c r="M121" s="130"/>
      <c r="N121" s="35"/>
      <c r="O121" s="34"/>
      <c r="P121" s="25"/>
      <c r="Q121" s="25"/>
      <c r="R121" s="34"/>
      <c r="S121" s="34"/>
      <c r="T121" s="137"/>
      <c r="U121" s="137"/>
      <c r="V121" s="36"/>
      <c r="W121" s="37"/>
      <c r="X121" s="71" t="str">
        <f>IF(C121="Trả lại đơn vụ","",IF(C121="Trả lại đơn việc","",IF((NETWORKDAYS(F121,G121,'Danh sách ngày nghỉ lễ'!$B$5:$B$25)-1-3)&gt;0,"Quá hạn"&amp;" "&amp;(NETWORKDAYS(F121,G121,'Danh sách ngày nghỉ lễ'!$B$5:$B$25)-1-3)&amp;" "&amp;"ngày","")))</f>
        <v/>
      </c>
      <c r="Y121" s="72" t="str">
        <f>IF(S121=0,"",IF(P121="Chuyển","",IF(P121="Nhập vào vụ khác","",IF(P121="BA",IF((S121-R121)&gt;10,"Quá hạn"&amp;" "&amp;(S121-R121-10)&amp;" "&amp;"ngày",""),IF((NETWORKDAYS(R121,S121,'Danh sách ngày nghỉ lễ'!$B$5:$B$25)-VLOOKUP(P121,'Thời hạn'!$A$17:$B$23,2,0))&gt;1,"Quá hạn"&amp;" "&amp;(NETWORKDAYS(R121,S121,'Danh sách ngày nghỉ lễ'!$B$5:$B$25)-1-VLOOKUP(P121,'Thời hạn'!$A$17:$B$23,2,0))&amp;" "&amp;"ngày","")))))</f>
        <v/>
      </c>
      <c r="Z121" s="23">
        <v>1</v>
      </c>
    </row>
    <row r="122" spans="1:26" x14ac:dyDescent="0.3">
      <c r="A122" s="24">
        <v>1</v>
      </c>
      <c r="B122" s="39"/>
      <c r="C122" s="33"/>
      <c r="D122" s="25"/>
      <c r="E122" s="25"/>
      <c r="F122" s="34"/>
      <c r="G122" s="34"/>
      <c r="H122" s="25"/>
      <c r="I122" s="70" t="str">
        <f>IF(C122="Trả lại đơn vụ","",IF(C122="Trả lại đơn việc","",IF(C122="Hòa giải thành","",IF(F122=0,"",EDATE(F122,VLOOKUP(C122,'Thời hạn'!$D$1:$E$10,2,0))+H122))))</f>
        <v/>
      </c>
      <c r="J122" s="59" t="str">
        <f t="shared" ca="1" si="1"/>
        <v/>
      </c>
      <c r="K122" s="25"/>
      <c r="L122" s="129"/>
      <c r="M122" s="130"/>
      <c r="N122" s="35"/>
      <c r="O122" s="34"/>
      <c r="P122" s="25"/>
      <c r="Q122" s="25"/>
      <c r="R122" s="34"/>
      <c r="S122" s="34"/>
      <c r="T122" s="137"/>
      <c r="U122" s="137"/>
      <c r="V122" s="36"/>
      <c r="W122" s="37"/>
      <c r="X122" s="71" t="str">
        <f>IF(C122="Trả lại đơn vụ","",IF(C122="Trả lại đơn việc","",IF((NETWORKDAYS(F122,G122,'Danh sách ngày nghỉ lễ'!$B$5:$B$25)-1-3)&gt;0,"Quá hạn"&amp;" "&amp;(NETWORKDAYS(F122,G122,'Danh sách ngày nghỉ lễ'!$B$5:$B$25)-1-3)&amp;" "&amp;"ngày","")))</f>
        <v/>
      </c>
      <c r="Y122" s="72" t="str">
        <f>IF(S122=0,"",IF(P122="Chuyển","",IF(P122="Nhập vào vụ khác","",IF(P122="BA",IF((S122-R122)&gt;10,"Quá hạn"&amp;" "&amp;(S122-R122-10)&amp;" "&amp;"ngày",""),IF((NETWORKDAYS(R122,S122,'Danh sách ngày nghỉ lễ'!$B$5:$B$25)-VLOOKUP(P122,'Thời hạn'!$A$17:$B$23,2,0))&gt;1,"Quá hạn"&amp;" "&amp;(NETWORKDAYS(R122,S122,'Danh sách ngày nghỉ lễ'!$B$5:$B$25)-1-VLOOKUP(P122,'Thời hạn'!$A$17:$B$23,2,0))&amp;" "&amp;"ngày","")))))</f>
        <v/>
      </c>
      <c r="Z122" s="23">
        <v>1</v>
      </c>
    </row>
    <row r="123" spans="1:26" x14ac:dyDescent="0.3">
      <c r="A123" s="24">
        <v>1</v>
      </c>
      <c r="B123" s="39"/>
      <c r="C123" s="33"/>
      <c r="D123" s="25"/>
      <c r="E123" s="25"/>
      <c r="F123" s="34"/>
      <c r="G123" s="34"/>
      <c r="H123" s="25"/>
      <c r="I123" s="70" t="str">
        <f>IF(C123="Trả lại đơn vụ","",IF(C123="Trả lại đơn việc","",IF(C123="Hòa giải thành","",IF(F123=0,"",EDATE(F123,VLOOKUP(C123,'Thời hạn'!$D$1:$E$10,2,0))+H123))))</f>
        <v/>
      </c>
      <c r="J123" s="59" t="str">
        <f t="shared" ca="1" si="1"/>
        <v/>
      </c>
      <c r="K123" s="25"/>
      <c r="L123" s="129"/>
      <c r="M123" s="130"/>
      <c r="N123" s="35"/>
      <c r="O123" s="34"/>
      <c r="P123" s="25"/>
      <c r="Q123" s="25"/>
      <c r="R123" s="34"/>
      <c r="S123" s="34"/>
      <c r="T123" s="137"/>
      <c r="U123" s="137"/>
      <c r="V123" s="36"/>
      <c r="W123" s="37"/>
      <c r="X123" s="71" t="str">
        <f>IF(C123="Trả lại đơn vụ","",IF(C123="Trả lại đơn việc","",IF((NETWORKDAYS(F123,G123,'Danh sách ngày nghỉ lễ'!$B$5:$B$25)-1-3)&gt;0,"Quá hạn"&amp;" "&amp;(NETWORKDAYS(F123,G123,'Danh sách ngày nghỉ lễ'!$B$5:$B$25)-1-3)&amp;" "&amp;"ngày","")))</f>
        <v/>
      </c>
      <c r="Y123" s="72" t="str">
        <f>IF(S123=0,"",IF(P123="Chuyển","",IF(P123="Nhập vào vụ khác","",IF(P123="BA",IF((S123-R123)&gt;10,"Quá hạn"&amp;" "&amp;(S123-R123-10)&amp;" "&amp;"ngày",""),IF((NETWORKDAYS(R123,S123,'Danh sách ngày nghỉ lễ'!$B$5:$B$25)-VLOOKUP(P123,'Thời hạn'!$A$17:$B$23,2,0))&gt;1,"Quá hạn"&amp;" "&amp;(NETWORKDAYS(R123,S123,'Danh sách ngày nghỉ lễ'!$B$5:$B$25)-1-VLOOKUP(P123,'Thời hạn'!$A$17:$B$23,2,0))&amp;" "&amp;"ngày","")))))</f>
        <v/>
      </c>
      <c r="Z123" s="23">
        <v>1</v>
      </c>
    </row>
    <row r="124" spans="1:26" x14ac:dyDescent="0.3">
      <c r="A124" s="24">
        <v>1</v>
      </c>
      <c r="B124" s="39"/>
      <c r="C124" s="33"/>
      <c r="D124" s="25"/>
      <c r="E124" s="25"/>
      <c r="F124" s="34"/>
      <c r="G124" s="34"/>
      <c r="H124" s="25"/>
      <c r="I124" s="70" t="str">
        <f>IF(C124="Trả lại đơn vụ","",IF(C124="Trả lại đơn việc","",IF(C124="Hòa giải thành","",IF(F124=0,"",EDATE(F124,VLOOKUP(C124,'Thời hạn'!$D$1:$E$10,2,0))+H124))))</f>
        <v/>
      </c>
      <c r="J124" s="59" t="str">
        <f t="shared" ca="1" si="1"/>
        <v/>
      </c>
      <c r="K124" s="25"/>
      <c r="L124" s="129"/>
      <c r="M124" s="130"/>
      <c r="N124" s="35"/>
      <c r="O124" s="34"/>
      <c r="P124" s="25"/>
      <c r="Q124" s="25"/>
      <c r="R124" s="34"/>
      <c r="S124" s="34"/>
      <c r="T124" s="137"/>
      <c r="U124" s="137"/>
      <c r="V124" s="36"/>
      <c r="W124" s="37"/>
      <c r="X124" s="71" t="str">
        <f>IF(C124="Trả lại đơn vụ","",IF(C124="Trả lại đơn việc","",IF((NETWORKDAYS(F124,G124,'Danh sách ngày nghỉ lễ'!$B$5:$B$25)-1-3)&gt;0,"Quá hạn"&amp;" "&amp;(NETWORKDAYS(F124,G124,'Danh sách ngày nghỉ lễ'!$B$5:$B$25)-1-3)&amp;" "&amp;"ngày","")))</f>
        <v/>
      </c>
      <c r="Y124" s="72" t="str">
        <f>IF(S124=0,"",IF(P124="Chuyển","",IF(P124="Nhập vào vụ khác","",IF(P124="BA",IF((S124-R124)&gt;10,"Quá hạn"&amp;" "&amp;(S124-R124-10)&amp;" "&amp;"ngày",""),IF((NETWORKDAYS(R124,S124,'Danh sách ngày nghỉ lễ'!$B$5:$B$25)-VLOOKUP(P124,'Thời hạn'!$A$17:$B$23,2,0))&gt;1,"Quá hạn"&amp;" "&amp;(NETWORKDAYS(R124,S124,'Danh sách ngày nghỉ lễ'!$B$5:$B$25)-1-VLOOKUP(P124,'Thời hạn'!$A$17:$B$23,2,0))&amp;" "&amp;"ngày","")))))</f>
        <v/>
      </c>
      <c r="Z124" s="23">
        <v>1</v>
      </c>
    </row>
    <row r="125" spans="1:26" x14ac:dyDescent="0.3">
      <c r="A125" s="24">
        <v>1</v>
      </c>
      <c r="B125" s="39"/>
      <c r="C125" s="33"/>
      <c r="D125" s="25"/>
      <c r="E125" s="25"/>
      <c r="F125" s="34"/>
      <c r="G125" s="34"/>
      <c r="H125" s="25"/>
      <c r="I125" s="70" t="str">
        <f>IF(C125="Trả lại đơn vụ","",IF(C125="Trả lại đơn việc","",IF(C125="Hòa giải thành","",IF(F125=0,"",EDATE(F125,VLOOKUP(C125,'Thời hạn'!$D$1:$E$10,2,0))+H125))))</f>
        <v/>
      </c>
      <c r="J125" s="59" t="str">
        <f t="shared" ca="1" si="1"/>
        <v/>
      </c>
      <c r="K125" s="25"/>
      <c r="L125" s="129"/>
      <c r="M125" s="130"/>
      <c r="N125" s="35"/>
      <c r="O125" s="34"/>
      <c r="P125" s="25"/>
      <c r="Q125" s="25"/>
      <c r="R125" s="34"/>
      <c r="S125" s="34"/>
      <c r="T125" s="137"/>
      <c r="U125" s="137"/>
      <c r="V125" s="36"/>
      <c r="W125" s="37"/>
      <c r="X125" s="71" t="str">
        <f>IF(C125="Trả lại đơn vụ","",IF(C125="Trả lại đơn việc","",IF((NETWORKDAYS(F125,G125,'Danh sách ngày nghỉ lễ'!$B$5:$B$25)-1-3)&gt;0,"Quá hạn"&amp;" "&amp;(NETWORKDAYS(F125,G125,'Danh sách ngày nghỉ lễ'!$B$5:$B$25)-1-3)&amp;" "&amp;"ngày","")))</f>
        <v/>
      </c>
      <c r="Y125" s="72" t="str">
        <f>IF(S125=0,"",IF(P125="Chuyển","",IF(P125="Nhập vào vụ khác","",IF(P125="BA",IF((S125-R125)&gt;10,"Quá hạn"&amp;" "&amp;(S125-R125-10)&amp;" "&amp;"ngày",""),IF((NETWORKDAYS(R125,S125,'Danh sách ngày nghỉ lễ'!$B$5:$B$25)-VLOOKUP(P125,'Thời hạn'!$A$17:$B$23,2,0))&gt;1,"Quá hạn"&amp;" "&amp;(NETWORKDAYS(R125,S125,'Danh sách ngày nghỉ lễ'!$B$5:$B$25)-1-VLOOKUP(P125,'Thời hạn'!$A$17:$B$23,2,0))&amp;" "&amp;"ngày","")))))</f>
        <v/>
      </c>
      <c r="Z125" s="23">
        <v>1</v>
      </c>
    </row>
    <row r="126" spans="1:26" x14ac:dyDescent="0.3">
      <c r="A126" s="24">
        <v>1</v>
      </c>
      <c r="B126" s="39"/>
      <c r="C126" s="33"/>
      <c r="D126" s="25"/>
      <c r="E126" s="25"/>
      <c r="F126" s="34"/>
      <c r="G126" s="34"/>
      <c r="H126" s="25"/>
      <c r="I126" s="70" t="str">
        <f>IF(C126="Trả lại đơn vụ","",IF(C126="Trả lại đơn việc","",IF(C126="Hòa giải thành","",IF(F126=0,"",EDATE(F126,VLOOKUP(C126,'Thời hạn'!$D$1:$E$10,2,0))+H126))))</f>
        <v/>
      </c>
      <c r="J126" s="59" t="str">
        <f t="shared" ca="1" si="1"/>
        <v/>
      </c>
      <c r="K126" s="25"/>
      <c r="L126" s="129"/>
      <c r="M126" s="130"/>
      <c r="N126" s="35"/>
      <c r="O126" s="34"/>
      <c r="P126" s="25"/>
      <c r="Q126" s="25"/>
      <c r="R126" s="34"/>
      <c r="S126" s="34"/>
      <c r="T126" s="137"/>
      <c r="U126" s="137"/>
      <c r="V126" s="36"/>
      <c r="W126" s="37"/>
      <c r="X126" s="71" t="str">
        <f>IF(C126="Trả lại đơn vụ","",IF(C126="Trả lại đơn việc","",IF((NETWORKDAYS(F126,G126,'Danh sách ngày nghỉ lễ'!$B$5:$B$25)-1-3)&gt;0,"Quá hạn"&amp;" "&amp;(NETWORKDAYS(F126,G126,'Danh sách ngày nghỉ lễ'!$B$5:$B$25)-1-3)&amp;" "&amp;"ngày","")))</f>
        <v/>
      </c>
      <c r="Y126" s="72" t="str">
        <f>IF(S126=0,"",IF(P126="Chuyển","",IF(P126="Nhập vào vụ khác","",IF(P126="BA",IF((S126-R126)&gt;10,"Quá hạn"&amp;" "&amp;(S126-R126-10)&amp;" "&amp;"ngày",""),IF((NETWORKDAYS(R126,S126,'Danh sách ngày nghỉ lễ'!$B$5:$B$25)-VLOOKUP(P126,'Thời hạn'!$A$17:$B$23,2,0))&gt;1,"Quá hạn"&amp;" "&amp;(NETWORKDAYS(R126,S126,'Danh sách ngày nghỉ lễ'!$B$5:$B$25)-1-VLOOKUP(P126,'Thời hạn'!$A$17:$B$23,2,0))&amp;" "&amp;"ngày","")))))</f>
        <v/>
      </c>
      <c r="Z126" s="23">
        <v>1</v>
      </c>
    </row>
    <row r="127" spans="1:26" x14ac:dyDescent="0.3">
      <c r="A127" s="24">
        <v>1</v>
      </c>
      <c r="B127" s="39"/>
      <c r="C127" s="33"/>
      <c r="D127" s="25"/>
      <c r="E127" s="25"/>
      <c r="F127" s="34"/>
      <c r="G127" s="34"/>
      <c r="H127" s="25"/>
      <c r="I127" s="70" t="str">
        <f>IF(C127="Trả lại đơn vụ","",IF(C127="Trả lại đơn việc","",IF(C127="Hòa giải thành","",IF(F127=0,"",EDATE(F127,VLOOKUP(C127,'Thời hạn'!$D$1:$E$10,2,0))+H127))))</f>
        <v/>
      </c>
      <c r="J127" s="59" t="str">
        <f t="shared" ca="1" si="1"/>
        <v/>
      </c>
      <c r="K127" s="25"/>
      <c r="L127" s="129"/>
      <c r="M127" s="130"/>
      <c r="N127" s="35"/>
      <c r="O127" s="34"/>
      <c r="P127" s="25"/>
      <c r="Q127" s="25"/>
      <c r="R127" s="34"/>
      <c r="S127" s="34"/>
      <c r="T127" s="137"/>
      <c r="U127" s="137"/>
      <c r="V127" s="36"/>
      <c r="W127" s="37"/>
      <c r="X127" s="71" t="str">
        <f>IF(C127="Trả lại đơn vụ","",IF(C127="Trả lại đơn việc","",IF((NETWORKDAYS(F127,G127,'Danh sách ngày nghỉ lễ'!$B$5:$B$25)-1-3)&gt;0,"Quá hạn"&amp;" "&amp;(NETWORKDAYS(F127,G127,'Danh sách ngày nghỉ lễ'!$B$5:$B$25)-1-3)&amp;" "&amp;"ngày","")))</f>
        <v/>
      </c>
      <c r="Y127" s="72" t="str">
        <f>IF(S127=0,"",IF(P127="Chuyển","",IF(P127="Nhập vào vụ khác","",IF(P127="BA",IF((S127-R127)&gt;10,"Quá hạn"&amp;" "&amp;(S127-R127-10)&amp;" "&amp;"ngày",""),IF((NETWORKDAYS(R127,S127,'Danh sách ngày nghỉ lễ'!$B$5:$B$25)-VLOOKUP(P127,'Thời hạn'!$A$17:$B$23,2,0))&gt;1,"Quá hạn"&amp;" "&amp;(NETWORKDAYS(R127,S127,'Danh sách ngày nghỉ lễ'!$B$5:$B$25)-1-VLOOKUP(P127,'Thời hạn'!$A$17:$B$23,2,0))&amp;" "&amp;"ngày","")))))</f>
        <v/>
      </c>
      <c r="Z127" s="23">
        <v>1</v>
      </c>
    </row>
    <row r="128" spans="1:26" x14ac:dyDescent="0.3">
      <c r="A128" s="24">
        <v>1</v>
      </c>
      <c r="B128" s="39"/>
      <c r="C128" s="33"/>
      <c r="D128" s="25"/>
      <c r="E128" s="25"/>
      <c r="F128" s="34"/>
      <c r="G128" s="34"/>
      <c r="H128" s="25"/>
      <c r="I128" s="70" t="str">
        <f>IF(C128="Trả lại đơn vụ","",IF(C128="Trả lại đơn việc","",IF(C128="Hòa giải thành","",IF(F128=0,"",EDATE(F128,VLOOKUP(C128,'Thời hạn'!$D$1:$E$10,2,0))+H128))))</f>
        <v/>
      </c>
      <c r="J128" s="59" t="str">
        <f t="shared" ca="1" si="1"/>
        <v/>
      </c>
      <c r="K128" s="25"/>
      <c r="L128" s="129"/>
      <c r="M128" s="130"/>
      <c r="N128" s="35"/>
      <c r="O128" s="34"/>
      <c r="P128" s="25"/>
      <c r="Q128" s="25"/>
      <c r="R128" s="34"/>
      <c r="S128" s="34"/>
      <c r="T128" s="137"/>
      <c r="U128" s="137"/>
      <c r="V128" s="36"/>
      <c r="W128" s="37"/>
      <c r="X128" s="71" t="str">
        <f>IF(C128="Trả lại đơn vụ","",IF(C128="Trả lại đơn việc","",IF((NETWORKDAYS(F128,G128,'Danh sách ngày nghỉ lễ'!$B$5:$B$25)-1-3)&gt;0,"Quá hạn"&amp;" "&amp;(NETWORKDAYS(F128,G128,'Danh sách ngày nghỉ lễ'!$B$5:$B$25)-1-3)&amp;" "&amp;"ngày","")))</f>
        <v/>
      </c>
      <c r="Y128" s="72" t="str">
        <f>IF(S128=0,"",IF(P128="Chuyển","",IF(P128="Nhập vào vụ khác","",IF(P128="BA",IF((S128-R128)&gt;10,"Quá hạn"&amp;" "&amp;(S128-R128-10)&amp;" "&amp;"ngày",""),IF((NETWORKDAYS(R128,S128,'Danh sách ngày nghỉ lễ'!$B$5:$B$25)-VLOOKUP(P128,'Thời hạn'!$A$17:$B$23,2,0))&gt;1,"Quá hạn"&amp;" "&amp;(NETWORKDAYS(R128,S128,'Danh sách ngày nghỉ lễ'!$B$5:$B$25)-1-VLOOKUP(P128,'Thời hạn'!$A$17:$B$23,2,0))&amp;" "&amp;"ngày","")))))</f>
        <v/>
      </c>
      <c r="Z128" s="23">
        <v>1</v>
      </c>
    </row>
    <row r="129" spans="1:26" x14ac:dyDescent="0.3">
      <c r="A129" s="24">
        <v>1</v>
      </c>
      <c r="B129" s="39"/>
      <c r="C129" s="33"/>
      <c r="D129" s="25"/>
      <c r="E129" s="25"/>
      <c r="F129" s="34"/>
      <c r="G129" s="34"/>
      <c r="H129" s="25"/>
      <c r="I129" s="70" t="str">
        <f>IF(C129="Trả lại đơn vụ","",IF(C129="Trả lại đơn việc","",IF(C129="Hòa giải thành","",IF(F129=0,"",EDATE(F129,VLOOKUP(C129,'Thời hạn'!$D$1:$E$10,2,0))+H129))))</f>
        <v/>
      </c>
      <c r="J129" s="59" t="str">
        <f t="shared" ca="1" si="1"/>
        <v/>
      </c>
      <c r="K129" s="25"/>
      <c r="L129" s="129"/>
      <c r="M129" s="130"/>
      <c r="N129" s="35"/>
      <c r="O129" s="34"/>
      <c r="P129" s="25"/>
      <c r="Q129" s="25"/>
      <c r="R129" s="34"/>
      <c r="S129" s="34"/>
      <c r="T129" s="137"/>
      <c r="U129" s="137"/>
      <c r="V129" s="36"/>
      <c r="W129" s="37"/>
      <c r="X129" s="71" t="str">
        <f>IF(C129="Trả lại đơn vụ","",IF(C129="Trả lại đơn việc","",IF((NETWORKDAYS(F129,G129,'Danh sách ngày nghỉ lễ'!$B$5:$B$25)-1-3)&gt;0,"Quá hạn"&amp;" "&amp;(NETWORKDAYS(F129,G129,'Danh sách ngày nghỉ lễ'!$B$5:$B$25)-1-3)&amp;" "&amp;"ngày","")))</f>
        <v/>
      </c>
      <c r="Y129" s="72" t="str">
        <f>IF(S129=0,"",IF(P129="Chuyển","",IF(P129="Nhập vào vụ khác","",IF(P129="BA",IF((S129-R129)&gt;10,"Quá hạn"&amp;" "&amp;(S129-R129-10)&amp;" "&amp;"ngày",""),IF((NETWORKDAYS(R129,S129,'Danh sách ngày nghỉ lễ'!$B$5:$B$25)-VLOOKUP(P129,'Thời hạn'!$A$17:$B$23,2,0))&gt;1,"Quá hạn"&amp;" "&amp;(NETWORKDAYS(R129,S129,'Danh sách ngày nghỉ lễ'!$B$5:$B$25)-1-VLOOKUP(P129,'Thời hạn'!$A$17:$B$23,2,0))&amp;" "&amp;"ngày","")))))</f>
        <v/>
      </c>
      <c r="Z129" s="23">
        <v>1</v>
      </c>
    </row>
    <row r="130" spans="1:26" x14ac:dyDescent="0.3">
      <c r="A130" s="24">
        <v>1</v>
      </c>
      <c r="B130" s="39"/>
      <c r="C130" s="33"/>
      <c r="D130" s="25"/>
      <c r="E130" s="25"/>
      <c r="F130" s="34"/>
      <c r="G130" s="34"/>
      <c r="H130" s="25"/>
      <c r="I130" s="70" t="str">
        <f>IF(C130="Trả lại đơn vụ","",IF(C130="Trả lại đơn việc","",IF(C130="Hòa giải thành","",IF(F130=0,"",EDATE(F130,VLOOKUP(C130,'Thời hạn'!$D$1:$E$10,2,0))+H130))))</f>
        <v/>
      </c>
      <c r="J130" s="59" t="str">
        <f t="shared" ca="1" si="1"/>
        <v/>
      </c>
      <c r="K130" s="25"/>
      <c r="L130" s="129"/>
      <c r="M130" s="130"/>
      <c r="N130" s="35"/>
      <c r="O130" s="34"/>
      <c r="P130" s="25"/>
      <c r="Q130" s="25"/>
      <c r="R130" s="34"/>
      <c r="S130" s="34"/>
      <c r="T130" s="137"/>
      <c r="U130" s="137"/>
      <c r="V130" s="36"/>
      <c r="W130" s="37"/>
      <c r="X130" s="71" t="str">
        <f>IF(C130="Trả lại đơn vụ","",IF(C130="Trả lại đơn việc","",IF((NETWORKDAYS(F130,G130,'Danh sách ngày nghỉ lễ'!$B$5:$B$25)-1-3)&gt;0,"Quá hạn"&amp;" "&amp;(NETWORKDAYS(F130,G130,'Danh sách ngày nghỉ lễ'!$B$5:$B$25)-1-3)&amp;" "&amp;"ngày","")))</f>
        <v/>
      </c>
      <c r="Y130" s="72" t="str">
        <f>IF(S130=0,"",IF(P130="Chuyển","",IF(P130="Nhập vào vụ khác","",IF(P130="BA",IF((S130-R130)&gt;10,"Quá hạn"&amp;" "&amp;(S130-R130-10)&amp;" "&amp;"ngày",""),IF((NETWORKDAYS(R130,S130,'Danh sách ngày nghỉ lễ'!$B$5:$B$25)-VLOOKUP(P130,'Thời hạn'!$A$17:$B$23,2,0))&gt;1,"Quá hạn"&amp;" "&amp;(NETWORKDAYS(R130,S130,'Danh sách ngày nghỉ lễ'!$B$5:$B$25)-1-VLOOKUP(P130,'Thời hạn'!$A$17:$B$23,2,0))&amp;" "&amp;"ngày","")))))</f>
        <v/>
      </c>
      <c r="Z130" s="23">
        <v>1</v>
      </c>
    </row>
    <row r="131" spans="1:26" x14ac:dyDescent="0.3">
      <c r="A131" s="24">
        <v>1</v>
      </c>
      <c r="B131" s="39"/>
      <c r="C131" s="33"/>
      <c r="D131" s="25"/>
      <c r="E131" s="25"/>
      <c r="F131" s="34"/>
      <c r="G131" s="34"/>
      <c r="H131" s="25"/>
      <c r="I131" s="70" t="str">
        <f>IF(C131="Trả lại đơn vụ","",IF(C131="Trả lại đơn việc","",IF(C131="Hòa giải thành","",IF(F131=0,"",EDATE(F131,VLOOKUP(C131,'Thời hạn'!$D$1:$E$10,2,0))+H131))))</f>
        <v/>
      </c>
      <c r="J131" s="59" t="str">
        <f t="shared" ca="1" si="1"/>
        <v/>
      </c>
      <c r="K131" s="25"/>
      <c r="L131" s="129"/>
      <c r="M131" s="130"/>
      <c r="N131" s="35"/>
      <c r="O131" s="34"/>
      <c r="P131" s="25"/>
      <c r="Q131" s="25"/>
      <c r="R131" s="34"/>
      <c r="S131" s="34"/>
      <c r="T131" s="137"/>
      <c r="U131" s="137"/>
      <c r="V131" s="36"/>
      <c r="W131" s="37"/>
      <c r="X131" s="71" t="str">
        <f>IF(C131="Trả lại đơn vụ","",IF(C131="Trả lại đơn việc","",IF((NETWORKDAYS(F131,G131,'Danh sách ngày nghỉ lễ'!$B$5:$B$25)-1-3)&gt;0,"Quá hạn"&amp;" "&amp;(NETWORKDAYS(F131,G131,'Danh sách ngày nghỉ lễ'!$B$5:$B$25)-1-3)&amp;" "&amp;"ngày","")))</f>
        <v/>
      </c>
      <c r="Y131" s="72" t="str">
        <f>IF(S131=0,"",IF(P131="Chuyển","",IF(P131="Nhập vào vụ khác","",IF(P131="BA",IF((S131-R131)&gt;10,"Quá hạn"&amp;" "&amp;(S131-R131-10)&amp;" "&amp;"ngày",""),IF((NETWORKDAYS(R131,S131,'Danh sách ngày nghỉ lễ'!$B$5:$B$25)-VLOOKUP(P131,'Thời hạn'!$A$17:$B$23,2,0))&gt;1,"Quá hạn"&amp;" "&amp;(NETWORKDAYS(R131,S131,'Danh sách ngày nghỉ lễ'!$B$5:$B$25)-1-VLOOKUP(P131,'Thời hạn'!$A$17:$B$23,2,0))&amp;" "&amp;"ngày","")))))</f>
        <v/>
      </c>
      <c r="Z131" s="23">
        <v>1</v>
      </c>
    </row>
    <row r="132" spans="1:26" x14ac:dyDescent="0.3">
      <c r="A132" s="24">
        <v>1</v>
      </c>
      <c r="B132" s="39"/>
      <c r="C132" s="33"/>
      <c r="D132" s="25"/>
      <c r="E132" s="25"/>
      <c r="F132" s="34"/>
      <c r="G132" s="34"/>
      <c r="H132" s="25"/>
      <c r="I132" s="70" t="str">
        <f>IF(C132="Trả lại đơn vụ","",IF(C132="Trả lại đơn việc","",IF(C132="Hòa giải thành","",IF(F132=0,"",EDATE(F132,VLOOKUP(C132,'Thời hạn'!$D$1:$E$10,2,0))+H132))))</f>
        <v/>
      </c>
      <c r="J132" s="59" t="str">
        <f t="shared" ca="1" si="1"/>
        <v/>
      </c>
      <c r="K132" s="25"/>
      <c r="L132" s="129"/>
      <c r="M132" s="130"/>
      <c r="N132" s="35"/>
      <c r="O132" s="34"/>
      <c r="P132" s="25"/>
      <c r="Q132" s="25"/>
      <c r="R132" s="34"/>
      <c r="S132" s="34"/>
      <c r="T132" s="137"/>
      <c r="U132" s="137"/>
      <c r="V132" s="36"/>
      <c r="W132" s="37"/>
      <c r="X132" s="71" t="str">
        <f>IF(C132="Trả lại đơn vụ","",IF(C132="Trả lại đơn việc","",IF((NETWORKDAYS(F132,G132,'Danh sách ngày nghỉ lễ'!$B$5:$B$25)-1-3)&gt;0,"Quá hạn"&amp;" "&amp;(NETWORKDAYS(F132,G132,'Danh sách ngày nghỉ lễ'!$B$5:$B$25)-1-3)&amp;" "&amp;"ngày","")))</f>
        <v/>
      </c>
      <c r="Y132" s="72" t="str">
        <f>IF(S132=0,"",IF(P132="Chuyển","",IF(P132="Nhập vào vụ khác","",IF(P132="BA",IF((S132-R132)&gt;10,"Quá hạn"&amp;" "&amp;(S132-R132-10)&amp;" "&amp;"ngày",""),IF((NETWORKDAYS(R132,S132,'Danh sách ngày nghỉ lễ'!$B$5:$B$25)-VLOOKUP(P132,'Thời hạn'!$A$17:$B$23,2,0))&gt;1,"Quá hạn"&amp;" "&amp;(NETWORKDAYS(R132,S132,'Danh sách ngày nghỉ lễ'!$B$5:$B$25)-1-VLOOKUP(P132,'Thời hạn'!$A$17:$B$23,2,0))&amp;" "&amp;"ngày","")))))</f>
        <v/>
      </c>
      <c r="Z132" s="23">
        <v>1</v>
      </c>
    </row>
    <row r="133" spans="1:26" x14ac:dyDescent="0.3">
      <c r="A133" s="24">
        <v>1</v>
      </c>
      <c r="B133" s="39"/>
      <c r="C133" s="33"/>
      <c r="D133" s="25"/>
      <c r="E133" s="25"/>
      <c r="F133" s="34"/>
      <c r="G133" s="34"/>
      <c r="H133" s="25"/>
      <c r="I133" s="70" t="str">
        <f>IF(C133="Trả lại đơn vụ","",IF(C133="Trả lại đơn việc","",IF(C133="Hòa giải thành","",IF(F133=0,"",EDATE(F133,VLOOKUP(C133,'Thời hạn'!$D$1:$E$10,2,0))+H133))))</f>
        <v/>
      </c>
      <c r="J133" s="59" t="str">
        <f t="shared" ca="1" si="1"/>
        <v/>
      </c>
      <c r="K133" s="25"/>
      <c r="L133" s="129"/>
      <c r="M133" s="130"/>
      <c r="N133" s="35"/>
      <c r="O133" s="34"/>
      <c r="P133" s="25"/>
      <c r="Q133" s="25"/>
      <c r="R133" s="34"/>
      <c r="S133" s="34"/>
      <c r="T133" s="137"/>
      <c r="U133" s="137"/>
      <c r="V133" s="36"/>
      <c r="W133" s="37"/>
      <c r="X133" s="71" t="str">
        <f>IF(C133="Trả lại đơn vụ","",IF(C133="Trả lại đơn việc","",IF((NETWORKDAYS(F133,G133,'Danh sách ngày nghỉ lễ'!$B$5:$B$25)-1-3)&gt;0,"Quá hạn"&amp;" "&amp;(NETWORKDAYS(F133,G133,'Danh sách ngày nghỉ lễ'!$B$5:$B$25)-1-3)&amp;" "&amp;"ngày","")))</f>
        <v/>
      </c>
      <c r="Y133" s="72" t="str">
        <f>IF(S133=0,"",IF(P133="Chuyển","",IF(P133="Nhập vào vụ khác","",IF(P133="BA",IF((S133-R133)&gt;10,"Quá hạn"&amp;" "&amp;(S133-R133-10)&amp;" "&amp;"ngày",""),IF((NETWORKDAYS(R133,S133,'Danh sách ngày nghỉ lễ'!$B$5:$B$25)-VLOOKUP(P133,'Thời hạn'!$A$17:$B$23,2,0))&gt;1,"Quá hạn"&amp;" "&amp;(NETWORKDAYS(R133,S133,'Danh sách ngày nghỉ lễ'!$B$5:$B$25)-1-VLOOKUP(P133,'Thời hạn'!$A$17:$B$23,2,0))&amp;" "&amp;"ngày","")))))</f>
        <v/>
      </c>
      <c r="Z133" s="23">
        <v>1</v>
      </c>
    </row>
    <row r="134" spans="1:26" x14ac:dyDescent="0.3">
      <c r="A134" s="24">
        <v>1</v>
      </c>
      <c r="B134" s="39"/>
      <c r="C134" s="33"/>
      <c r="D134" s="25"/>
      <c r="E134" s="25"/>
      <c r="F134" s="34"/>
      <c r="G134" s="34"/>
      <c r="H134" s="25"/>
      <c r="I134" s="70" t="str">
        <f>IF(C134="Trả lại đơn vụ","",IF(C134="Trả lại đơn việc","",IF(C134="Hòa giải thành","",IF(F134=0,"",EDATE(F134,VLOOKUP(C134,'Thời hạn'!$D$1:$E$10,2,0))+H134))))</f>
        <v/>
      </c>
      <c r="J134" s="59" t="str">
        <f t="shared" ca="1" si="1"/>
        <v/>
      </c>
      <c r="K134" s="25"/>
      <c r="L134" s="129"/>
      <c r="M134" s="130"/>
      <c r="N134" s="35"/>
      <c r="O134" s="34"/>
      <c r="P134" s="25"/>
      <c r="Q134" s="25"/>
      <c r="R134" s="34"/>
      <c r="S134" s="34"/>
      <c r="T134" s="137"/>
      <c r="U134" s="137"/>
      <c r="V134" s="36"/>
      <c r="W134" s="37"/>
      <c r="X134" s="71" t="str">
        <f>IF(C134="Trả lại đơn vụ","",IF(C134="Trả lại đơn việc","",IF((NETWORKDAYS(F134,G134,'Danh sách ngày nghỉ lễ'!$B$5:$B$25)-1-3)&gt;0,"Quá hạn"&amp;" "&amp;(NETWORKDAYS(F134,G134,'Danh sách ngày nghỉ lễ'!$B$5:$B$25)-1-3)&amp;" "&amp;"ngày","")))</f>
        <v/>
      </c>
      <c r="Y134" s="72" t="str">
        <f>IF(S134=0,"",IF(P134="Chuyển","",IF(P134="Nhập vào vụ khác","",IF(P134="BA",IF((S134-R134)&gt;10,"Quá hạn"&amp;" "&amp;(S134-R134-10)&amp;" "&amp;"ngày",""),IF((NETWORKDAYS(R134,S134,'Danh sách ngày nghỉ lễ'!$B$5:$B$25)-VLOOKUP(P134,'Thời hạn'!$A$17:$B$23,2,0))&gt;1,"Quá hạn"&amp;" "&amp;(NETWORKDAYS(R134,S134,'Danh sách ngày nghỉ lễ'!$B$5:$B$25)-1-VLOOKUP(P134,'Thời hạn'!$A$17:$B$23,2,0))&amp;" "&amp;"ngày","")))))</f>
        <v/>
      </c>
      <c r="Z134" s="23">
        <v>1</v>
      </c>
    </row>
    <row r="135" spans="1:26" x14ac:dyDescent="0.3">
      <c r="A135" s="24">
        <v>1</v>
      </c>
      <c r="B135" s="39"/>
      <c r="C135" s="33"/>
      <c r="D135" s="25"/>
      <c r="E135" s="25"/>
      <c r="F135" s="34"/>
      <c r="G135" s="34"/>
      <c r="H135" s="25"/>
      <c r="I135" s="70" t="str">
        <f>IF(C135="Trả lại đơn vụ","",IF(C135="Trả lại đơn việc","",IF(C135="Hòa giải thành","",IF(F135=0,"",EDATE(F135,VLOOKUP(C135,'Thời hạn'!$D$1:$E$10,2,0))+H135))))</f>
        <v/>
      </c>
      <c r="J135" s="59" t="str">
        <f t="shared" ca="1" si="1"/>
        <v/>
      </c>
      <c r="K135" s="25"/>
      <c r="L135" s="129"/>
      <c r="M135" s="130"/>
      <c r="N135" s="35"/>
      <c r="O135" s="34"/>
      <c r="P135" s="25"/>
      <c r="Q135" s="25"/>
      <c r="R135" s="34"/>
      <c r="S135" s="34"/>
      <c r="T135" s="137"/>
      <c r="U135" s="137"/>
      <c r="V135" s="36"/>
      <c r="W135" s="37"/>
      <c r="X135" s="71" t="str">
        <f>IF(C135="Trả lại đơn vụ","",IF(C135="Trả lại đơn việc","",IF((NETWORKDAYS(F135,G135,'Danh sách ngày nghỉ lễ'!$B$5:$B$25)-1-3)&gt;0,"Quá hạn"&amp;" "&amp;(NETWORKDAYS(F135,G135,'Danh sách ngày nghỉ lễ'!$B$5:$B$25)-1-3)&amp;" "&amp;"ngày","")))</f>
        <v/>
      </c>
      <c r="Y135" s="72" t="str">
        <f>IF(S135=0,"",IF(P135="Chuyển","",IF(P135="Nhập vào vụ khác","",IF(P135="BA",IF((S135-R135)&gt;10,"Quá hạn"&amp;" "&amp;(S135-R135-10)&amp;" "&amp;"ngày",""),IF((NETWORKDAYS(R135,S135,'Danh sách ngày nghỉ lễ'!$B$5:$B$25)-VLOOKUP(P135,'Thời hạn'!$A$17:$B$23,2,0))&gt;1,"Quá hạn"&amp;" "&amp;(NETWORKDAYS(R135,S135,'Danh sách ngày nghỉ lễ'!$B$5:$B$25)-1-VLOOKUP(P135,'Thời hạn'!$A$17:$B$23,2,0))&amp;" "&amp;"ngày","")))))</f>
        <v/>
      </c>
      <c r="Z135" s="23">
        <v>1</v>
      </c>
    </row>
    <row r="136" spans="1:26" x14ac:dyDescent="0.3">
      <c r="A136" s="24">
        <v>1</v>
      </c>
      <c r="B136" s="39"/>
      <c r="C136" s="33"/>
      <c r="D136" s="25"/>
      <c r="E136" s="25"/>
      <c r="F136" s="34"/>
      <c r="G136" s="34"/>
      <c r="H136" s="25"/>
      <c r="I136" s="70" t="str">
        <f>IF(C136="Trả lại đơn vụ","",IF(C136="Trả lại đơn việc","",IF(C136="Hòa giải thành","",IF(F136=0,"",EDATE(F136,VLOOKUP(C136,'Thời hạn'!$D$1:$E$10,2,0))+H136))))</f>
        <v/>
      </c>
      <c r="J136" s="59" t="str">
        <f t="shared" ca="1" si="1"/>
        <v/>
      </c>
      <c r="K136" s="25"/>
      <c r="L136" s="129"/>
      <c r="M136" s="130"/>
      <c r="N136" s="35"/>
      <c r="O136" s="34"/>
      <c r="P136" s="25"/>
      <c r="Q136" s="25"/>
      <c r="R136" s="34"/>
      <c r="S136" s="34"/>
      <c r="T136" s="137"/>
      <c r="U136" s="137"/>
      <c r="V136" s="36"/>
      <c r="W136" s="37"/>
      <c r="X136" s="71" t="str">
        <f>IF(C136="Trả lại đơn vụ","",IF(C136="Trả lại đơn việc","",IF((NETWORKDAYS(F136,G136,'Danh sách ngày nghỉ lễ'!$B$5:$B$25)-1-3)&gt;0,"Quá hạn"&amp;" "&amp;(NETWORKDAYS(F136,G136,'Danh sách ngày nghỉ lễ'!$B$5:$B$25)-1-3)&amp;" "&amp;"ngày","")))</f>
        <v/>
      </c>
      <c r="Y136" s="72" t="str">
        <f>IF(S136=0,"",IF(P136="Chuyển","",IF(P136="Nhập vào vụ khác","",IF(P136="BA",IF((S136-R136)&gt;10,"Quá hạn"&amp;" "&amp;(S136-R136-10)&amp;" "&amp;"ngày",""),IF((NETWORKDAYS(R136,S136,'Danh sách ngày nghỉ lễ'!$B$5:$B$25)-VLOOKUP(P136,'Thời hạn'!$A$17:$B$23,2,0))&gt;1,"Quá hạn"&amp;" "&amp;(NETWORKDAYS(R136,S136,'Danh sách ngày nghỉ lễ'!$B$5:$B$25)-1-VLOOKUP(P136,'Thời hạn'!$A$17:$B$23,2,0))&amp;" "&amp;"ngày","")))))</f>
        <v/>
      </c>
      <c r="Z136" s="23">
        <v>1</v>
      </c>
    </row>
    <row r="137" spans="1:26" x14ac:dyDescent="0.3">
      <c r="A137" s="24">
        <v>1</v>
      </c>
      <c r="B137" s="39"/>
      <c r="C137" s="33"/>
      <c r="D137" s="25"/>
      <c r="E137" s="25"/>
      <c r="F137" s="34"/>
      <c r="G137" s="34"/>
      <c r="H137" s="25"/>
      <c r="I137" s="70" t="str">
        <f>IF(C137="Trả lại đơn vụ","",IF(C137="Trả lại đơn việc","",IF(C137="Hòa giải thành","",IF(F137=0,"",EDATE(F137,VLOOKUP(C137,'Thời hạn'!$D$1:$E$10,2,0))+H137))))</f>
        <v/>
      </c>
      <c r="J137" s="59" t="str">
        <f t="shared" ca="1" si="1"/>
        <v/>
      </c>
      <c r="K137" s="25"/>
      <c r="L137" s="129"/>
      <c r="M137" s="130"/>
      <c r="N137" s="35"/>
      <c r="O137" s="34"/>
      <c r="P137" s="25"/>
      <c r="Q137" s="25"/>
      <c r="R137" s="34"/>
      <c r="S137" s="34"/>
      <c r="T137" s="137"/>
      <c r="U137" s="137"/>
      <c r="V137" s="36"/>
      <c r="W137" s="37"/>
      <c r="X137" s="71" t="str">
        <f>IF(C137="Trả lại đơn vụ","",IF(C137="Trả lại đơn việc","",IF((NETWORKDAYS(F137,G137,'Danh sách ngày nghỉ lễ'!$B$5:$B$25)-1-3)&gt;0,"Quá hạn"&amp;" "&amp;(NETWORKDAYS(F137,G137,'Danh sách ngày nghỉ lễ'!$B$5:$B$25)-1-3)&amp;" "&amp;"ngày","")))</f>
        <v/>
      </c>
      <c r="Y137" s="72" t="str">
        <f>IF(S137=0,"",IF(P137="Chuyển","",IF(P137="Nhập vào vụ khác","",IF(P137="BA",IF((S137-R137)&gt;10,"Quá hạn"&amp;" "&amp;(S137-R137-10)&amp;" "&amp;"ngày",""),IF((NETWORKDAYS(R137,S137,'Danh sách ngày nghỉ lễ'!$B$5:$B$25)-VLOOKUP(P137,'Thời hạn'!$A$17:$B$23,2,0))&gt;1,"Quá hạn"&amp;" "&amp;(NETWORKDAYS(R137,S137,'Danh sách ngày nghỉ lễ'!$B$5:$B$25)-1-VLOOKUP(P137,'Thời hạn'!$A$17:$B$23,2,0))&amp;" "&amp;"ngày","")))))</f>
        <v/>
      </c>
      <c r="Z137" s="23">
        <v>1</v>
      </c>
    </row>
    <row r="138" spans="1:26" x14ac:dyDescent="0.3">
      <c r="A138" s="24">
        <v>1</v>
      </c>
      <c r="B138" s="39"/>
      <c r="C138" s="33"/>
      <c r="D138" s="25"/>
      <c r="E138" s="25"/>
      <c r="F138" s="34"/>
      <c r="G138" s="34"/>
      <c r="H138" s="25"/>
      <c r="I138" s="70" t="str">
        <f>IF(C138="Trả lại đơn vụ","",IF(C138="Trả lại đơn việc","",IF(C138="Hòa giải thành","",IF(F138=0,"",EDATE(F138,VLOOKUP(C138,'Thời hạn'!$D$1:$E$10,2,0))+H138))))</f>
        <v/>
      </c>
      <c r="J138" s="59" t="str">
        <f t="shared" ca="1" si="1"/>
        <v/>
      </c>
      <c r="K138" s="25"/>
      <c r="L138" s="129"/>
      <c r="M138" s="130"/>
      <c r="N138" s="35"/>
      <c r="O138" s="34"/>
      <c r="P138" s="25"/>
      <c r="Q138" s="25"/>
      <c r="R138" s="34"/>
      <c r="S138" s="34"/>
      <c r="T138" s="137"/>
      <c r="U138" s="137"/>
      <c r="V138" s="36"/>
      <c r="W138" s="37"/>
      <c r="X138" s="71" t="str">
        <f>IF(C138="Trả lại đơn vụ","",IF(C138="Trả lại đơn việc","",IF((NETWORKDAYS(F138,G138,'Danh sách ngày nghỉ lễ'!$B$5:$B$25)-1-3)&gt;0,"Quá hạn"&amp;" "&amp;(NETWORKDAYS(F138,G138,'Danh sách ngày nghỉ lễ'!$B$5:$B$25)-1-3)&amp;" "&amp;"ngày","")))</f>
        <v/>
      </c>
      <c r="Y138" s="72" t="str">
        <f>IF(S138=0,"",IF(P138="Chuyển","",IF(P138="Nhập vào vụ khác","",IF(P138="BA",IF((S138-R138)&gt;10,"Quá hạn"&amp;" "&amp;(S138-R138-10)&amp;" "&amp;"ngày",""),IF((NETWORKDAYS(R138,S138,'Danh sách ngày nghỉ lễ'!$B$5:$B$25)-VLOOKUP(P138,'Thời hạn'!$A$17:$B$23,2,0))&gt;1,"Quá hạn"&amp;" "&amp;(NETWORKDAYS(R138,S138,'Danh sách ngày nghỉ lễ'!$B$5:$B$25)-1-VLOOKUP(P138,'Thời hạn'!$A$17:$B$23,2,0))&amp;" "&amp;"ngày","")))))</f>
        <v/>
      </c>
      <c r="Z138" s="23">
        <v>1</v>
      </c>
    </row>
    <row r="139" spans="1:26" x14ac:dyDescent="0.3">
      <c r="A139" s="24">
        <v>1</v>
      </c>
      <c r="B139" s="39"/>
      <c r="C139" s="33"/>
      <c r="D139" s="25"/>
      <c r="E139" s="25"/>
      <c r="F139" s="34"/>
      <c r="G139" s="34"/>
      <c r="H139" s="25"/>
      <c r="I139" s="70" t="str">
        <f>IF(C139="Trả lại đơn vụ","",IF(C139="Trả lại đơn việc","",IF(C139="Hòa giải thành","",IF(F139=0,"",EDATE(F139,VLOOKUP(C139,'Thời hạn'!$D$1:$E$10,2,0))+H139))))</f>
        <v/>
      </c>
      <c r="J139" s="59" t="str">
        <f t="shared" ref="J139:J202" ca="1" si="2">IF(C139="Trả lại đơn vụ","",IF(C139="Trả lại đơn việc","",IF(C139="Hòa giải thành","",IF(N139=0,IF(P139=0,IF(F139=0,"",I139-TODAY()+1),""),""))))</f>
        <v/>
      </c>
      <c r="K139" s="25"/>
      <c r="L139" s="129"/>
      <c r="M139" s="130"/>
      <c r="N139" s="35"/>
      <c r="O139" s="34"/>
      <c r="P139" s="25"/>
      <c r="Q139" s="25"/>
      <c r="R139" s="34"/>
      <c r="S139" s="34"/>
      <c r="T139" s="137"/>
      <c r="U139" s="137"/>
      <c r="V139" s="36"/>
      <c r="W139" s="37"/>
      <c r="X139" s="71" t="str">
        <f>IF(C139="Trả lại đơn vụ","",IF(C139="Trả lại đơn việc","",IF((NETWORKDAYS(F139,G139,'Danh sách ngày nghỉ lễ'!$B$5:$B$25)-1-3)&gt;0,"Quá hạn"&amp;" "&amp;(NETWORKDAYS(F139,G139,'Danh sách ngày nghỉ lễ'!$B$5:$B$25)-1-3)&amp;" "&amp;"ngày","")))</f>
        <v/>
      </c>
      <c r="Y139" s="72" t="str">
        <f>IF(S139=0,"",IF(P139="Chuyển","",IF(P139="Nhập vào vụ khác","",IF(P139="BA",IF((S139-R139)&gt;10,"Quá hạn"&amp;" "&amp;(S139-R139-10)&amp;" "&amp;"ngày",""),IF((NETWORKDAYS(R139,S139,'Danh sách ngày nghỉ lễ'!$B$5:$B$25)-VLOOKUP(P139,'Thời hạn'!$A$17:$B$23,2,0))&gt;1,"Quá hạn"&amp;" "&amp;(NETWORKDAYS(R139,S139,'Danh sách ngày nghỉ lễ'!$B$5:$B$25)-1-VLOOKUP(P139,'Thời hạn'!$A$17:$B$23,2,0))&amp;" "&amp;"ngày","")))))</f>
        <v/>
      </c>
      <c r="Z139" s="23">
        <v>1</v>
      </c>
    </row>
    <row r="140" spans="1:26" x14ac:dyDescent="0.3">
      <c r="A140" s="24">
        <v>1</v>
      </c>
      <c r="B140" s="39"/>
      <c r="C140" s="33"/>
      <c r="D140" s="25"/>
      <c r="E140" s="25"/>
      <c r="F140" s="34"/>
      <c r="G140" s="34"/>
      <c r="H140" s="25"/>
      <c r="I140" s="70" t="str">
        <f>IF(C140="Trả lại đơn vụ","",IF(C140="Trả lại đơn việc","",IF(C140="Hòa giải thành","",IF(F140=0,"",EDATE(F140,VLOOKUP(C140,'Thời hạn'!$D$1:$E$10,2,0))+H140))))</f>
        <v/>
      </c>
      <c r="J140" s="59" t="str">
        <f t="shared" ca="1" si="2"/>
        <v/>
      </c>
      <c r="K140" s="25"/>
      <c r="L140" s="129"/>
      <c r="M140" s="130"/>
      <c r="N140" s="35"/>
      <c r="O140" s="34"/>
      <c r="P140" s="25"/>
      <c r="Q140" s="25"/>
      <c r="R140" s="34"/>
      <c r="S140" s="34"/>
      <c r="T140" s="137"/>
      <c r="U140" s="137"/>
      <c r="V140" s="36"/>
      <c r="W140" s="37"/>
      <c r="X140" s="71" t="str">
        <f>IF(C140="Trả lại đơn vụ","",IF(C140="Trả lại đơn việc","",IF((NETWORKDAYS(F140,G140,'Danh sách ngày nghỉ lễ'!$B$5:$B$25)-1-3)&gt;0,"Quá hạn"&amp;" "&amp;(NETWORKDAYS(F140,G140,'Danh sách ngày nghỉ lễ'!$B$5:$B$25)-1-3)&amp;" "&amp;"ngày","")))</f>
        <v/>
      </c>
      <c r="Y140" s="72" t="str">
        <f>IF(S140=0,"",IF(P140="Chuyển","",IF(P140="Nhập vào vụ khác","",IF(P140="BA",IF((S140-R140)&gt;10,"Quá hạn"&amp;" "&amp;(S140-R140-10)&amp;" "&amp;"ngày",""),IF((NETWORKDAYS(R140,S140,'Danh sách ngày nghỉ lễ'!$B$5:$B$25)-VLOOKUP(P140,'Thời hạn'!$A$17:$B$23,2,0))&gt;1,"Quá hạn"&amp;" "&amp;(NETWORKDAYS(R140,S140,'Danh sách ngày nghỉ lễ'!$B$5:$B$25)-1-VLOOKUP(P140,'Thời hạn'!$A$17:$B$23,2,0))&amp;" "&amp;"ngày","")))))</f>
        <v/>
      </c>
      <c r="Z140" s="23">
        <v>1</v>
      </c>
    </row>
    <row r="141" spans="1:26" x14ac:dyDescent="0.3">
      <c r="A141" s="24">
        <v>1</v>
      </c>
      <c r="B141" s="39"/>
      <c r="C141" s="33"/>
      <c r="D141" s="25"/>
      <c r="E141" s="25"/>
      <c r="F141" s="34"/>
      <c r="G141" s="34"/>
      <c r="H141" s="25"/>
      <c r="I141" s="70" t="str">
        <f>IF(C141="Trả lại đơn vụ","",IF(C141="Trả lại đơn việc","",IF(C141="Hòa giải thành","",IF(F141=0,"",EDATE(F141,VLOOKUP(C141,'Thời hạn'!$D$1:$E$10,2,0))+H141))))</f>
        <v/>
      </c>
      <c r="J141" s="59" t="str">
        <f t="shared" ca="1" si="2"/>
        <v/>
      </c>
      <c r="K141" s="25"/>
      <c r="L141" s="129"/>
      <c r="M141" s="130"/>
      <c r="N141" s="35"/>
      <c r="O141" s="34"/>
      <c r="P141" s="25"/>
      <c r="Q141" s="25"/>
      <c r="R141" s="34"/>
      <c r="S141" s="34"/>
      <c r="T141" s="137"/>
      <c r="U141" s="137"/>
      <c r="V141" s="36"/>
      <c r="W141" s="37"/>
      <c r="X141" s="71" t="str">
        <f>IF(C141="Trả lại đơn vụ","",IF(C141="Trả lại đơn việc","",IF((NETWORKDAYS(F141,G141,'Danh sách ngày nghỉ lễ'!$B$5:$B$25)-1-3)&gt;0,"Quá hạn"&amp;" "&amp;(NETWORKDAYS(F141,G141,'Danh sách ngày nghỉ lễ'!$B$5:$B$25)-1-3)&amp;" "&amp;"ngày","")))</f>
        <v/>
      </c>
      <c r="Y141" s="72" t="str">
        <f>IF(S141=0,"",IF(P141="Chuyển","",IF(P141="Nhập vào vụ khác","",IF(P141="BA",IF((S141-R141)&gt;10,"Quá hạn"&amp;" "&amp;(S141-R141-10)&amp;" "&amp;"ngày",""),IF((NETWORKDAYS(R141,S141,'Danh sách ngày nghỉ lễ'!$B$5:$B$25)-VLOOKUP(P141,'Thời hạn'!$A$17:$B$23,2,0))&gt;1,"Quá hạn"&amp;" "&amp;(NETWORKDAYS(R141,S141,'Danh sách ngày nghỉ lễ'!$B$5:$B$25)-1-VLOOKUP(P141,'Thời hạn'!$A$17:$B$23,2,0))&amp;" "&amp;"ngày","")))))</f>
        <v/>
      </c>
      <c r="Z141" s="23">
        <v>1</v>
      </c>
    </row>
    <row r="142" spans="1:26" x14ac:dyDescent="0.3">
      <c r="A142" s="24">
        <v>1</v>
      </c>
      <c r="B142" s="39"/>
      <c r="C142" s="33"/>
      <c r="D142" s="25"/>
      <c r="E142" s="25"/>
      <c r="F142" s="34"/>
      <c r="G142" s="34"/>
      <c r="H142" s="25"/>
      <c r="I142" s="70" t="str">
        <f>IF(C142="Trả lại đơn vụ","",IF(C142="Trả lại đơn việc","",IF(C142="Hòa giải thành","",IF(F142=0,"",EDATE(F142,VLOOKUP(C142,'Thời hạn'!$D$1:$E$10,2,0))+H142))))</f>
        <v/>
      </c>
      <c r="J142" s="59" t="str">
        <f t="shared" ca="1" si="2"/>
        <v/>
      </c>
      <c r="K142" s="25"/>
      <c r="L142" s="129"/>
      <c r="M142" s="130"/>
      <c r="N142" s="35"/>
      <c r="O142" s="34"/>
      <c r="P142" s="25"/>
      <c r="Q142" s="25"/>
      <c r="R142" s="34"/>
      <c r="S142" s="34"/>
      <c r="T142" s="137"/>
      <c r="U142" s="137"/>
      <c r="V142" s="36"/>
      <c r="W142" s="37"/>
      <c r="X142" s="71" t="str">
        <f>IF(C142="Trả lại đơn vụ","",IF(C142="Trả lại đơn việc","",IF((NETWORKDAYS(F142,G142,'Danh sách ngày nghỉ lễ'!$B$5:$B$25)-1-3)&gt;0,"Quá hạn"&amp;" "&amp;(NETWORKDAYS(F142,G142,'Danh sách ngày nghỉ lễ'!$B$5:$B$25)-1-3)&amp;" "&amp;"ngày","")))</f>
        <v/>
      </c>
      <c r="Y142" s="72" t="str">
        <f>IF(S142=0,"",IF(P142="Chuyển","",IF(P142="Nhập vào vụ khác","",IF(P142="BA",IF((S142-R142)&gt;10,"Quá hạn"&amp;" "&amp;(S142-R142-10)&amp;" "&amp;"ngày",""),IF((NETWORKDAYS(R142,S142,'Danh sách ngày nghỉ lễ'!$B$5:$B$25)-VLOOKUP(P142,'Thời hạn'!$A$17:$B$23,2,0))&gt;1,"Quá hạn"&amp;" "&amp;(NETWORKDAYS(R142,S142,'Danh sách ngày nghỉ lễ'!$B$5:$B$25)-1-VLOOKUP(P142,'Thời hạn'!$A$17:$B$23,2,0))&amp;" "&amp;"ngày","")))))</f>
        <v/>
      </c>
      <c r="Z142" s="23">
        <v>1</v>
      </c>
    </row>
    <row r="143" spans="1:26" x14ac:dyDescent="0.3">
      <c r="A143" s="24">
        <v>1</v>
      </c>
      <c r="B143" s="39"/>
      <c r="C143" s="33"/>
      <c r="D143" s="25"/>
      <c r="E143" s="25"/>
      <c r="F143" s="34"/>
      <c r="G143" s="34"/>
      <c r="H143" s="25"/>
      <c r="I143" s="70" t="str">
        <f>IF(C143="Trả lại đơn vụ","",IF(C143="Trả lại đơn việc","",IF(C143="Hòa giải thành","",IF(F143=0,"",EDATE(F143,VLOOKUP(C143,'Thời hạn'!$D$1:$E$10,2,0))+H143))))</f>
        <v/>
      </c>
      <c r="J143" s="59" t="str">
        <f t="shared" ca="1" si="2"/>
        <v/>
      </c>
      <c r="K143" s="25"/>
      <c r="L143" s="129"/>
      <c r="M143" s="130"/>
      <c r="N143" s="35"/>
      <c r="O143" s="34"/>
      <c r="P143" s="25"/>
      <c r="Q143" s="25"/>
      <c r="R143" s="34"/>
      <c r="S143" s="34"/>
      <c r="T143" s="137"/>
      <c r="U143" s="137"/>
      <c r="V143" s="36"/>
      <c r="W143" s="37"/>
      <c r="X143" s="71" t="str">
        <f>IF(C143="Trả lại đơn vụ","",IF(C143="Trả lại đơn việc","",IF((NETWORKDAYS(F143,G143,'Danh sách ngày nghỉ lễ'!$B$5:$B$25)-1-3)&gt;0,"Quá hạn"&amp;" "&amp;(NETWORKDAYS(F143,G143,'Danh sách ngày nghỉ lễ'!$B$5:$B$25)-1-3)&amp;" "&amp;"ngày","")))</f>
        <v/>
      </c>
      <c r="Y143" s="72" t="str">
        <f>IF(S143=0,"",IF(P143="Chuyển","",IF(P143="Nhập vào vụ khác","",IF(P143="BA",IF((S143-R143)&gt;10,"Quá hạn"&amp;" "&amp;(S143-R143-10)&amp;" "&amp;"ngày",""),IF((NETWORKDAYS(R143,S143,'Danh sách ngày nghỉ lễ'!$B$5:$B$25)-VLOOKUP(P143,'Thời hạn'!$A$17:$B$23,2,0))&gt;1,"Quá hạn"&amp;" "&amp;(NETWORKDAYS(R143,S143,'Danh sách ngày nghỉ lễ'!$B$5:$B$25)-1-VLOOKUP(P143,'Thời hạn'!$A$17:$B$23,2,0))&amp;" "&amp;"ngày","")))))</f>
        <v/>
      </c>
      <c r="Z143" s="23">
        <v>1</v>
      </c>
    </row>
    <row r="144" spans="1:26" x14ac:dyDescent="0.3">
      <c r="A144" s="24">
        <v>1</v>
      </c>
      <c r="B144" s="39"/>
      <c r="C144" s="33"/>
      <c r="D144" s="25"/>
      <c r="E144" s="25"/>
      <c r="F144" s="34"/>
      <c r="G144" s="34"/>
      <c r="H144" s="25"/>
      <c r="I144" s="70" t="str">
        <f>IF(C144="Trả lại đơn vụ","",IF(C144="Trả lại đơn việc","",IF(C144="Hòa giải thành","",IF(F144=0,"",EDATE(F144,VLOOKUP(C144,'Thời hạn'!$D$1:$E$10,2,0))+H144))))</f>
        <v/>
      </c>
      <c r="J144" s="59" t="str">
        <f t="shared" ca="1" si="2"/>
        <v/>
      </c>
      <c r="K144" s="25"/>
      <c r="L144" s="129"/>
      <c r="M144" s="130"/>
      <c r="N144" s="35"/>
      <c r="O144" s="34"/>
      <c r="P144" s="25"/>
      <c r="Q144" s="25"/>
      <c r="R144" s="34"/>
      <c r="S144" s="34"/>
      <c r="T144" s="137"/>
      <c r="U144" s="137"/>
      <c r="V144" s="36"/>
      <c r="W144" s="37"/>
      <c r="X144" s="71" t="str">
        <f>IF(C144="Trả lại đơn vụ","",IF(C144="Trả lại đơn việc","",IF((NETWORKDAYS(F144,G144,'Danh sách ngày nghỉ lễ'!$B$5:$B$25)-1-3)&gt;0,"Quá hạn"&amp;" "&amp;(NETWORKDAYS(F144,G144,'Danh sách ngày nghỉ lễ'!$B$5:$B$25)-1-3)&amp;" "&amp;"ngày","")))</f>
        <v/>
      </c>
      <c r="Y144" s="72" t="str">
        <f>IF(S144=0,"",IF(P144="Chuyển","",IF(P144="Nhập vào vụ khác","",IF(P144="BA",IF((S144-R144)&gt;10,"Quá hạn"&amp;" "&amp;(S144-R144-10)&amp;" "&amp;"ngày",""),IF((NETWORKDAYS(R144,S144,'Danh sách ngày nghỉ lễ'!$B$5:$B$25)-VLOOKUP(P144,'Thời hạn'!$A$17:$B$23,2,0))&gt;1,"Quá hạn"&amp;" "&amp;(NETWORKDAYS(R144,S144,'Danh sách ngày nghỉ lễ'!$B$5:$B$25)-1-VLOOKUP(P144,'Thời hạn'!$A$17:$B$23,2,0))&amp;" "&amp;"ngày","")))))</f>
        <v/>
      </c>
      <c r="Z144" s="23">
        <v>1</v>
      </c>
    </row>
    <row r="145" spans="1:26" x14ac:dyDescent="0.3">
      <c r="A145" s="24">
        <v>1</v>
      </c>
      <c r="B145" s="39"/>
      <c r="C145" s="33"/>
      <c r="D145" s="25"/>
      <c r="E145" s="25"/>
      <c r="F145" s="34"/>
      <c r="G145" s="34"/>
      <c r="H145" s="25"/>
      <c r="I145" s="70" t="str">
        <f>IF(C145="Trả lại đơn vụ","",IF(C145="Trả lại đơn việc","",IF(C145="Hòa giải thành","",IF(F145=0,"",EDATE(F145,VLOOKUP(C145,'Thời hạn'!$D$1:$E$10,2,0))+H145))))</f>
        <v/>
      </c>
      <c r="J145" s="59" t="str">
        <f t="shared" ca="1" si="2"/>
        <v/>
      </c>
      <c r="K145" s="25"/>
      <c r="L145" s="129"/>
      <c r="M145" s="130"/>
      <c r="N145" s="35"/>
      <c r="O145" s="34"/>
      <c r="P145" s="25"/>
      <c r="Q145" s="25"/>
      <c r="R145" s="34"/>
      <c r="S145" s="34"/>
      <c r="T145" s="137"/>
      <c r="U145" s="137"/>
      <c r="V145" s="36"/>
      <c r="W145" s="37"/>
      <c r="X145" s="71" t="str">
        <f>IF(C145="Trả lại đơn vụ","",IF(C145="Trả lại đơn việc","",IF((NETWORKDAYS(F145,G145,'Danh sách ngày nghỉ lễ'!$B$5:$B$25)-1-3)&gt;0,"Quá hạn"&amp;" "&amp;(NETWORKDAYS(F145,G145,'Danh sách ngày nghỉ lễ'!$B$5:$B$25)-1-3)&amp;" "&amp;"ngày","")))</f>
        <v/>
      </c>
      <c r="Y145" s="72" t="str">
        <f>IF(S145=0,"",IF(P145="Chuyển","",IF(P145="Nhập vào vụ khác","",IF(P145="BA",IF((S145-R145)&gt;10,"Quá hạn"&amp;" "&amp;(S145-R145-10)&amp;" "&amp;"ngày",""),IF((NETWORKDAYS(R145,S145,'Danh sách ngày nghỉ lễ'!$B$5:$B$25)-VLOOKUP(P145,'Thời hạn'!$A$17:$B$23,2,0))&gt;1,"Quá hạn"&amp;" "&amp;(NETWORKDAYS(R145,S145,'Danh sách ngày nghỉ lễ'!$B$5:$B$25)-1-VLOOKUP(P145,'Thời hạn'!$A$17:$B$23,2,0))&amp;" "&amp;"ngày","")))))</f>
        <v/>
      </c>
      <c r="Z145" s="23">
        <v>1</v>
      </c>
    </row>
    <row r="146" spans="1:26" x14ac:dyDescent="0.3">
      <c r="A146" s="24">
        <v>1</v>
      </c>
      <c r="B146" s="39"/>
      <c r="C146" s="33"/>
      <c r="D146" s="25"/>
      <c r="E146" s="25"/>
      <c r="F146" s="34"/>
      <c r="G146" s="34"/>
      <c r="H146" s="25"/>
      <c r="I146" s="70" t="str">
        <f>IF(C146="Trả lại đơn vụ","",IF(C146="Trả lại đơn việc","",IF(C146="Hòa giải thành","",IF(F146=0,"",EDATE(F146,VLOOKUP(C146,'Thời hạn'!$D$1:$E$10,2,0))+H146))))</f>
        <v/>
      </c>
      <c r="J146" s="59" t="str">
        <f t="shared" ca="1" si="2"/>
        <v/>
      </c>
      <c r="K146" s="25"/>
      <c r="L146" s="129"/>
      <c r="M146" s="130"/>
      <c r="N146" s="35"/>
      <c r="O146" s="34"/>
      <c r="P146" s="25"/>
      <c r="Q146" s="25"/>
      <c r="R146" s="34"/>
      <c r="S146" s="34"/>
      <c r="T146" s="137"/>
      <c r="U146" s="137"/>
      <c r="V146" s="36"/>
      <c r="W146" s="37"/>
      <c r="X146" s="71" t="str">
        <f>IF(C146="Trả lại đơn vụ","",IF(C146="Trả lại đơn việc","",IF((NETWORKDAYS(F146,G146,'Danh sách ngày nghỉ lễ'!$B$5:$B$25)-1-3)&gt;0,"Quá hạn"&amp;" "&amp;(NETWORKDAYS(F146,G146,'Danh sách ngày nghỉ lễ'!$B$5:$B$25)-1-3)&amp;" "&amp;"ngày","")))</f>
        <v/>
      </c>
      <c r="Y146" s="72" t="str">
        <f>IF(S146=0,"",IF(P146="Chuyển","",IF(P146="Nhập vào vụ khác","",IF(P146="BA",IF((S146-R146)&gt;10,"Quá hạn"&amp;" "&amp;(S146-R146-10)&amp;" "&amp;"ngày",""),IF((NETWORKDAYS(R146,S146,'Danh sách ngày nghỉ lễ'!$B$5:$B$25)-VLOOKUP(P146,'Thời hạn'!$A$17:$B$23,2,0))&gt;1,"Quá hạn"&amp;" "&amp;(NETWORKDAYS(R146,S146,'Danh sách ngày nghỉ lễ'!$B$5:$B$25)-1-VLOOKUP(P146,'Thời hạn'!$A$17:$B$23,2,0))&amp;" "&amp;"ngày","")))))</f>
        <v/>
      </c>
      <c r="Z146" s="23">
        <v>1</v>
      </c>
    </row>
    <row r="147" spans="1:26" x14ac:dyDescent="0.3">
      <c r="A147" s="24">
        <v>1</v>
      </c>
      <c r="B147" s="39"/>
      <c r="C147" s="33"/>
      <c r="D147" s="25"/>
      <c r="E147" s="25"/>
      <c r="F147" s="34"/>
      <c r="G147" s="34"/>
      <c r="H147" s="25"/>
      <c r="I147" s="70" t="str">
        <f>IF(C147="Trả lại đơn vụ","",IF(C147="Trả lại đơn việc","",IF(C147="Hòa giải thành","",IF(F147=0,"",EDATE(F147,VLOOKUP(C147,'Thời hạn'!$D$1:$E$10,2,0))+H147))))</f>
        <v/>
      </c>
      <c r="J147" s="59" t="str">
        <f t="shared" ca="1" si="2"/>
        <v/>
      </c>
      <c r="K147" s="25"/>
      <c r="L147" s="129"/>
      <c r="M147" s="130"/>
      <c r="N147" s="35"/>
      <c r="O147" s="34"/>
      <c r="P147" s="25"/>
      <c r="Q147" s="25"/>
      <c r="R147" s="34"/>
      <c r="S147" s="34"/>
      <c r="T147" s="137"/>
      <c r="U147" s="137"/>
      <c r="V147" s="36"/>
      <c r="W147" s="37"/>
      <c r="X147" s="71" t="str">
        <f>IF(C147="Trả lại đơn vụ","",IF(C147="Trả lại đơn việc","",IF((NETWORKDAYS(F147,G147,'Danh sách ngày nghỉ lễ'!$B$5:$B$25)-1-3)&gt;0,"Quá hạn"&amp;" "&amp;(NETWORKDAYS(F147,G147,'Danh sách ngày nghỉ lễ'!$B$5:$B$25)-1-3)&amp;" "&amp;"ngày","")))</f>
        <v/>
      </c>
      <c r="Y147" s="72" t="str">
        <f>IF(S147=0,"",IF(P147="Chuyển","",IF(P147="Nhập vào vụ khác","",IF(P147="BA",IF((S147-R147)&gt;10,"Quá hạn"&amp;" "&amp;(S147-R147-10)&amp;" "&amp;"ngày",""),IF((NETWORKDAYS(R147,S147,'Danh sách ngày nghỉ lễ'!$B$5:$B$25)-VLOOKUP(P147,'Thời hạn'!$A$17:$B$23,2,0))&gt;1,"Quá hạn"&amp;" "&amp;(NETWORKDAYS(R147,S147,'Danh sách ngày nghỉ lễ'!$B$5:$B$25)-1-VLOOKUP(P147,'Thời hạn'!$A$17:$B$23,2,0))&amp;" "&amp;"ngày","")))))</f>
        <v/>
      </c>
      <c r="Z147" s="23">
        <v>1</v>
      </c>
    </row>
    <row r="148" spans="1:26" x14ac:dyDescent="0.3">
      <c r="A148" s="24">
        <v>1</v>
      </c>
      <c r="B148" s="39"/>
      <c r="C148" s="33"/>
      <c r="D148" s="25"/>
      <c r="E148" s="25"/>
      <c r="F148" s="34"/>
      <c r="G148" s="34"/>
      <c r="H148" s="25"/>
      <c r="I148" s="70" t="str">
        <f>IF(C148="Trả lại đơn vụ","",IF(C148="Trả lại đơn việc","",IF(C148="Hòa giải thành","",IF(F148=0,"",EDATE(F148,VLOOKUP(C148,'Thời hạn'!$D$1:$E$10,2,0))+H148))))</f>
        <v/>
      </c>
      <c r="J148" s="59" t="str">
        <f t="shared" ca="1" si="2"/>
        <v/>
      </c>
      <c r="K148" s="25"/>
      <c r="L148" s="129"/>
      <c r="M148" s="130"/>
      <c r="N148" s="35"/>
      <c r="O148" s="34"/>
      <c r="P148" s="25"/>
      <c r="Q148" s="25"/>
      <c r="R148" s="34"/>
      <c r="S148" s="34"/>
      <c r="T148" s="137"/>
      <c r="U148" s="137"/>
      <c r="V148" s="36"/>
      <c r="W148" s="37"/>
      <c r="X148" s="71" t="str">
        <f>IF(C148="Trả lại đơn vụ","",IF(C148="Trả lại đơn việc","",IF((NETWORKDAYS(F148,G148,'Danh sách ngày nghỉ lễ'!$B$5:$B$25)-1-3)&gt;0,"Quá hạn"&amp;" "&amp;(NETWORKDAYS(F148,G148,'Danh sách ngày nghỉ lễ'!$B$5:$B$25)-1-3)&amp;" "&amp;"ngày","")))</f>
        <v/>
      </c>
      <c r="Y148" s="72" t="str">
        <f>IF(S148=0,"",IF(P148="Chuyển","",IF(P148="Nhập vào vụ khác","",IF(P148="BA",IF((S148-R148)&gt;10,"Quá hạn"&amp;" "&amp;(S148-R148-10)&amp;" "&amp;"ngày",""),IF((NETWORKDAYS(R148,S148,'Danh sách ngày nghỉ lễ'!$B$5:$B$25)-VLOOKUP(P148,'Thời hạn'!$A$17:$B$23,2,0))&gt;1,"Quá hạn"&amp;" "&amp;(NETWORKDAYS(R148,S148,'Danh sách ngày nghỉ lễ'!$B$5:$B$25)-1-VLOOKUP(P148,'Thời hạn'!$A$17:$B$23,2,0))&amp;" "&amp;"ngày","")))))</f>
        <v/>
      </c>
      <c r="Z148" s="23">
        <v>1</v>
      </c>
    </row>
    <row r="149" spans="1:26" x14ac:dyDescent="0.3">
      <c r="A149" s="24">
        <v>1</v>
      </c>
      <c r="B149" s="39"/>
      <c r="C149" s="33"/>
      <c r="D149" s="25"/>
      <c r="E149" s="25"/>
      <c r="F149" s="34"/>
      <c r="G149" s="34"/>
      <c r="H149" s="25"/>
      <c r="I149" s="70" t="str">
        <f>IF(C149="Trả lại đơn vụ","",IF(C149="Trả lại đơn việc","",IF(C149="Hòa giải thành","",IF(F149=0,"",EDATE(F149,VLOOKUP(C149,'Thời hạn'!$D$1:$E$10,2,0))+H149))))</f>
        <v/>
      </c>
      <c r="J149" s="59" t="str">
        <f t="shared" ca="1" si="2"/>
        <v/>
      </c>
      <c r="K149" s="25"/>
      <c r="L149" s="129"/>
      <c r="M149" s="130"/>
      <c r="N149" s="35"/>
      <c r="O149" s="34"/>
      <c r="P149" s="25"/>
      <c r="Q149" s="25"/>
      <c r="R149" s="34"/>
      <c r="S149" s="34"/>
      <c r="T149" s="137"/>
      <c r="U149" s="137"/>
      <c r="V149" s="36"/>
      <c r="W149" s="37"/>
      <c r="X149" s="71" t="str">
        <f>IF(C149="Trả lại đơn vụ","",IF(C149="Trả lại đơn việc","",IF((NETWORKDAYS(F149,G149,'Danh sách ngày nghỉ lễ'!$B$5:$B$25)-1-3)&gt;0,"Quá hạn"&amp;" "&amp;(NETWORKDAYS(F149,G149,'Danh sách ngày nghỉ lễ'!$B$5:$B$25)-1-3)&amp;" "&amp;"ngày","")))</f>
        <v/>
      </c>
      <c r="Y149" s="72" t="str">
        <f>IF(S149=0,"",IF(P149="Chuyển","",IF(P149="Nhập vào vụ khác","",IF(P149="BA",IF((S149-R149)&gt;10,"Quá hạn"&amp;" "&amp;(S149-R149-10)&amp;" "&amp;"ngày",""),IF((NETWORKDAYS(R149,S149,'Danh sách ngày nghỉ lễ'!$B$5:$B$25)-VLOOKUP(P149,'Thời hạn'!$A$17:$B$23,2,0))&gt;1,"Quá hạn"&amp;" "&amp;(NETWORKDAYS(R149,S149,'Danh sách ngày nghỉ lễ'!$B$5:$B$25)-1-VLOOKUP(P149,'Thời hạn'!$A$17:$B$23,2,0))&amp;" "&amp;"ngày","")))))</f>
        <v/>
      </c>
      <c r="Z149" s="23">
        <v>1</v>
      </c>
    </row>
    <row r="150" spans="1:26" x14ac:dyDescent="0.3">
      <c r="A150" s="24">
        <v>1</v>
      </c>
      <c r="B150" s="39"/>
      <c r="C150" s="33"/>
      <c r="D150" s="25"/>
      <c r="E150" s="25"/>
      <c r="F150" s="34"/>
      <c r="G150" s="34"/>
      <c r="H150" s="25"/>
      <c r="I150" s="70" t="str">
        <f>IF(C150="Trả lại đơn vụ","",IF(C150="Trả lại đơn việc","",IF(C150="Hòa giải thành","",IF(F150=0,"",EDATE(F150,VLOOKUP(C150,'Thời hạn'!$D$1:$E$10,2,0))+H150))))</f>
        <v/>
      </c>
      <c r="J150" s="59" t="str">
        <f t="shared" ca="1" si="2"/>
        <v/>
      </c>
      <c r="K150" s="25"/>
      <c r="L150" s="129"/>
      <c r="M150" s="130"/>
      <c r="N150" s="35"/>
      <c r="O150" s="34"/>
      <c r="P150" s="25"/>
      <c r="Q150" s="25"/>
      <c r="R150" s="34"/>
      <c r="S150" s="34"/>
      <c r="T150" s="137"/>
      <c r="U150" s="137"/>
      <c r="V150" s="36"/>
      <c r="W150" s="37"/>
      <c r="X150" s="71" t="str">
        <f>IF(C150="Trả lại đơn vụ","",IF(C150="Trả lại đơn việc","",IF((NETWORKDAYS(F150,G150,'Danh sách ngày nghỉ lễ'!$B$5:$B$25)-1-3)&gt;0,"Quá hạn"&amp;" "&amp;(NETWORKDAYS(F150,G150,'Danh sách ngày nghỉ lễ'!$B$5:$B$25)-1-3)&amp;" "&amp;"ngày","")))</f>
        <v/>
      </c>
      <c r="Y150" s="72" t="str">
        <f>IF(S150=0,"",IF(P150="Chuyển","",IF(P150="Nhập vào vụ khác","",IF(P150="BA",IF((S150-R150)&gt;10,"Quá hạn"&amp;" "&amp;(S150-R150-10)&amp;" "&amp;"ngày",""),IF((NETWORKDAYS(R150,S150,'Danh sách ngày nghỉ lễ'!$B$5:$B$25)-VLOOKUP(P150,'Thời hạn'!$A$17:$B$23,2,0))&gt;1,"Quá hạn"&amp;" "&amp;(NETWORKDAYS(R150,S150,'Danh sách ngày nghỉ lễ'!$B$5:$B$25)-1-VLOOKUP(P150,'Thời hạn'!$A$17:$B$23,2,0))&amp;" "&amp;"ngày","")))))</f>
        <v/>
      </c>
      <c r="Z150" s="23">
        <v>1</v>
      </c>
    </row>
    <row r="151" spans="1:26" x14ac:dyDescent="0.3">
      <c r="A151" s="24">
        <v>1</v>
      </c>
      <c r="B151" s="39"/>
      <c r="C151" s="33"/>
      <c r="D151" s="25"/>
      <c r="E151" s="25"/>
      <c r="F151" s="34"/>
      <c r="G151" s="34"/>
      <c r="H151" s="25"/>
      <c r="I151" s="70" t="str">
        <f>IF(C151="Trả lại đơn vụ","",IF(C151="Trả lại đơn việc","",IF(C151="Hòa giải thành","",IF(F151=0,"",EDATE(F151,VLOOKUP(C151,'Thời hạn'!$D$1:$E$10,2,0))+H151))))</f>
        <v/>
      </c>
      <c r="J151" s="59" t="str">
        <f t="shared" ca="1" si="2"/>
        <v/>
      </c>
      <c r="K151" s="25"/>
      <c r="L151" s="129"/>
      <c r="M151" s="130"/>
      <c r="N151" s="35"/>
      <c r="O151" s="34"/>
      <c r="P151" s="25"/>
      <c r="Q151" s="25"/>
      <c r="R151" s="34"/>
      <c r="S151" s="34"/>
      <c r="T151" s="137"/>
      <c r="U151" s="137"/>
      <c r="V151" s="36"/>
      <c r="W151" s="37"/>
      <c r="X151" s="71" t="str">
        <f>IF(C151="Trả lại đơn vụ","",IF(C151="Trả lại đơn việc","",IF((NETWORKDAYS(F151,G151,'Danh sách ngày nghỉ lễ'!$B$5:$B$25)-1-3)&gt;0,"Quá hạn"&amp;" "&amp;(NETWORKDAYS(F151,G151,'Danh sách ngày nghỉ lễ'!$B$5:$B$25)-1-3)&amp;" "&amp;"ngày","")))</f>
        <v/>
      </c>
      <c r="Y151" s="72" t="str">
        <f>IF(S151=0,"",IF(P151="Chuyển","",IF(P151="Nhập vào vụ khác","",IF(P151="BA",IF((S151-R151)&gt;10,"Quá hạn"&amp;" "&amp;(S151-R151-10)&amp;" "&amp;"ngày",""),IF((NETWORKDAYS(R151,S151,'Danh sách ngày nghỉ lễ'!$B$5:$B$25)-VLOOKUP(P151,'Thời hạn'!$A$17:$B$23,2,0))&gt;1,"Quá hạn"&amp;" "&amp;(NETWORKDAYS(R151,S151,'Danh sách ngày nghỉ lễ'!$B$5:$B$25)-1-VLOOKUP(P151,'Thời hạn'!$A$17:$B$23,2,0))&amp;" "&amp;"ngày","")))))</f>
        <v/>
      </c>
      <c r="Z151" s="23">
        <v>1</v>
      </c>
    </row>
    <row r="152" spans="1:26" x14ac:dyDescent="0.3">
      <c r="A152" s="24">
        <v>1</v>
      </c>
      <c r="B152" s="39"/>
      <c r="C152" s="33"/>
      <c r="D152" s="25"/>
      <c r="E152" s="25"/>
      <c r="F152" s="34"/>
      <c r="G152" s="34"/>
      <c r="H152" s="25"/>
      <c r="I152" s="70" t="str">
        <f>IF(C152="Trả lại đơn vụ","",IF(C152="Trả lại đơn việc","",IF(C152="Hòa giải thành","",IF(F152=0,"",EDATE(F152,VLOOKUP(C152,'Thời hạn'!$D$1:$E$10,2,0))+H152))))</f>
        <v/>
      </c>
      <c r="J152" s="59" t="str">
        <f t="shared" ca="1" si="2"/>
        <v/>
      </c>
      <c r="K152" s="25"/>
      <c r="L152" s="129"/>
      <c r="M152" s="130"/>
      <c r="N152" s="35"/>
      <c r="O152" s="34"/>
      <c r="P152" s="25"/>
      <c r="Q152" s="25"/>
      <c r="R152" s="34"/>
      <c r="S152" s="34"/>
      <c r="T152" s="137"/>
      <c r="U152" s="137"/>
      <c r="V152" s="36"/>
      <c r="W152" s="37"/>
      <c r="X152" s="71" t="str">
        <f>IF(C152="Trả lại đơn vụ","",IF(C152="Trả lại đơn việc","",IF((NETWORKDAYS(F152,G152,'Danh sách ngày nghỉ lễ'!$B$5:$B$25)-1-3)&gt;0,"Quá hạn"&amp;" "&amp;(NETWORKDAYS(F152,G152,'Danh sách ngày nghỉ lễ'!$B$5:$B$25)-1-3)&amp;" "&amp;"ngày","")))</f>
        <v/>
      </c>
      <c r="Y152" s="72" t="str">
        <f>IF(S152=0,"",IF(P152="Chuyển","",IF(P152="Nhập vào vụ khác","",IF(P152="BA",IF((S152-R152)&gt;10,"Quá hạn"&amp;" "&amp;(S152-R152-10)&amp;" "&amp;"ngày",""),IF((NETWORKDAYS(R152,S152,'Danh sách ngày nghỉ lễ'!$B$5:$B$25)-VLOOKUP(P152,'Thời hạn'!$A$17:$B$23,2,0))&gt;1,"Quá hạn"&amp;" "&amp;(NETWORKDAYS(R152,S152,'Danh sách ngày nghỉ lễ'!$B$5:$B$25)-1-VLOOKUP(P152,'Thời hạn'!$A$17:$B$23,2,0))&amp;" "&amp;"ngày","")))))</f>
        <v/>
      </c>
      <c r="Z152" s="23">
        <v>1</v>
      </c>
    </row>
    <row r="153" spans="1:26" x14ac:dyDescent="0.3">
      <c r="A153" s="24">
        <v>1</v>
      </c>
      <c r="B153" s="39"/>
      <c r="C153" s="33"/>
      <c r="D153" s="25"/>
      <c r="E153" s="25"/>
      <c r="F153" s="34"/>
      <c r="G153" s="34"/>
      <c r="H153" s="25"/>
      <c r="I153" s="70" t="str">
        <f>IF(C153="Trả lại đơn vụ","",IF(C153="Trả lại đơn việc","",IF(C153="Hòa giải thành","",IF(F153=0,"",EDATE(F153,VLOOKUP(C153,'Thời hạn'!$D$1:$E$10,2,0))+H153))))</f>
        <v/>
      </c>
      <c r="J153" s="59" t="str">
        <f t="shared" ca="1" si="2"/>
        <v/>
      </c>
      <c r="K153" s="25"/>
      <c r="L153" s="129"/>
      <c r="M153" s="130"/>
      <c r="N153" s="35"/>
      <c r="O153" s="34"/>
      <c r="P153" s="25"/>
      <c r="Q153" s="25"/>
      <c r="R153" s="34"/>
      <c r="S153" s="34"/>
      <c r="T153" s="137"/>
      <c r="U153" s="137"/>
      <c r="V153" s="36"/>
      <c r="W153" s="37"/>
      <c r="X153" s="71" t="str">
        <f>IF(C153="Trả lại đơn vụ","",IF(C153="Trả lại đơn việc","",IF((NETWORKDAYS(F153,G153,'Danh sách ngày nghỉ lễ'!$B$5:$B$25)-1-3)&gt;0,"Quá hạn"&amp;" "&amp;(NETWORKDAYS(F153,G153,'Danh sách ngày nghỉ lễ'!$B$5:$B$25)-1-3)&amp;" "&amp;"ngày","")))</f>
        <v/>
      </c>
      <c r="Y153" s="72" t="str">
        <f>IF(S153=0,"",IF(P153="Chuyển","",IF(P153="Nhập vào vụ khác","",IF(P153="BA",IF((S153-R153)&gt;10,"Quá hạn"&amp;" "&amp;(S153-R153-10)&amp;" "&amp;"ngày",""),IF((NETWORKDAYS(R153,S153,'Danh sách ngày nghỉ lễ'!$B$5:$B$25)-VLOOKUP(P153,'Thời hạn'!$A$17:$B$23,2,0))&gt;1,"Quá hạn"&amp;" "&amp;(NETWORKDAYS(R153,S153,'Danh sách ngày nghỉ lễ'!$B$5:$B$25)-1-VLOOKUP(P153,'Thời hạn'!$A$17:$B$23,2,0))&amp;" "&amp;"ngày","")))))</f>
        <v/>
      </c>
      <c r="Z153" s="23">
        <v>1</v>
      </c>
    </row>
    <row r="154" spans="1:26" x14ac:dyDescent="0.3">
      <c r="A154" s="24">
        <v>1</v>
      </c>
      <c r="B154" s="39"/>
      <c r="C154" s="33"/>
      <c r="D154" s="25"/>
      <c r="E154" s="25"/>
      <c r="F154" s="34"/>
      <c r="G154" s="34"/>
      <c r="H154" s="25"/>
      <c r="I154" s="70" t="str">
        <f>IF(C154="Trả lại đơn vụ","",IF(C154="Trả lại đơn việc","",IF(C154="Hòa giải thành","",IF(F154=0,"",EDATE(F154,VLOOKUP(C154,'Thời hạn'!$D$1:$E$10,2,0))+H154))))</f>
        <v/>
      </c>
      <c r="J154" s="59" t="str">
        <f t="shared" ca="1" si="2"/>
        <v/>
      </c>
      <c r="K154" s="25"/>
      <c r="L154" s="129"/>
      <c r="M154" s="130"/>
      <c r="N154" s="35"/>
      <c r="O154" s="34"/>
      <c r="P154" s="25"/>
      <c r="Q154" s="25"/>
      <c r="R154" s="34"/>
      <c r="S154" s="34"/>
      <c r="T154" s="137"/>
      <c r="U154" s="137"/>
      <c r="V154" s="36"/>
      <c r="W154" s="37"/>
      <c r="X154" s="71" t="str">
        <f>IF(C154="Trả lại đơn vụ","",IF(C154="Trả lại đơn việc","",IF((NETWORKDAYS(F154,G154,'Danh sách ngày nghỉ lễ'!$B$5:$B$25)-1-3)&gt;0,"Quá hạn"&amp;" "&amp;(NETWORKDAYS(F154,G154,'Danh sách ngày nghỉ lễ'!$B$5:$B$25)-1-3)&amp;" "&amp;"ngày","")))</f>
        <v/>
      </c>
      <c r="Y154" s="72" t="str">
        <f>IF(S154=0,"",IF(P154="Chuyển","",IF(P154="Nhập vào vụ khác","",IF(P154="BA",IF((S154-R154)&gt;10,"Quá hạn"&amp;" "&amp;(S154-R154-10)&amp;" "&amp;"ngày",""),IF((NETWORKDAYS(R154,S154,'Danh sách ngày nghỉ lễ'!$B$5:$B$25)-VLOOKUP(P154,'Thời hạn'!$A$17:$B$23,2,0))&gt;1,"Quá hạn"&amp;" "&amp;(NETWORKDAYS(R154,S154,'Danh sách ngày nghỉ lễ'!$B$5:$B$25)-1-VLOOKUP(P154,'Thời hạn'!$A$17:$B$23,2,0))&amp;" "&amp;"ngày","")))))</f>
        <v/>
      </c>
      <c r="Z154" s="23">
        <v>1</v>
      </c>
    </row>
    <row r="155" spans="1:26" x14ac:dyDescent="0.3">
      <c r="A155" s="24">
        <v>1</v>
      </c>
      <c r="B155" s="39"/>
      <c r="C155" s="33"/>
      <c r="D155" s="25"/>
      <c r="E155" s="25"/>
      <c r="F155" s="34"/>
      <c r="G155" s="34"/>
      <c r="H155" s="25"/>
      <c r="I155" s="70" t="str">
        <f>IF(C155="Trả lại đơn vụ","",IF(C155="Trả lại đơn việc","",IF(C155="Hòa giải thành","",IF(F155=0,"",EDATE(F155,VLOOKUP(C155,'Thời hạn'!$D$1:$E$10,2,0))+H155))))</f>
        <v/>
      </c>
      <c r="J155" s="59" t="str">
        <f t="shared" ca="1" si="2"/>
        <v/>
      </c>
      <c r="K155" s="25"/>
      <c r="L155" s="129"/>
      <c r="M155" s="130"/>
      <c r="N155" s="35"/>
      <c r="O155" s="34"/>
      <c r="P155" s="25"/>
      <c r="Q155" s="25"/>
      <c r="R155" s="34"/>
      <c r="S155" s="34"/>
      <c r="T155" s="137"/>
      <c r="U155" s="137"/>
      <c r="V155" s="36"/>
      <c r="W155" s="37"/>
      <c r="X155" s="71" t="str">
        <f>IF(C155="Trả lại đơn vụ","",IF(C155="Trả lại đơn việc","",IF((NETWORKDAYS(F155,G155,'Danh sách ngày nghỉ lễ'!$B$5:$B$25)-1-3)&gt;0,"Quá hạn"&amp;" "&amp;(NETWORKDAYS(F155,G155,'Danh sách ngày nghỉ lễ'!$B$5:$B$25)-1-3)&amp;" "&amp;"ngày","")))</f>
        <v/>
      </c>
      <c r="Y155" s="72" t="str">
        <f>IF(S155=0,"",IF(P155="Chuyển","",IF(P155="Nhập vào vụ khác","",IF(P155="BA",IF((S155-R155)&gt;10,"Quá hạn"&amp;" "&amp;(S155-R155-10)&amp;" "&amp;"ngày",""),IF((NETWORKDAYS(R155,S155,'Danh sách ngày nghỉ lễ'!$B$5:$B$25)-VLOOKUP(P155,'Thời hạn'!$A$17:$B$23,2,0))&gt;1,"Quá hạn"&amp;" "&amp;(NETWORKDAYS(R155,S155,'Danh sách ngày nghỉ lễ'!$B$5:$B$25)-1-VLOOKUP(P155,'Thời hạn'!$A$17:$B$23,2,0))&amp;" "&amp;"ngày","")))))</f>
        <v/>
      </c>
      <c r="Z155" s="23">
        <v>1</v>
      </c>
    </row>
    <row r="156" spans="1:26" x14ac:dyDescent="0.3">
      <c r="A156" s="24">
        <v>1</v>
      </c>
      <c r="B156" s="39"/>
      <c r="C156" s="33"/>
      <c r="D156" s="25"/>
      <c r="E156" s="25"/>
      <c r="F156" s="34"/>
      <c r="G156" s="34"/>
      <c r="H156" s="25"/>
      <c r="I156" s="70" t="str">
        <f>IF(C156="Trả lại đơn vụ","",IF(C156="Trả lại đơn việc","",IF(C156="Hòa giải thành","",IF(F156=0,"",EDATE(F156,VLOOKUP(C156,'Thời hạn'!$D$1:$E$10,2,0))+H156))))</f>
        <v/>
      </c>
      <c r="J156" s="59" t="str">
        <f t="shared" ca="1" si="2"/>
        <v/>
      </c>
      <c r="K156" s="25"/>
      <c r="L156" s="129"/>
      <c r="M156" s="130"/>
      <c r="N156" s="35"/>
      <c r="O156" s="34"/>
      <c r="P156" s="25"/>
      <c r="Q156" s="25"/>
      <c r="R156" s="34"/>
      <c r="S156" s="34"/>
      <c r="T156" s="137"/>
      <c r="U156" s="137"/>
      <c r="V156" s="36"/>
      <c r="W156" s="37"/>
      <c r="X156" s="71" t="str">
        <f>IF(C156="Trả lại đơn vụ","",IF(C156="Trả lại đơn việc","",IF((NETWORKDAYS(F156,G156,'Danh sách ngày nghỉ lễ'!$B$5:$B$25)-1-3)&gt;0,"Quá hạn"&amp;" "&amp;(NETWORKDAYS(F156,G156,'Danh sách ngày nghỉ lễ'!$B$5:$B$25)-1-3)&amp;" "&amp;"ngày","")))</f>
        <v/>
      </c>
      <c r="Y156" s="72" t="str">
        <f>IF(S156=0,"",IF(P156="Chuyển","",IF(P156="Nhập vào vụ khác","",IF(P156="BA",IF((S156-R156)&gt;10,"Quá hạn"&amp;" "&amp;(S156-R156-10)&amp;" "&amp;"ngày",""),IF((NETWORKDAYS(R156,S156,'Danh sách ngày nghỉ lễ'!$B$5:$B$25)-VLOOKUP(P156,'Thời hạn'!$A$17:$B$23,2,0))&gt;1,"Quá hạn"&amp;" "&amp;(NETWORKDAYS(R156,S156,'Danh sách ngày nghỉ lễ'!$B$5:$B$25)-1-VLOOKUP(P156,'Thời hạn'!$A$17:$B$23,2,0))&amp;" "&amp;"ngày","")))))</f>
        <v/>
      </c>
      <c r="Z156" s="23">
        <v>1</v>
      </c>
    </row>
    <row r="157" spans="1:26" x14ac:dyDescent="0.3">
      <c r="A157" s="24">
        <v>1</v>
      </c>
      <c r="B157" s="39"/>
      <c r="C157" s="33"/>
      <c r="D157" s="25"/>
      <c r="E157" s="25"/>
      <c r="F157" s="34"/>
      <c r="G157" s="34"/>
      <c r="H157" s="25"/>
      <c r="I157" s="70" t="str">
        <f>IF(C157="Trả lại đơn vụ","",IF(C157="Trả lại đơn việc","",IF(C157="Hòa giải thành","",IF(F157=0,"",EDATE(F157,VLOOKUP(C157,'Thời hạn'!$D$1:$E$10,2,0))+H157))))</f>
        <v/>
      </c>
      <c r="J157" s="59" t="str">
        <f t="shared" ca="1" si="2"/>
        <v/>
      </c>
      <c r="K157" s="25"/>
      <c r="L157" s="129"/>
      <c r="M157" s="130"/>
      <c r="N157" s="35"/>
      <c r="O157" s="34"/>
      <c r="P157" s="25"/>
      <c r="Q157" s="25"/>
      <c r="R157" s="34"/>
      <c r="S157" s="34"/>
      <c r="T157" s="137"/>
      <c r="U157" s="137"/>
      <c r="V157" s="36"/>
      <c r="W157" s="37"/>
      <c r="X157" s="71" t="str">
        <f>IF(C157="Trả lại đơn vụ","",IF(C157="Trả lại đơn việc","",IF((NETWORKDAYS(F157,G157,'Danh sách ngày nghỉ lễ'!$B$5:$B$25)-1-3)&gt;0,"Quá hạn"&amp;" "&amp;(NETWORKDAYS(F157,G157,'Danh sách ngày nghỉ lễ'!$B$5:$B$25)-1-3)&amp;" "&amp;"ngày","")))</f>
        <v/>
      </c>
      <c r="Y157" s="72" t="str">
        <f>IF(S157=0,"",IF(P157="Chuyển","",IF(P157="Nhập vào vụ khác","",IF(P157="BA",IF((S157-R157)&gt;10,"Quá hạn"&amp;" "&amp;(S157-R157-10)&amp;" "&amp;"ngày",""),IF((NETWORKDAYS(R157,S157,'Danh sách ngày nghỉ lễ'!$B$5:$B$25)-VLOOKUP(P157,'Thời hạn'!$A$17:$B$23,2,0))&gt;1,"Quá hạn"&amp;" "&amp;(NETWORKDAYS(R157,S157,'Danh sách ngày nghỉ lễ'!$B$5:$B$25)-1-VLOOKUP(P157,'Thời hạn'!$A$17:$B$23,2,0))&amp;" "&amp;"ngày","")))))</f>
        <v/>
      </c>
      <c r="Z157" s="23">
        <v>1</v>
      </c>
    </row>
    <row r="158" spans="1:26" x14ac:dyDescent="0.3">
      <c r="A158" s="24">
        <v>1</v>
      </c>
      <c r="B158" s="39"/>
      <c r="C158" s="33"/>
      <c r="D158" s="25"/>
      <c r="E158" s="25"/>
      <c r="F158" s="34"/>
      <c r="G158" s="34"/>
      <c r="H158" s="25"/>
      <c r="I158" s="70" t="str">
        <f>IF(C158="Trả lại đơn vụ","",IF(C158="Trả lại đơn việc","",IF(C158="Hòa giải thành","",IF(F158=0,"",EDATE(F158,VLOOKUP(C158,'Thời hạn'!$D$1:$E$10,2,0))+H158))))</f>
        <v/>
      </c>
      <c r="J158" s="59" t="str">
        <f t="shared" ca="1" si="2"/>
        <v/>
      </c>
      <c r="K158" s="25"/>
      <c r="L158" s="129"/>
      <c r="M158" s="130"/>
      <c r="N158" s="35"/>
      <c r="O158" s="34"/>
      <c r="P158" s="25"/>
      <c r="Q158" s="25"/>
      <c r="R158" s="34"/>
      <c r="S158" s="34"/>
      <c r="T158" s="137"/>
      <c r="U158" s="137"/>
      <c r="V158" s="36"/>
      <c r="W158" s="37"/>
      <c r="X158" s="71" t="str">
        <f>IF(C158="Trả lại đơn vụ","",IF(C158="Trả lại đơn việc","",IF((NETWORKDAYS(F158,G158,'Danh sách ngày nghỉ lễ'!$B$5:$B$25)-1-3)&gt;0,"Quá hạn"&amp;" "&amp;(NETWORKDAYS(F158,G158,'Danh sách ngày nghỉ lễ'!$B$5:$B$25)-1-3)&amp;" "&amp;"ngày","")))</f>
        <v/>
      </c>
      <c r="Y158" s="72" t="str">
        <f>IF(S158=0,"",IF(P158="Chuyển","",IF(P158="Nhập vào vụ khác","",IF(P158="BA",IF((S158-R158)&gt;10,"Quá hạn"&amp;" "&amp;(S158-R158-10)&amp;" "&amp;"ngày",""),IF((NETWORKDAYS(R158,S158,'Danh sách ngày nghỉ lễ'!$B$5:$B$25)-VLOOKUP(P158,'Thời hạn'!$A$17:$B$23,2,0))&gt;1,"Quá hạn"&amp;" "&amp;(NETWORKDAYS(R158,S158,'Danh sách ngày nghỉ lễ'!$B$5:$B$25)-1-VLOOKUP(P158,'Thời hạn'!$A$17:$B$23,2,0))&amp;" "&amp;"ngày","")))))</f>
        <v/>
      </c>
      <c r="Z158" s="23">
        <v>1</v>
      </c>
    </row>
    <row r="159" spans="1:26" x14ac:dyDescent="0.3">
      <c r="A159" s="24">
        <v>1</v>
      </c>
      <c r="B159" s="39"/>
      <c r="C159" s="33"/>
      <c r="D159" s="25"/>
      <c r="E159" s="25"/>
      <c r="F159" s="34"/>
      <c r="G159" s="34"/>
      <c r="H159" s="25"/>
      <c r="I159" s="70" t="str">
        <f>IF(C159="Trả lại đơn vụ","",IF(C159="Trả lại đơn việc","",IF(C159="Hòa giải thành","",IF(F159=0,"",EDATE(F159,VLOOKUP(C159,'Thời hạn'!$D$1:$E$10,2,0))+H159))))</f>
        <v/>
      </c>
      <c r="J159" s="59" t="str">
        <f t="shared" ca="1" si="2"/>
        <v/>
      </c>
      <c r="K159" s="25"/>
      <c r="L159" s="129"/>
      <c r="M159" s="130"/>
      <c r="N159" s="35"/>
      <c r="O159" s="34"/>
      <c r="P159" s="25"/>
      <c r="Q159" s="25"/>
      <c r="R159" s="34"/>
      <c r="S159" s="34"/>
      <c r="T159" s="137"/>
      <c r="U159" s="137"/>
      <c r="V159" s="36"/>
      <c r="W159" s="37"/>
      <c r="X159" s="71" t="str">
        <f>IF(C159="Trả lại đơn vụ","",IF(C159="Trả lại đơn việc","",IF((NETWORKDAYS(F159,G159,'Danh sách ngày nghỉ lễ'!$B$5:$B$25)-1-3)&gt;0,"Quá hạn"&amp;" "&amp;(NETWORKDAYS(F159,G159,'Danh sách ngày nghỉ lễ'!$B$5:$B$25)-1-3)&amp;" "&amp;"ngày","")))</f>
        <v/>
      </c>
      <c r="Y159" s="72" t="str">
        <f>IF(S159=0,"",IF(P159="Chuyển","",IF(P159="Nhập vào vụ khác","",IF(P159="BA",IF((S159-R159)&gt;10,"Quá hạn"&amp;" "&amp;(S159-R159-10)&amp;" "&amp;"ngày",""),IF((NETWORKDAYS(R159,S159,'Danh sách ngày nghỉ lễ'!$B$5:$B$25)-VLOOKUP(P159,'Thời hạn'!$A$17:$B$23,2,0))&gt;1,"Quá hạn"&amp;" "&amp;(NETWORKDAYS(R159,S159,'Danh sách ngày nghỉ lễ'!$B$5:$B$25)-1-VLOOKUP(P159,'Thời hạn'!$A$17:$B$23,2,0))&amp;" "&amp;"ngày","")))))</f>
        <v/>
      </c>
      <c r="Z159" s="23">
        <v>1</v>
      </c>
    </row>
    <row r="160" spans="1:26" x14ac:dyDescent="0.3">
      <c r="A160" s="24">
        <v>1</v>
      </c>
      <c r="B160" s="39"/>
      <c r="C160" s="33"/>
      <c r="D160" s="25"/>
      <c r="E160" s="25"/>
      <c r="F160" s="34"/>
      <c r="G160" s="34"/>
      <c r="H160" s="25"/>
      <c r="I160" s="70" t="str">
        <f>IF(C160="Trả lại đơn vụ","",IF(C160="Trả lại đơn việc","",IF(C160="Hòa giải thành","",IF(F160=0,"",EDATE(F160,VLOOKUP(C160,'Thời hạn'!$D$1:$E$10,2,0))+H160))))</f>
        <v/>
      </c>
      <c r="J160" s="59" t="str">
        <f t="shared" ca="1" si="2"/>
        <v/>
      </c>
      <c r="K160" s="25"/>
      <c r="L160" s="129"/>
      <c r="M160" s="130"/>
      <c r="N160" s="35"/>
      <c r="O160" s="34"/>
      <c r="P160" s="25"/>
      <c r="Q160" s="25"/>
      <c r="R160" s="34"/>
      <c r="S160" s="34"/>
      <c r="T160" s="137"/>
      <c r="U160" s="137"/>
      <c r="V160" s="36"/>
      <c r="W160" s="37"/>
      <c r="X160" s="71" t="str">
        <f>IF(C160="Trả lại đơn vụ","",IF(C160="Trả lại đơn việc","",IF((NETWORKDAYS(F160,G160,'Danh sách ngày nghỉ lễ'!$B$5:$B$25)-1-3)&gt;0,"Quá hạn"&amp;" "&amp;(NETWORKDAYS(F160,G160,'Danh sách ngày nghỉ lễ'!$B$5:$B$25)-1-3)&amp;" "&amp;"ngày","")))</f>
        <v/>
      </c>
      <c r="Y160" s="72" t="str">
        <f>IF(S160=0,"",IF(P160="Chuyển","",IF(P160="Nhập vào vụ khác","",IF(P160="BA",IF((S160-R160)&gt;10,"Quá hạn"&amp;" "&amp;(S160-R160-10)&amp;" "&amp;"ngày",""),IF((NETWORKDAYS(R160,S160,'Danh sách ngày nghỉ lễ'!$B$5:$B$25)-VLOOKUP(P160,'Thời hạn'!$A$17:$B$23,2,0))&gt;1,"Quá hạn"&amp;" "&amp;(NETWORKDAYS(R160,S160,'Danh sách ngày nghỉ lễ'!$B$5:$B$25)-1-VLOOKUP(P160,'Thời hạn'!$A$17:$B$23,2,0))&amp;" "&amp;"ngày","")))))</f>
        <v/>
      </c>
      <c r="Z160" s="23">
        <v>1</v>
      </c>
    </row>
    <row r="161" spans="1:26" x14ac:dyDescent="0.3">
      <c r="A161" s="24">
        <v>1</v>
      </c>
      <c r="B161" s="39"/>
      <c r="C161" s="33"/>
      <c r="D161" s="25"/>
      <c r="E161" s="25"/>
      <c r="F161" s="34"/>
      <c r="G161" s="34"/>
      <c r="H161" s="25"/>
      <c r="I161" s="70" t="str">
        <f>IF(C161="Trả lại đơn vụ","",IF(C161="Trả lại đơn việc","",IF(C161="Hòa giải thành","",IF(F161=0,"",EDATE(F161,VLOOKUP(C161,'Thời hạn'!$D$1:$E$10,2,0))+H161))))</f>
        <v/>
      </c>
      <c r="J161" s="59" t="str">
        <f t="shared" ca="1" si="2"/>
        <v/>
      </c>
      <c r="K161" s="25"/>
      <c r="L161" s="129"/>
      <c r="M161" s="130"/>
      <c r="N161" s="35"/>
      <c r="O161" s="34"/>
      <c r="P161" s="25"/>
      <c r="Q161" s="25"/>
      <c r="R161" s="34"/>
      <c r="S161" s="34"/>
      <c r="T161" s="137"/>
      <c r="U161" s="137"/>
      <c r="V161" s="36"/>
      <c r="W161" s="37"/>
      <c r="X161" s="71" t="str">
        <f>IF(C161="Trả lại đơn vụ","",IF(C161="Trả lại đơn việc","",IF((NETWORKDAYS(F161,G161,'Danh sách ngày nghỉ lễ'!$B$5:$B$25)-1-3)&gt;0,"Quá hạn"&amp;" "&amp;(NETWORKDAYS(F161,G161,'Danh sách ngày nghỉ lễ'!$B$5:$B$25)-1-3)&amp;" "&amp;"ngày","")))</f>
        <v/>
      </c>
      <c r="Y161" s="72" t="str">
        <f>IF(S161=0,"",IF(P161="Chuyển","",IF(P161="Nhập vào vụ khác","",IF(P161="BA",IF((S161-R161)&gt;10,"Quá hạn"&amp;" "&amp;(S161-R161-10)&amp;" "&amp;"ngày",""),IF((NETWORKDAYS(R161,S161,'Danh sách ngày nghỉ lễ'!$B$5:$B$25)-VLOOKUP(P161,'Thời hạn'!$A$17:$B$23,2,0))&gt;1,"Quá hạn"&amp;" "&amp;(NETWORKDAYS(R161,S161,'Danh sách ngày nghỉ lễ'!$B$5:$B$25)-1-VLOOKUP(P161,'Thời hạn'!$A$17:$B$23,2,0))&amp;" "&amp;"ngày","")))))</f>
        <v/>
      </c>
      <c r="Z161" s="23">
        <v>1</v>
      </c>
    </row>
    <row r="162" spans="1:26" x14ac:dyDescent="0.3">
      <c r="A162" s="24">
        <v>1</v>
      </c>
      <c r="B162" s="39"/>
      <c r="C162" s="33"/>
      <c r="D162" s="25"/>
      <c r="E162" s="25"/>
      <c r="F162" s="34"/>
      <c r="G162" s="34"/>
      <c r="H162" s="25"/>
      <c r="I162" s="70" t="str">
        <f>IF(C162="Trả lại đơn vụ","",IF(C162="Trả lại đơn việc","",IF(C162="Hòa giải thành","",IF(F162=0,"",EDATE(F162,VLOOKUP(C162,'Thời hạn'!$D$1:$E$10,2,0))+H162))))</f>
        <v/>
      </c>
      <c r="J162" s="59" t="str">
        <f t="shared" ca="1" si="2"/>
        <v/>
      </c>
      <c r="K162" s="25"/>
      <c r="L162" s="129"/>
      <c r="M162" s="130"/>
      <c r="N162" s="35"/>
      <c r="O162" s="34"/>
      <c r="P162" s="25"/>
      <c r="Q162" s="25"/>
      <c r="R162" s="34"/>
      <c r="S162" s="34"/>
      <c r="T162" s="137"/>
      <c r="U162" s="137"/>
      <c r="V162" s="36"/>
      <c r="W162" s="37"/>
      <c r="X162" s="71" t="str">
        <f>IF(C162="Trả lại đơn vụ","",IF(C162="Trả lại đơn việc","",IF((NETWORKDAYS(F162,G162,'Danh sách ngày nghỉ lễ'!$B$5:$B$25)-1-3)&gt;0,"Quá hạn"&amp;" "&amp;(NETWORKDAYS(F162,G162,'Danh sách ngày nghỉ lễ'!$B$5:$B$25)-1-3)&amp;" "&amp;"ngày","")))</f>
        <v/>
      </c>
      <c r="Y162" s="72" t="str">
        <f>IF(S162=0,"",IF(P162="Chuyển","",IF(P162="Nhập vào vụ khác","",IF(P162="BA",IF((S162-R162)&gt;10,"Quá hạn"&amp;" "&amp;(S162-R162-10)&amp;" "&amp;"ngày",""),IF((NETWORKDAYS(R162,S162,'Danh sách ngày nghỉ lễ'!$B$5:$B$25)-VLOOKUP(P162,'Thời hạn'!$A$17:$B$23,2,0))&gt;1,"Quá hạn"&amp;" "&amp;(NETWORKDAYS(R162,S162,'Danh sách ngày nghỉ lễ'!$B$5:$B$25)-1-VLOOKUP(P162,'Thời hạn'!$A$17:$B$23,2,0))&amp;" "&amp;"ngày","")))))</f>
        <v/>
      </c>
      <c r="Z162" s="23">
        <v>1</v>
      </c>
    </row>
    <row r="163" spans="1:26" x14ac:dyDescent="0.3">
      <c r="A163" s="24">
        <v>1</v>
      </c>
      <c r="B163" s="39"/>
      <c r="C163" s="33"/>
      <c r="D163" s="25"/>
      <c r="E163" s="25"/>
      <c r="F163" s="34"/>
      <c r="G163" s="34"/>
      <c r="H163" s="25"/>
      <c r="I163" s="70" t="str">
        <f>IF(C163="Trả lại đơn vụ","",IF(C163="Trả lại đơn việc","",IF(C163="Hòa giải thành","",IF(F163=0,"",EDATE(F163,VLOOKUP(C163,'Thời hạn'!$D$1:$E$10,2,0))+H163))))</f>
        <v/>
      </c>
      <c r="J163" s="59" t="str">
        <f t="shared" ca="1" si="2"/>
        <v/>
      </c>
      <c r="K163" s="25"/>
      <c r="L163" s="129"/>
      <c r="M163" s="130"/>
      <c r="N163" s="35"/>
      <c r="O163" s="34"/>
      <c r="P163" s="25"/>
      <c r="Q163" s="25"/>
      <c r="R163" s="34"/>
      <c r="S163" s="34"/>
      <c r="T163" s="137"/>
      <c r="U163" s="137"/>
      <c r="V163" s="36"/>
      <c r="W163" s="37"/>
      <c r="X163" s="71" t="str">
        <f>IF(C163="Trả lại đơn vụ","",IF(C163="Trả lại đơn việc","",IF((NETWORKDAYS(F163,G163,'Danh sách ngày nghỉ lễ'!$B$5:$B$25)-1-3)&gt;0,"Quá hạn"&amp;" "&amp;(NETWORKDAYS(F163,G163,'Danh sách ngày nghỉ lễ'!$B$5:$B$25)-1-3)&amp;" "&amp;"ngày","")))</f>
        <v/>
      </c>
      <c r="Y163" s="72" t="str">
        <f>IF(S163=0,"",IF(P163="Chuyển","",IF(P163="Nhập vào vụ khác","",IF(P163="BA",IF((S163-R163)&gt;10,"Quá hạn"&amp;" "&amp;(S163-R163-10)&amp;" "&amp;"ngày",""),IF((NETWORKDAYS(R163,S163,'Danh sách ngày nghỉ lễ'!$B$5:$B$25)-VLOOKUP(P163,'Thời hạn'!$A$17:$B$23,2,0))&gt;1,"Quá hạn"&amp;" "&amp;(NETWORKDAYS(R163,S163,'Danh sách ngày nghỉ lễ'!$B$5:$B$25)-1-VLOOKUP(P163,'Thời hạn'!$A$17:$B$23,2,0))&amp;" "&amp;"ngày","")))))</f>
        <v/>
      </c>
      <c r="Z163" s="23">
        <v>1</v>
      </c>
    </row>
    <row r="164" spans="1:26" x14ac:dyDescent="0.3">
      <c r="A164" s="24">
        <v>1</v>
      </c>
      <c r="B164" s="39"/>
      <c r="C164" s="33"/>
      <c r="D164" s="25"/>
      <c r="E164" s="25"/>
      <c r="F164" s="34"/>
      <c r="G164" s="34"/>
      <c r="H164" s="25"/>
      <c r="I164" s="70" t="str">
        <f>IF(C164="Trả lại đơn vụ","",IF(C164="Trả lại đơn việc","",IF(C164="Hòa giải thành","",IF(F164=0,"",EDATE(F164,VLOOKUP(C164,'Thời hạn'!$D$1:$E$10,2,0))+H164))))</f>
        <v/>
      </c>
      <c r="J164" s="59" t="str">
        <f t="shared" ca="1" si="2"/>
        <v/>
      </c>
      <c r="K164" s="25"/>
      <c r="L164" s="129"/>
      <c r="M164" s="130"/>
      <c r="N164" s="35"/>
      <c r="O164" s="34"/>
      <c r="P164" s="25"/>
      <c r="Q164" s="25"/>
      <c r="R164" s="34"/>
      <c r="S164" s="34"/>
      <c r="T164" s="137"/>
      <c r="U164" s="137"/>
      <c r="V164" s="36"/>
      <c r="W164" s="37"/>
      <c r="X164" s="71" t="str">
        <f>IF(C164="Trả lại đơn vụ","",IF(C164="Trả lại đơn việc","",IF((NETWORKDAYS(F164,G164,'Danh sách ngày nghỉ lễ'!$B$5:$B$25)-1-3)&gt;0,"Quá hạn"&amp;" "&amp;(NETWORKDAYS(F164,G164,'Danh sách ngày nghỉ lễ'!$B$5:$B$25)-1-3)&amp;" "&amp;"ngày","")))</f>
        <v/>
      </c>
      <c r="Y164" s="72" t="str">
        <f>IF(S164=0,"",IF(P164="Chuyển","",IF(P164="Nhập vào vụ khác","",IF(P164="BA",IF((S164-R164)&gt;10,"Quá hạn"&amp;" "&amp;(S164-R164-10)&amp;" "&amp;"ngày",""),IF((NETWORKDAYS(R164,S164,'Danh sách ngày nghỉ lễ'!$B$5:$B$25)-VLOOKUP(P164,'Thời hạn'!$A$17:$B$23,2,0))&gt;1,"Quá hạn"&amp;" "&amp;(NETWORKDAYS(R164,S164,'Danh sách ngày nghỉ lễ'!$B$5:$B$25)-1-VLOOKUP(P164,'Thời hạn'!$A$17:$B$23,2,0))&amp;" "&amp;"ngày","")))))</f>
        <v/>
      </c>
      <c r="Z164" s="23">
        <v>1</v>
      </c>
    </row>
    <row r="165" spans="1:26" x14ac:dyDescent="0.3">
      <c r="A165" s="24">
        <v>1</v>
      </c>
      <c r="B165" s="39"/>
      <c r="C165" s="33"/>
      <c r="D165" s="25"/>
      <c r="E165" s="25"/>
      <c r="F165" s="34"/>
      <c r="G165" s="34"/>
      <c r="H165" s="25"/>
      <c r="I165" s="70" t="str">
        <f>IF(C165="Trả lại đơn vụ","",IF(C165="Trả lại đơn việc","",IF(C165="Hòa giải thành","",IF(F165=0,"",EDATE(F165,VLOOKUP(C165,'Thời hạn'!$D$1:$E$10,2,0))+H165))))</f>
        <v/>
      </c>
      <c r="J165" s="59" t="str">
        <f t="shared" ca="1" si="2"/>
        <v/>
      </c>
      <c r="K165" s="25"/>
      <c r="L165" s="129"/>
      <c r="M165" s="130"/>
      <c r="N165" s="35"/>
      <c r="O165" s="34"/>
      <c r="P165" s="25"/>
      <c r="Q165" s="25"/>
      <c r="R165" s="34"/>
      <c r="S165" s="34"/>
      <c r="T165" s="137"/>
      <c r="U165" s="137"/>
      <c r="V165" s="36"/>
      <c r="W165" s="37"/>
      <c r="X165" s="71" t="str">
        <f>IF(C165="Trả lại đơn vụ","",IF(C165="Trả lại đơn việc","",IF((NETWORKDAYS(F165,G165,'Danh sách ngày nghỉ lễ'!$B$5:$B$25)-1-3)&gt;0,"Quá hạn"&amp;" "&amp;(NETWORKDAYS(F165,G165,'Danh sách ngày nghỉ lễ'!$B$5:$B$25)-1-3)&amp;" "&amp;"ngày","")))</f>
        <v/>
      </c>
      <c r="Y165" s="72" t="str">
        <f>IF(S165=0,"",IF(P165="Chuyển","",IF(P165="Nhập vào vụ khác","",IF(P165="BA",IF((S165-R165)&gt;10,"Quá hạn"&amp;" "&amp;(S165-R165-10)&amp;" "&amp;"ngày",""),IF((NETWORKDAYS(R165,S165,'Danh sách ngày nghỉ lễ'!$B$5:$B$25)-VLOOKUP(P165,'Thời hạn'!$A$17:$B$23,2,0))&gt;1,"Quá hạn"&amp;" "&amp;(NETWORKDAYS(R165,S165,'Danh sách ngày nghỉ lễ'!$B$5:$B$25)-1-VLOOKUP(P165,'Thời hạn'!$A$17:$B$23,2,0))&amp;" "&amp;"ngày","")))))</f>
        <v/>
      </c>
      <c r="Z165" s="23">
        <v>1</v>
      </c>
    </row>
    <row r="166" spans="1:26" x14ac:dyDescent="0.3">
      <c r="A166" s="24">
        <v>1</v>
      </c>
      <c r="B166" s="39"/>
      <c r="C166" s="33"/>
      <c r="D166" s="25"/>
      <c r="E166" s="25"/>
      <c r="F166" s="34"/>
      <c r="G166" s="34"/>
      <c r="H166" s="25"/>
      <c r="I166" s="70" t="str">
        <f>IF(C166="Trả lại đơn vụ","",IF(C166="Trả lại đơn việc","",IF(C166="Hòa giải thành","",IF(F166=0,"",EDATE(F166,VLOOKUP(C166,'Thời hạn'!$D$1:$E$10,2,0))+H166))))</f>
        <v/>
      </c>
      <c r="J166" s="59" t="str">
        <f t="shared" ca="1" si="2"/>
        <v/>
      </c>
      <c r="K166" s="25"/>
      <c r="L166" s="129"/>
      <c r="M166" s="130"/>
      <c r="N166" s="35"/>
      <c r="O166" s="34"/>
      <c r="P166" s="25"/>
      <c r="Q166" s="25"/>
      <c r="R166" s="34"/>
      <c r="S166" s="34"/>
      <c r="T166" s="137"/>
      <c r="U166" s="137"/>
      <c r="V166" s="36"/>
      <c r="W166" s="37"/>
      <c r="X166" s="71" t="str">
        <f>IF(C166="Trả lại đơn vụ","",IF(C166="Trả lại đơn việc","",IF((NETWORKDAYS(F166,G166,'Danh sách ngày nghỉ lễ'!$B$5:$B$25)-1-3)&gt;0,"Quá hạn"&amp;" "&amp;(NETWORKDAYS(F166,G166,'Danh sách ngày nghỉ lễ'!$B$5:$B$25)-1-3)&amp;" "&amp;"ngày","")))</f>
        <v/>
      </c>
      <c r="Y166" s="72" t="str">
        <f>IF(S166=0,"",IF(P166="Chuyển","",IF(P166="Nhập vào vụ khác","",IF(P166="BA",IF((S166-R166)&gt;10,"Quá hạn"&amp;" "&amp;(S166-R166-10)&amp;" "&amp;"ngày",""),IF((NETWORKDAYS(R166,S166,'Danh sách ngày nghỉ lễ'!$B$5:$B$25)-VLOOKUP(P166,'Thời hạn'!$A$17:$B$23,2,0))&gt;1,"Quá hạn"&amp;" "&amp;(NETWORKDAYS(R166,S166,'Danh sách ngày nghỉ lễ'!$B$5:$B$25)-1-VLOOKUP(P166,'Thời hạn'!$A$17:$B$23,2,0))&amp;" "&amp;"ngày","")))))</f>
        <v/>
      </c>
      <c r="Z166" s="23">
        <v>1</v>
      </c>
    </row>
    <row r="167" spans="1:26" x14ac:dyDescent="0.3">
      <c r="A167" s="24">
        <v>1</v>
      </c>
      <c r="B167" s="39"/>
      <c r="C167" s="33"/>
      <c r="D167" s="25"/>
      <c r="E167" s="25"/>
      <c r="F167" s="34"/>
      <c r="G167" s="34"/>
      <c r="H167" s="25"/>
      <c r="I167" s="70" t="str">
        <f>IF(C167="Trả lại đơn vụ","",IF(C167="Trả lại đơn việc","",IF(C167="Hòa giải thành","",IF(F167=0,"",EDATE(F167,VLOOKUP(C167,'Thời hạn'!$D$1:$E$10,2,0))+H167))))</f>
        <v/>
      </c>
      <c r="J167" s="59" t="str">
        <f t="shared" ca="1" si="2"/>
        <v/>
      </c>
      <c r="K167" s="25"/>
      <c r="L167" s="129"/>
      <c r="M167" s="130"/>
      <c r="N167" s="35"/>
      <c r="O167" s="34"/>
      <c r="P167" s="25"/>
      <c r="Q167" s="25"/>
      <c r="R167" s="34"/>
      <c r="S167" s="34"/>
      <c r="T167" s="137"/>
      <c r="U167" s="137"/>
      <c r="V167" s="36"/>
      <c r="W167" s="37"/>
      <c r="X167" s="71" t="str">
        <f>IF(C167="Trả lại đơn vụ","",IF(C167="Trả lại đơn việc","",IF((NETWORKDAYS(F167,G167,'Danh sách ngày nghỉ lễ'!$B$5:$B$25)-1-3)&gt;0,"Quá hạn"&amp;" "&amp;(NETWORKDAYS(F167,G167,'Danh sách ngày nghỉ lễ'!$B$5:$B$25)-1-3)&amp;" "&amp;"ngày","")))</f>
        <v/>
      </c>
      <c r="Y167" s="72" t="str">
        <f>IF(S167=0,"",IF(P167="Chuyển","",IF(P167="Nhập vào vụ khác","",IF(P167="BA",IF((S167-R167)&gt;10,"Quá hạn"&amp;" "&amp;(S167-R167-10)&amp;" "&amp;"ngày",""),IF((NETWORKDAYS(R167,S167,'Danh sách ngày nghỉ lễ'!$B$5:$B$25)-VLOOKUP(P167,'Thời hạn'!$A$17:$B$23,2,0))&gt;1,"Quá hạn"&amp;" "&amp;(NETWORKDAYS(R167,S167,'Danh sách ngày nghỉ lễ'!$B$5:$B$25)-1-VLOOKUP(P167,'Thời hạn'!$A$17:$B$23,2,0))&amp;" "&amp;"ngày","")))))</f>
        <v/>
      </c>
      <c r="Z167" s="23">
        <v>1</v>
      </c>
    </row>
    <row r="168" spans="1:26" x14ac:dyDescent="0.3">
      <c r="A168" s="24">
        <v>1</v>
      </c>
      <c r="B168" s="39"/>
      <c r="C168" s="33"/>
      <c r="D168" s="25"/>
      <c r="E168" s="25"/>
      <c r="F168" s="34"/>
      <c r="G168" s="34"/>
      <c r="H168" s="25"/>
      <c r="I168" s="70" t="str">
        <f>IF(C168="Trả lại đơn vụ","",IF(C168="Trả lại đơn việc","",IF(C168="Hòa giải thành","",IF(F168=0,"",EDATE(F168,VLOOKUP(C168,'Thời hạn'!$D$1:$E$10,2,0))+H168))))</f>
        <v/>
      </c>
      <c r="J168" s="59" t="str">
        <f t="shared" ca="1" si="2"/>
        <v/>
      </c>
      <c r="K168" s="25"/>
      <c r="L168" s="129"/>
      <c r="M168" s="130"/>
      <c r="N168" s="35"/>
      <c r="O168" s="34"/>
      <c r="P168" s="25"/>
      <c r="Q168" s="25"/>
      <c r="R168" s="34"/>
      <c r="S168" s="34"/>
      <c r="T168" s="137"/>
      <c r="U168" s="137"/>
      <c r="V168" s="36"/>
      <c r="W168" s="37"/>
      <c r="X168" s="71" t="str">
        <f>IF(C168="Trả lại đơn vụ","",IF(C168="Trả lại đơn việc","",IF((NETWORKDAYS(F168,G168,'Danh sách ngày nghỉ lễ'!$B$5:$B$25)-1-3)&gt;0,"Quá hạn"&amp;" "&amp;(NETWORKDAYS(F168,G168,'Danh sách ngày nghỉ lễ'!$B$5:$B$25)-1-3)&amp;" "&amp;"ngày","")))</f>
        <v/>
      </c>
      <c r="Y168" s="72" t="str">
        <f>IF(S168=0,"",IF(P168="Chuyển","",IF(P168="Nhập vào vụ khác","",IF(P168="BA",IF((S168-R168)&gt;10,"Quá hạn"&amp;" "&amp;(S168-R168-10)&amp;" "&amp;"ngày",""),IF((NETWORKDAYS(R168,S168,'Danh sách ngày nghỉ lễ'!$B$5:$B$25)-VLOOKUP(P168,'Thời hạn'!$A$17:$B$23,2,0))&gt;1,"Quá hạn"&amp;" "&amp;(NETWORKDAYS(R168,S168,'Danh sách ngày nghỉ lễ'!$B$5:$B$25)-1-VLOOKUP(P168,'Thời hạn'!$A$17:$B$23,2,0))&amp;" "&amp;"ngày","")))))</f>
        <v/>
      </c>
      <c r="Z168" s="23">
        <v>1</v>
      </c>
    </row>
    <row r="169" spans="1:26" x14ac:dyDescent="0.3">
      <c r="A169" s="24">
        <v>1</v>
      </c>
      <c r="B169" s="39"/>
      <c r="C169" s="33"/>
      <c r="D169" s="25"/>
      <c r="E169" s="25"/>
      <c r="F169" s="34"/>
      <c r="G169" s="34"/>
      <c r="H169" s="25"/>
      <c r="I169" s="70" t="str">
        <f>IF(C169="Trả lại đơn vụ","",IF(C169="Trả lại đơn việc","",IF(C169="Hòa giải thành","",IF(F169=0,"",EDATE(F169,VLOOKUP(C169,'Thời hạn'!$D$1:$E$10,2,0))+H169))))</f>
        <v/>
      </c>
      <c r="J169" s="59" t="str">
        <f t="shared" ca="1" si="2"/>
        <v/>
      </c>
      <c r="K169" s="25"/>
      <c r="L169" s="129"/>
      <c r="M169" s="130"/>
      <c r="N169" s="35"/>
      <c r="O169" s="34"/>
      <c r="P169" s="25"/>
      <c r="Q169" s="25"/>
      <c r="R169" s="34"/>
      <c r="S169" s="34"/>
      <c r="T169" s="137"/>
      <c r="U169" s="137"/>
      <c r="V169" s="36"/>
      <c r="W169" s="37"/>
      <c r="X169" s="71" t="str">
        <f>IF(C169="Trả lại đơn vụ","",IF(C169="Trả lại đơn việc","",IF((NETWORKDAYS(F169,G169,'Danh sách ngày nghỉ lễ'!$B$5:$B$25)-1-3)&gt;0,"Quá hạn"&amp;" "&amp;(NETWORKDAYS(F169,G169,'Danh sách ngày nghỉ lễ'!$B$5:$B$25)-1-3)&amp;" "&amp;"ngày","")))</f>
        <v/>
      </c>
      <c r="Y169" s="72" t="str">
        <f>IF(S169=0,"",IF(P169="Chuyển","",IF(P169="Nhập vào vụ khác","",IF(P169="BA",IF((S169-R169)&gt;10,"Quá hạn"&amp;" "&amp;(S169-R169-10)&amp;" "&amp;"ngày",""),IF((NETWORKDAYS(R169,S169,'Danh sách ngày nghỉ lễ'!$B$5:$B$25)-VLOOKUP(P169,'Thời hạn'!$A$17:$B$23,2,0))&gt;1,"Quá hạn"&amp;" "&amp;(NETWORKDAYS(R169,S169,'Danh sách ngày nghỉ lễ'!$B$5:$B$25)-1-VLOOKUP(P169,'Thời hạn'!$A$17:$B$23,2,0))&amp;" "&amp;"ngày","")))))</f>
        <v/>
      </c>
      <c r="Z169" s="23">
        <v>1</v>
      </c>
    </row>
    <row r="170" spans="1:26" x14ac:dyDescent="0.3">
      <c r="A170" s="24">
        <v>1</v>
      </c>
      <c r="B170" s="39"/>
      <c r="C170" s="33"/>
      <c r="D170" s="25"/>
      <c r="E170" s="25"/>
      <c r="F170" s="34"/>
      <c r="G170" s="34"/>
      <c r="H170" s="25"/>
      <c r="I170" s="70" t="str">
        <f>IF(C170="Trả lại đơn vụ","",IF(C170="Trả lại đơn việc","",IF(C170="Hòa giải thành","",IF(F170=0,"",EDATE(F170,VLOOKUP(C170,'Thời hạn'!$D$1:$E$10,2,0))+H170))))</f>
        <v/>
      </c>
      <c r="J170" s="59" t="str">
        <f t="shared" ca="1" si="2"/>
        <v/>
      </c>
      <c r="K170" s="25"/>
      <c r="L170" s="129"/>
      <c r="M170" s="130"/>
      <c r="N170" s="35"/>
      <c r="O170" s="34"/>
      <c r="P170" s="25"/>
      <c r="Q170" s="25"/>
      <c r="R170" s="34"/>
      <c r="S170" s="34"/>
      <c r="T170" s="137"/>
      <c r="U170" s="137"/>
      <c r="V170" s="36"/>
      <c r="W170" s="37"/>
      <c r="X170" s="71" t="str">
        <f>IF(C170="Trả lại đơn vụ","",IF(C170="Trả lại đơn việc","",IF((NETWORKDAYS(F170,G170,'Danh sách ngày nghỉ lễ'!$B$5:$B$25)-1-3)&gt;0,"Quá hạn"&amp;" "&amp;(NETWORKDAYS(F170,G170,'Danh sách ngày nghỉ lễ'!$B$5:$B$25)-1-3)&amp;" "&amp;"ngày","")))</f>
        <v/>
      </c>
      <c r="Y170" s="72" t="str">
        <f>IF(S170=0,"",IF(P170="Chuyển","",IF(P170="Nhập vào vụ khác","",IF(P170="BA",IF((S170-R170)&gt;10,"Quá hạn"&amp;" "&amp;(S170-R170-10)&amp;" "&amp;"ngày",""),IF((NETWORKDAYS(R170,S170,'Danh sách ngày nghỉ lễ'!$B$5:$B$25)-VLOOKUP(P170,'Thời hạn'!$A$17:$B$23,2,0))&gt;1,"Quá hạn"&amp;" "&amp;(NETWORKDAYS(R170,S170,'Danh sách ngày nghỉ lễ'!$B$5:$B$25)-1-VLOOKUP(P170,'Thời hạn'!$A$17:$B$23,2,0))&amp;" "&amp;"ngày","")))))</f>
        <v/>
      </c>
      <c r="Z170" s="23">
        <v>1</v>
      </c>
    </row>
    <row r="171" spans="1:26" x14ac:dyDescent="0.3">
      <c r="A171" s="24">
        <v>1</v>
      </c>
      <c r="B171" s="39"/>
      <c r="C171" s="33"/>
      <c r="D171" s="25"/>
      <c r="E171" s="25"/>
      <c r="F171" s="34"/>
      <c r="G171" s="34"/>
      <c r="H171" s="25"/>
      <c r="I171" s="70" t="str">
        <f>IF(C171="Trả lại đơn vụ","",IF(C171="Trả lại đơn việc","",IF(C171="Hòa giải thành","",IF(F171=0,"",EDATE(F171,VLOOKUP(C171,'Thời hạn'!$D$1:$E$10,2,0))+H171))))</f>
        <v/>
      </c>
      <c r="J171" s="59" t="str">
        <f t="shared" ca="1" si="2"/>
        <v/>
      </c>
      <c r="K171" s="25"/>
      <c r="L171" s="129"/>
      <c r="M171" s="130"/>
      <c r="N171" s="35"/>
      <c r="O171" s="34"/>
      <c r="P171" s="25"/>
      <c r="Q171" s="25"/>
      <c r="R171" s="34"/>
      <c r="S171" s="34"/>
      <c r="T171" s="137"/>
      <c r="U171" s="137"/>
      <c r="V171" s="36"/>
      <c r="W171" s="37"/>
      <c r="X171" s="71" t="str">
        <f>IF(C171="Trả lại đơn vụ","",IF(C171="Trả lại đơn việc","",IF((NETWORKDAYS(F171,G171,'Danh sách ngày nghỉ lễ'!$B$5:$B$25)-1-3)&gt;0,"Quá hạn"&amp;" "&amp;(NETWORKDAYS(F171,G171,'Danh sách ngày nghỉ lễ'!$B$5:$B$25)-1-3)&amp;" "&amp;"ngày","")))</f>
        <v/>
      </c>
      <c r="Y171" s="72" t="str">
        <f>IF(S171=0,"",IF(P171="Chuyển","",IF(P171="Nhập vào vụ khác","",IF(P171="BA",IF((S171-R171)&gt;10,"Quá hạn"&amp;" "&amp;(S171-R171-10)&amp;" "&amp;"ngày",""),IF((NETWORKDAYS(R171,S171,'Danh sách ngày nghỉ lễ'!$B$5:$B$25)-VLOOKUP(P171,'Thời hạn'!$A$17:$B$23,2,0))&gt;1,"Quá hạn"&amp;" "&amp;(NETWORKDAYS(R171,S171,'Danh sách ngày nghỉ lễ'!$B$5:$B$25)-1-VLOOKUP(P171,'Thời hạn'!$A$17:$B$23,2,0))&amp;" "&amp;"ngày","")))))</f>
        <v/>
      </c>
      <c r="Z171" s="23">
        <v>1</v>
      </c>
    </row>
    <row r="172" spans="1:26" x14ac:dyDescent="0.3">
      <c r="A172" s="24">
        <v>1</v>
      </c>
      <c r="B172" s="39"/>
      <c r="C172" s="33"/>
      <c r="D172" s="25"/>
      <c r="E172" s="25"/>
      <c r="F172" s="34"/>
      <c r="G172" s="34"/>
      <c r="H172" s="25"/>
      <c r="I172" s="70" t="str">
        <f>IF(C172="Trả lại đơn vụ","",IF(C172="Trả lại đơn việc","",IF(C172="Hòa giải thành","",IF(F172=0,"",EDATE(F172,VLOOKUP(C172,'Thời hạn'!$D$1:$E$10,2,0))+H172))))</f>
        <v/>
      </c>
      <c r="J172" s="59" t="str">
        <f t="shared" ca="1" si="2"/>
        <v/>
      </c>
      <c r="K172" s="25"/>
      <c r="L172" s="129"/>
      <c r="M172" s="130"/>
      <c r="N172" s="35"/>
      <c r="O172" s="34"/>
      <c r="P172" s="25"/>
      <c r="Q172" s="25"/>
      <c r="R172" s="34"/>
      <c r="S172" s="34"/>
      <c r="T172" s="137"/>
      <c r="U172" s="137"/>
      <c r="V172" s="36"/>
      <c r="W172" s="37"/>
      <c r="X172" s="71" t="str">
        <f>IF(C172="Trả lại đơn vụ","",IF(C172="Trả lại đơn việc","",IF((NETWORKDAYS(F172,G172,'Danh sách ngày nghỉ lễ'!$B$5:$B$25)-1-3)&gt;0,"Quá hạn"&amp;" "&amp;(NETWORKDAYS(F172,G172,'Danh sách ngày nghỉ lễ'!$B$5:$B$25)-1-3)&amp;" "&amp;"ngày","")))</f>
        <v/>
      </c>
      <c r="Y172" s="72" t="str">
        <f>IF(S172=0,"",IF(P172="Chuyển","",IF(P172="Nhập vào vụ khác","",IF(P172="BA",IF((S172-R172)&gt;10,"Quá hạn"&amp;" "&amp;(S172-R172-10)&amp;" "&amp;"ngày",""),IF((NETWORKDAYS(R172,S172,'Danh sách ngày nghỉ lễ'!$B$5:$B$25)-VLOOKUP(P172,'Thời hạn'!$A$17:$B$23,2,0))&gt;1,"Quá hạn"&amp;" "&amp;(NETWORKDAYS(R172,S172,'Danh sách ngày nghỉ lễ'!$B$5:$B$25)-1-VLOOKUP(P172,'Thời hạn'!$A$17:$B$23,2,0))&amp;" "&amp;"ngày","")))))</f>
        <v/>
      </c>
      <c r="Z172" s="23">
        <v>1</v>
      </c>
    </row>
    <row r="173" spans="1:26" x14ac:dyDescent="0.3">
      <c r="A173" s="24">
        <v>1</v>
      </c>
      <c r="B173" s="39"/>
      <c r="C173" s="33"/>
      <c r="D173" s="25"/>
      <c r="E173" s="25"/>
      <c r="F173" s="34"/>
      <c r="G173" s="34"/>
      <c r="H173" s="25"/>
      <c r="I173" s="70" t="str">
        <f>IF(C173="Trả lại đơn vụ","",IF(C173="Trả lại đơn việc","",IF(C173="Hòa giải thành","",IF(F173=0,"",EDATE(F173,VLOOKUP(C173,'Thời hạn'!$D$1:$E$10,2,0))+H173))))</f>
        <v/>
      </c>
      <c r="J173" s="59" t="str">
        <f t="shared" ca="1" si="2"/>
        <v/>
      </c>
      <c r="K173" s="25"/>
      <c r="L173" s="129"/>
      <c r="M173" s="130"/>
      <c r="N173" s="35"/>
      <c r="O173" s="34"/>
      <c r="P173" s="25"/>
      <c r="Q173" s="25"/>
      <c r="R173" s="34"/>
      <c r="S173" s="34"/>
      <c r="T173" s="137"/>
      <c r="U173" s="137"/>
      <c r="V173" s="36"/>
      <c r="W173" s="37"/>
      <c r="X173" s="71" t="str">
        <f>IF(C173="Trả lại đơn vụ","",IF(C173="Trả lại đơn việc","",IF((NETWORKDAYS(F173,G173,'Danh sách ngày nghỉ lễ'!$B$5:$B$25)-1-3)&gt;0,"Quá hạn"&amp;" "&amp;(NETWORKDAYS(F173,G173,'Danh sách ngày nghỉ lễ'!$B$5:$B$25)-1-3)&amp;" "&amp;"ngày","")))</f>
        <v/>
      </c>
      <c r="Y173" s="72" t="str">
        <f>IF(S173=0,"",IF(P173="Chuyển","",IF(P173="Nhập vào vụ khác","",IF(P173="BA",IF((S173-R173)&gt;10,"Quá hạn"&amp;" "&amp;(S173-R173-10)&amp;" "&amp;"ngày",""),IF((NETWORKDAYS(R173,S173,'Danh sách ngày nghỉ lễ'!$B$5:$B$25)-VLOOKUP(P173,'Thời hạn'!$A$17:$B$23,2,0))&gt;1,"Quá hạn"&amp;" "&amp;(NETWORKDAYS(R173,S173,'Danh sách ngày nghỉ lễ'!$B$5:$B$25)-1-VLOOKUP(P173,'Thời hạn'!$A$17:$B$23,2,0))&amp;" "&amp;"ngày","")))))</f>
        <v/>
      </c>
      <c r="Z173" s="23">
        <v>1</v>
      </c>
    </row>
    <row r="174" spans="1:26" x14ac:dyDescent="0.3">
      <c r="A174" s="24">
        <v>1</v>
      </c>
      <c r="B174" s="39"/>
      <c r="C174" s="33"/>
      <c r="D174" s="25"/>
      <c r="E174" s="25"/>
      <c r="F174" s="34"/>
      <c r="G174" s="34"/>
      <c r="H174" s="25"/>
      <c r="I174" s="70" t="str">
        <f>IF(C174="Trả lại đơn vụ","",IF(C174="Trả lại đơn việc","",IF(C174="Hòa giải thành","",IF(F174=0,"",EDATE(F174,VLOOKUP(C174,'Thời hạn'!$D$1:$E$10,2,0))+H174))))</f>
        <v/>
      </c>
      <c r="J174" s="59" t="str">
        <f t="shared" ca="1" si="2"/>
        <v/>
      </c>
      <c r="K174" s="25"/>
      <c r="L174" s="129"/>
      <c r="M174" s="130"/>
      <c r="N174" s="35"/>
      <c r="O174" s="34"/>
      <c r="P174" s="25"/>
      <c r="Q174" s="25"/>
      <c r="R174" s="34"/>
      <c r="S174" s="34"/>
      <c r="T174" s="137"/>
      <c r="U174" s="137"/>
      <c r="V174" s="36"/>
      <c r="W174" s="37"/>
      <c r="X174" s="71" t="str">
        <f>IF(C174="Trả lại đơn vụ","",IF(C174="Trả lại đơn việc","",IF((NETWORKDAYS(F174,G174,'Danh sách ngày nghỉ lễ'!$B$5:$B$25)-1-3)&gt;0,"Quá hạn"&amp;" "&amp;(NETWORKDAYS(F174,G174,'Danh sách ngày nghỉ lễ'!$B$5:$B$25)-1-3)&amp;" "&amp;"ngày","")))</f>
        <v/>
      </c>
      <c r="Y174" s="72" t="str">
        <f>IF(S174=0,"",IF(P174="Chuyển","",IF(P174="Nhập vào vụ khác","",IF(P174="BA",IF((S174-R174)&gt;10,"Quá hạn"&amp;" "&amp;(S174-R174-10)&amp;" "&amp;"ngày",""),IF((NETWORKDAYS(R174,S174,'Danh sách ngày nghỉ lễ'!$B$5:$B$25)-VLOOKUP(P174,'Thời hạn'!$A$17:$B$23,2,0))&gt;1,"Quá hạn"&amp;" "&amp;(NETWORKDAYS(R174,S174,'Danh sách ngày nghỉ lễ'!$B$5:$B$25)-1-VLOOKUP(P174,'Thời hạn'!$A$17:$B$23,2,0))&amp;" "&amp;"ngày","")))))</f>
        <v/>
      </c>
      <c r="Z174" s="23">
        <v>1</v>
      </c>
    </row>
    <row r="175" spans="1:26" x14ac:dyDescent="0.3">
      <c r="A175" s="24">
        <v>1</v>
      </c>
      <c r="B175" s="39"/>
      <c r="C175" s="33"/>
      <c r="D175" s="25"/>
      <c r="E175" s="25"/>
      <c r="F175" s="34"/>
      <c r="G175" s="34"/>
      <c r="H175" s="25"/>
      <c r="I175" s="70" t="str">
        <f>IF(C175="Trả lại đơn vụ","",IF(C175="Trả lại đơn việc","",IF(C175="Hòa giải thành","",IF(F175=0,"",EDATE(F175,VLOOKUP(C175,'Thời hạn'!$D$1:$E$10,2,0))+H175))))</f>
        <v/>
      </c>
      <c r="J175" s="59" t="str">
        <f t="shared" ca="1" si="2"/>
        <v/>
      </c>
      <c r="K175" s="25"/>
      <c r="L175" s="129"/>
      <c r="M175" s="130"/>
      <c r="N175" s="35"/>
      <c r="O175" s="34"/>
      <c r="P175" s="25"/>
      <c r="Q175" s="25"/>
      <c r="R175" s="34"/>
      <c r="S175" s="34"/>
      <c r="T175" s="137"/>
      <c r="U175" s="137"/>
      <c r="V175" s="36"/>
      <c r="W175" s="37"/>
      <c r="X175" s="71" t="str">
        <f>IF(C175="Trả lại đơn vụ","",IF(C175="Trả lại đơn việc","",IF((NETWORKDAYS(F175,G175,'Danh sách ngày nghỉ lễ'!$B$5:$B$25)-1-3)&gt;0,"Quá hạn"&amp;" "&amp;(NETWORKDAYS(F175,G175,'Danh sách ngày nghỉ lễ'!$B$5:$B$25)-1-3)&amp;" "&amp;"ngày","")))</f>
        <v/>
      </c>
      <c r="Y175" s="72" t="str">
        <f>IF(S175=0,"",IF(P175="Chuyển","",IF(P175="Nhập vào vụ khác","",IF(P175="BA",IF((S175-R175)&gt;10,"Quá hạn"&amp;" "&amp;(S175-R175-10)&amp;" "&amp;"ngày",""),IF((NETWORKDAYS(R175,S175,'Danh sách ngày nghỉ lễ'!$B$5:$B$25)-VLOOKUP(P175,'Thời hạn'!$A$17:$B$23,2,0))&gt;1,"Quá hạn"&amp;" "&amp;(NETWORKDAYS(R175,S175,'Danh sách ngày nghỉ lễ'!$B$5:$B$25)-1-VLOOKUP(P175,'Thời hạn'!$A$17:$B$23,2,0))&amp;" "&amp;"ngày","")))))</f>
        <v/>
      </c>
      <c r="Z175" s="23">
        <v>1</v>
      </c>
    </row>
    <row r="176" spans="1:26" x14ac:dyDescent="0.3">
      <c r="A176" s="24">
        <v>1</v>
      </c>
      <c r="B176" s="39"/>
      <c r="C176" s="33"/>
      <c r="D176" s="25"/>
      <c r="E176" s="25"/>
      <c r="F176" s="34"/>
      <c r="G176" s="34"/>
      <c r="H176" s="25"/>
      <c r="I176" s="70" t="str">
        <f>IF(C176="Trả lại đơn vụ","",IF(C176="Trả lại đơn việc","",IF(C176="Hòa giải thành","",IF(F176=0,"",EDATE(F176,VLOOKUP(C176,'Thời hạn'!$D$1:$E$10,2,0))+H176))))</f>
        <v/>
      </c>
      <c r="J176" s="59" t="str">
        <f t="shared" ca="1" si="2"/>
        <v/>
      </c>
      <c r="K176" s="25"/>
      <c r="L176" s="129"/>
      <c r="M176" s="130"/>
      <c r="N176" s="35"/>
      <c r="O176" s="34"/>
      <c r="P176" s="25"/>
      <c r="Q176" s="25"/>
      <c r="R176" s="34"/>
      <c r="S176" s="34"/>
      <c r="T176" s="137"/>
      <c r="U176" s="137"/>
      <c r="V176" s="36"/>
      <c r="W176" s="37"/>
      <c r="X176" s="71" t="str">
        <f>IF(C176="Trả lại đơn vụ","",IF(C176="Trả lại đơn việc","",IF((NETWORKDAYS(F176,G176,'Danh sách ngày nghỉ lễ'!$B$5:$B$25)-1-3)&gt;0,"Quá hạn"&amp;" "&amp;(NETWORKDAYS(F176,G176,'Danh sách ngày nghỉ lễ'!$B$5:$B$25)-1-3)&amp;" "&amp;"ngày","")))</f>
        <v/>
      </c>
      <c r="Y176" s="72" t="str">
        <f>IF(S176=0,"",IF(P176="Chuyển","",IF(P176="Nhập vào vụ khác","",IF(P176="BA",IF((S176-R176)&gt;10,"Quá hạn"&amp;" "&amp;(S176-R176-10)&amp;" "&amp;"ngày",""),IF((NETWORKDAYS(R176,S176,'Danh sách ngày nghỉ lễ'!$B$5:$B$25)-VLOOKUP(P176,'Thời hạn'!$A$17:$B$23,2,0))&gt;1,"Quá hạn"&amp;" "&amp;(NETWORKDAYS(R176,S176,'Danh sách ngày nghỉ lễ'!$B$5:$B$25)-1-VLOOKUP(P176,'Thời hạn'!$A$17:$B$23,2,0))&amp;" "&amp;"ngày","")))))</f>
        <v/>
      </c>
      <c r="Z176" s="23">
        <v>1</v>
      </c>
    </row>
    <row r="177" spans="1:26" x14ac:dyDescent="0.3">
      <c r="A177" s="24">
        <v>1</v>
      </c>
      <c r="B177" s="39"/>
      <c r="C177" s="33"/>
      <c r="D177" s="25"/>
      <c r="E177" s="25"/>
      <c r="F177" s="34"/>
      <c r="G177" s="34"/>
      <c r="H177" s="25"/>
      <c r="I177" s="70" t="str">
        <f>IF(C177="Trả lại đơn vụ","",IF(C177="Trả lại đơn việc","",IF(C177="Hòa giải thành","",IF(F177=0,"",EDATE(F177,VLOOKUP(C177,'Thời hạn'!$D$1:$E$10,2,0))+H177))))</f>
        <v/>
      </c>
      <c r="J177" s="59" t="str">
        <f t="shared" ca="1" si="2"/>
        <v/>
      </c>
      <c r="K177" s="25"/>
      <c r="L177" s="129"/>
      <c r="M177" s="130"/>
      <c r="N177" s="35"/>
      <c r="O177" s="34"/>
      <c r="P177" s="25"/>
      <c r="Q177" s="25"/>
      <c r="R177" s="34"/>
      <c r="S177" s="34"/>
      <c r="T177" s="137"/>
      <c r="U177" s="137"/>
      <c r="V177" s="36"/>
      <c r="W177" s="37"/>
      <c r="X177" s="71" t="str">
        <f>IF(C177="Trả lại đơn vụ","",IF(C177="Trả lại đơn việc","",IF((NETWORKDAYS(F177,G177,'Danh sách ngày nghỉ lễ'!$B$5:$B$25)-1-3)&gt;0,"Quá hạn"&amp;" "&amp;(NETWORKDAYS(F177,G177,'Danh sách ngày nghỉ lễ'!$B$5:$B$25)-1-3)&amp;" "&amp;"ngày","")))</f>
        <v/>
      </c>
      <c r="Y177" s="72" t="str">
        <f>IF(S177=0,"",IF(P177="Chuyển","",IF(P177="Nhập vào vụ khác","",IF(P177="BA",IF((S177-R177)&gt;10,"Quá hạn"&amp;" "&amp;(S177-R177-10)&amp;" "&amp;"ngày",""),IF((NETWORKDAYS(R177,S177,'Danh sách ngày nghỉ lễ'!$B$5:$B$25)-VLOOKUP(P177,'Thời hạn'!$A$17:$B$23,2,0))&gt;1,"Quá hạn"&amp;" "&amp;(NETWORKDAYS(R177,S177,'Danh sách ngày nghỉ lễ'!$B$5:$B$25)-1-VLOOKUP(P177,'Thời hạn'!$A$17:$B$23,2,0))&amp;" "&amp;"ngày","")))))</f>
        <v/>
      </c>
      <c r="Z177" s="23">
        <v>1</v>
      </c>
    </row>
    <row r="178" spans="1:26" x14ac:dyDescent="0.3">
      <c r="A178" s="24">
        <v>1</v>
      </c>
      <c r="B178" s="39"/>
      <c r="C178" s="33"/>
      <c r="D178" s="25"/>
      <c r="E178" s="25"/>
      <c r="F178" s="34"/>
      <c r="G178" s="34"/>
      <c r="H178" s="25"/>
      <c r="I178" s="70" t="str">
        <f>IF(C178="Trả lại đơn vụ","",IF(C178="Trả lại đơn việc","",IF(C178="Hòa giải thành","",IF(F178=0,"",EDATE(F178,VLOOKUP(C178,'Thời hạn'!$D$1:$E$10,2,0))+H178))))</f>
        <v/>
      </c>
      <c r="J178" s="59" t="str">
        <f t="shared" ca="1" si="2"/>
        <v/>
      </c>
      <c r="K178" s="25"/>
      <c r="L178" s="129"/>
      <c r="M178" s="130"/>
      <c r="N178" s="35"/>
      <c r="O178" s="34"/>
      <c r="P178" s="25"/>
      <c r="Q178" s="25"/>
      <c r="R178" s="34"/>
      <c r="S178" s="34"/>
      <c r="T178" s="137"/>
      <c r="U178" s="137"/>
      <c r="V178" s="36"/>
      <c r="W178" s="37"/>
      <c r="X178" s="71" t="str">
        <f>IF(C178="Trả lại đơn vụ","",IF(C178="Trả lại đơn việc","",IF((NETWORKDAYS(F178,G178,'Danh sách ngày nghỉ lễ'!$B$5:$B$25)-1-3)&gt;0,"Quá hạn"&amp;" "&amp;(NETWORKDAYS(F178,G178,'Danh sách ngày nghỉ lễ'!$B$5:$B$25)-1-3)&amp;" "&amp;"ngày","")))</f>
        <v/>
      </c>
      <c r="Y178" s="72" t="str">
        <f>IF(S178=0,"",IF(P178="Chuyển","",IF(P178="Nhập vào vụ khác","",IF(P178="BA",IF((S178-R178)&gt;10,"Quá hạn"&amp;" "&amp;(S178-R178-10)&amp;" "&amp;"ngày",""),IF((NETWORKDAYS(R178,S178,'Danh sách ngày nghỉ lễ'!$B$5:$B$25)-VLOOKUP(P178,'Thời hạn'!$A$17:$B$23,2,0))&gt;1,"Quá hạn"&amp;" "&amp;(NETWORKDAYS(R178,S178,'Danh sách ngày nghỉ lễ'!$B$5:$B$25)-1-VLOOKUP(P178,'Thời hạn'!$A$17:$B$23,2,0))&amp;" "&amp;"ngày","")))))</f>
        <v/>
      </c>
      <c r="Z178" s="23">
        <v>1</v>
      </c>
    </row>
    <row r="179" spans="1:26" x14ac:dyDescent="0.3">
      <c r="A179" s="24">
        <v>1</v>
      </c>
      <c r="B179" s="39"/>
      <c r="C179" s="33"/>
      <c r="D179" s="25"/>
      <c r="E179" s="25"/>
      <c r="F179" s="34"/>
      <c r="G179" s="34"/>
      <c r="H179" s="25"/>
      <c r="I179" s="70" t="str">
        <f>IF(C179="Trả lại đơn vụ","",IF(C179="Trả lại đơn việc","",IF(C179="Hòa giải thành","",IF(F179=0,"",EDATE(F179,VLOOKUP(C179,'Thời hạn'!$D$1:$E$10,2,0))+H179))))</f>
        <v/>
      </c>
      <c r="J179" s="59" t="str">
        <f t="shared" ca="1" si="2"/>
        <v/>
      </c>
      <c r="K179" s="25"/>
      <c r="L179" s="129"/>
      <c r="M179" s="130"/>
      <c r="N179" s="35"/>
      <c r="O179" s="34"/>
      <c r="P179" s="25"/>
      <c r="Q179" s="25"/>
      <c r="R179" s="34"/>
      <c r="S179" s="34"/>
      <c r="T179" s="137"/>
      <c r="U179" s="137"/>
      <c r="V179" s="36"/>
      <c r="W179" s="37"/>
      <c r="X179" s="71" t="str">
        <f>IF(C179="Trả lại đơn vụ","",IF(C179="Trả lại đơn việc","",IF((NETWORKDAYS(F179,G179,'Danh sách ngày nghỉ lễ'!$B$5:$B$25)-1-3)&gt;0,"Quá hạn"&amp;" "&amp;(NETWORKDAYS(F179,G179,'Danh sách ngày nghỉ lễ'!$B$5:$B$25)-1-3)&amp;" "&amp;"ngày","")))</f>
        <v/>
      </c>
      <c r="Y179" s="72" t="str">
        <f>IF(S179=0,"",IF(P179="Chuyển","",IF(P179="Nhập vào vụ khác","",IF(P179="BA",IF((S179-R179)&gt;10,"Quá hạn"&amp;" "&amp;(S179-R179-10)&amp;" "&amp;"ngày",""),IF((NETWORKDAYS(R179,S179,'Danh sách ngày nghỉ lễ'!$B$5:$B$25)-VLOOKUP(P179,'Thời hạn'!$A$17:$B$23,2,0))&gt;1,"Quá hạn"&amp;" "&amp;(NETWORKDAYS(R179,S179,'Danh sách ngày nghỉ lễ'!$B$5:$B$25)-1-VLOOKUP(P179,'Thời hạn'!$A$17:$B$23,2,0))&amp;" "&amp;"ngày","")))))</f>
        <v/>
      </c>
      <c r="Z179" s="23">
        <v>1</v>
      </c>
    </row>
    <row r="180" spans="1:26" x14ac:dyDescent="0.3">
      <c r="A180" s="24">
        <v>1</v>
      </c>
      <c r="B180" s="39"/>
      <c r="C180" s="33"/>
      <c r="D180" s="25"/>
      <c r="E180" s="25"/>
      <c r="F180" s="34"/>
      <c r="G180" s="34"/>
      <c r="H180" s="25"/>
      <c r="I180" s="70" t="str">
        <f>IF(C180="Trả lại đơn vụ","",IF(C180="Trả lại đơn việc","",IF(C180="Hòa giải thành","",IF(F180=0,"",EDATE(F180,VLOOKUP(C180,'Thời hạn'!$D$1:$E$10,2,0))+H180))))</f>
        <v/>
      </c>
      <c r="J180" s="59" t="str">
        <f t="shared" ca="1" si="2"/>
        <v/>
      </c>
      <c r="K180" s="25"/>
      <c r="L180" s="129"/>
      <c r="M180" s="130"/>
      <c r="N180" s="35"/>
      <c r="O180" s="34"/>
      <c r="P180" s="25"/>
      <c r="Q180" s="25"/>
      <c r="R180" s="34"/>
      <c r="S180" s="34"/>
      <c r="T180" s="137"/>
      <c r="U180" s="137"/>
      <c r="V180" s="36"/>
      <c r="W180" s="37"/>
      <c r="X180" s="71" t="str">
        <f>IF(C180="Trả lại đơn vụ","",IF(C180="Trả lại đơn việc","",IF((NETWORKDAYS(F180,G180,'Danh sách ngày nghỉ lễ'!$B$5:$B$25)-1-3)&gt;0,"Quá hạn"&amp;" "&amp;(NETWORKDAYS(F180,G180,'Danh sách ngày nghỉ lễ'!$B$5:$B$25)-1-3)&amp;" "&amp;"ngày","")))</f>
        <v/>
      </c>
      <c r="Y180" s="72" t="str">
        <f>IF(S180=0,"",IF(P180="Chuyển","",IF(P180="Nhập vào vụ khác","",IF(P180="BA",IF((S180-R180)&gt;10,"Quá hạn"&amp;" "&amp;(S180-R180-10)&amp;" "&amp;"ngày",""),IF((NETWORKDAYS(R180,S180,'Danh sách ngày nghỉ lễ'!$B$5:$B$25)-VLOOKUP(P180,'Thời hạn'!$A$17:$B$23,2,0))&gt;1,"Quá hạn"&amp;" "&amp;(NETWORKDAYS(R180,S180,'Danh sách ngày nghỉ lễ'!$B$5:$B$25)-1-VLOOKUP(P180,'Thời hạn'!$A$17:$B$23,2,0))&amp;" "&amp;"ngày","")))))</f>
        <v/>
      </c>
      <c r="Z180" s="23">
        <v>1</v>
      </c>
    </row>
    <row r="181" spans="1:26" x14ac:dyDescent="0.3">
      <c r="A181" s="24">
        <v>1</v>
      </c>
      <c r="B181" s="39"/>
      <c r="C181" s="33"/>
      <c r="D181" s="25"/>
      <c r="E181" s="25"/>
      <c r="F181" s="34"/>
      <c r="G181" s="34"/>
      <c r="H181" s="25"/>
      <c r="I181" s="70" t="str">
        <f>IF(C181="Trả lại đơn vụ","",IF(C181="Trả lại đơn việc","",IF(C181="Hòa giải thành","",IF(F181=0,"",EDATE(F181,VLOOKUP(C181,'Thời hạn'!$D$1:$E$10,2,0))+H181))))</f>
        <v/>
      </c>
      <c r="J181" s="59" t="str">
        <f t="shared" ca="1" si="2"/>
        <v/>
      </c>
      <c r="K181" s="25"/>
      <c r="L181" s="129"/>
      <c r="M181" s="130"/>
      <c r="N181" s="35"/>
      <c r="O181" s="34"/>
      <c r="P181" s="25"/>
      <c r="Q181" s="25"/>
      <c r="R181" s="34"/>
      <c r="S181" s="34"/>
      <c r="T181" s="137"/>
      <c r="U181" s="137"/>
      <c r="V181" s="36"/>
      <c r="W181" s="37"/>
      <c r="X181" s="71" t="str">
        <f>IF(C181="Trả lại đơn vụ","",IF(C181="Trả lại đơn việc","",IF((NETWORKDAYS(F181,G181,'Danh sách ngày nghỉ lễ'!$B$5:$B$25)-1-3)&gt;0,"Quá hạn"&amp;" "&amp;(NETWORKDAYS(F181,G181,'Danh sách ngày nghỉ lễ'!$B$5:$B$25)-1-3)&amp;" "&amp;"ngày","")))</f>
        <v/>
      </c>
      <c r="Y181" s="72" t="str">
        <f>IF(S181=0,"",IF(P181="Chuyển","",IF(P181="Nhập vào vụ khác","",IF(P181="BA",IF((S181-R181)&gt;10,"Quá hạn"&amp;" "&amp;(S181-R181-10)&amp;" "&amp;"ngày",""),IF((NETWORKDAYS(R181,S181,'Danh sách ngày nghỉ lễ'!$B$5:$B$25)-VLOOKUP(P181,'Thời hạn'!$A$17:$B$23,2,0))&gt;1,"Quá hạn"&amp;" "&amp;(NETWORKDAYS(R181,S181,'Danh sách ngày nghỉ lễ'!$B$5:$B$25)-1-VLOOKUP(P181,'Thời hạn'!$A$17:$B$23,2,0))&amp;" "&amp;"ngày","")))))</f>
        <v/>
      </c>
      <c r="Z181" s="23">
        <v>1</v>
      </c>
    </row>
    <row r="182" spans="1:26" x14ac:dyDescent="0.3">
      <c r="A182" s="24">
        <v>1</v>
      </c>
      <c r="B182" s="39"/>
      <c r="C182" s="33"/>
      <c r="D182" s="25"/>
      <c r="E182" s="25"/>
      <c r="F182" s="34"/>
      <c r="G182" s="34"/>
      <c r="H182" s="25"/>
      <c r="I182" s="70" t="str">
        <f>IF(C182="Trả lại đơn vụ","",IF(C182="Trả lại đơn việc","",IF(C182="Hòa giải thành","",IF(F182=0,"",EDATE(F182,VLOOKUP(C182,'Thời hạn'!$D$1:$E$10,2,0))+H182))))</f>
        <v/>
      </c>
      <c r="J182" s="59" t="str">
        <f t="shared" ca="1" si="2"/>
        <v/>
      </c>
      <c r="K182" s="25"/>
      <c r="L182" s="129"/>
      <c r="M182" s="130"/>
      <c r="N182" s="35"/>
      <c r="O182" s="34"/>
      <c r="P182" s="25"/>
      <c r="Q182" s="25"/>
      <c r="R182" s="34"/>
      <c r="S182" s="34"/>
      <c r="T182" s="137"/>
      <c r="U182" s="137"/>
      <c r="V182" s="36"/>
      <c r="W182" s="37"/>
      <c r="X182" s="71" t="str">
        <f>IF(C182="Trả lại đơn vụ","",IF(C182="Trả lại đơn việc","",IF((NETWORKDAYS(F182,G182,'Danh sách ngày nghỉ lễ'!$B$5:$B$25)-1-3)&gt;0,"Quá hạn"&amp;" "&amp;(NETWORKDAYS(F182,G182,'Danh sách ngày nghỉ lễ'!$B$5:$B$25)-1-3)&amp;" "&amp;"ngày","")))</f>
        <v/>
      </c>
      <c r="Y182" s="72" t="str">
        <f>IF(S182=0,"",IF(P182="Chuyển","",IF(P182="Nhập vào vụ khác","",IF(P182="BA",IF((S182-R182)&gt;10,"Quá hạn"&amp;" "&amp;(S182-R182-10)&amp;" "&amp;"ngày",""),IF((NETWORKDAYS(R182,S182,'Danh sách ngày nghỉ lễ'!$B$5:$B$25)-VLOOKUP(P182,'Thời hạn'!$A$17:$B$23,2,0))&gt;1,"Quá hạn"&amp;" "&amp;(NETWORKDAYS(R182,S182,'Danh sách ngày nghỉ lễ'!$B$5:$B$25)-1-VLOOKUP(P182,'Thời hạn'!$A$17:$B$23,2,0))&amp;" "&amp;"ngày","")))))</f>
        <v/>
      </c>
      <c r="Z182" s="23">
        <v>1</v>
      </c>
    </row>
    <row r="183" spans="1:26" x14ac:dyDescent="0.3">
      <c r="A183" s="24">
        <v>1</v>
      </c>
      <c r="B183" s="39"/>
      <c r="C183" s="33"/>
      <c r="D183" s="25"/>
      <c r="E183" s="25"/>
      <c r="F183" s="34"/>
      <c r="G183" s="34"/>
      <c r="H183" s="25"/>
      <c r="I183" s="70" t="str">
        <f>IF(C183="Trả lại đơn vụ","",IF(C183="Trả lại đơn việc","",IF(C183="Hòa giải thành","",IF(F183=0,"",EDATE(F183,VLOOKUP(C183,'Thời hạn'!$D$1:$E$10,2,0))+H183))))</f>
        <v/>
      </c>
      <c r="J183" s="59" t="str">
        <f t="shared" ca="1" si="2"/>
        <v/>
      </c>
      <c r="K183" s="25"/>
      <c r="L183" s="129"/>
      <c r="M183" s="130"/>
      <c r="N183" s="35"/>
      <c r="O183" s="34"/>
      <c r="P183" s="25"/>
      <c r="Q183" s="25"/>
      <c r="R183" s="34"/>
      <c r="S183" s="34"/>
      <c r="T183" s="137"/>
      <c r="U183" s="137"/>
      <c r="V183" s="36"/>
      <c r="W183" s="37"/>
      <c r="X183" s="71" t="str">
        <f>IF(C183="Trả lại đơn vụ","",IF(C183="Trả lại đơn việc","",IF((NETWORKDAYS(F183,G183,'Danh sách ngày nghỉ lễ'!$B$5:$B$25)-1-3)&gt;0,"Quá hạn"&amp;" "&amp;(NETWORKDAYS(F183,G183,'Danh sách ngày nghỉ lễ'!$B$5:$B$25)-1-3)&amp;" "&amp;"ngày","")))</f>
        <v/>
      </c>
      <c r="Y183" s="72" t="str">
        <f>IF(S183=0,"",IF(P183="Chuyển","",IF(P183="Nhập vào vụ khác","",IF(P183="BA",IF((S183-R183)&gt;10,"Quá hạn"&amp;" "&amp;(S183-R183-10)&amp;" "&amp;"ngày",""),IF((NETWORKDAYS(R183,S183,'Danh sách ngày nghỉ lễ'!$B$5:$B$25)-VLOOKUP(P183,'Thời hạn'!$A$17:$B$23,2,0))&gt;1,"Quá hạn"&amp;" "&amp;(NETWORKDAYS(R183,S183,'Danh sách ngày nghỉ lễ'!$B$5:$B$25)-1-VLOOKUP(P183,'Thời hạn'!$A$17:$B$23,2,0))&amp;" "&amp;"ngày","")))))</f>
        <v/>
      </c>
      <c r="Z183" s="23">
        <v>1</v>
      </c>
    </row>
    <row r="184" spans="1:26" x14ac:dyDescent="0.3">
      <c r="A184" s="24">
        <v>1</v>
      </c>
      <c r="B184" s="39"/>
      <c r="C184" s="33"/>
      <c r="D184" s="25"/>
      <c r="E184" s="25"/>
      <c r="F184" s="34"/>
      <c r="G184" s="34"/>
      <c r="H184" s="25"/>
      <c r="I184" s="70" t="str">
        <f>IF(C184="Trả lại đơn vụ","",IF(C184="Trả lại đơn việc","",IF(C184="Hòa giải thành","",IF(F184=0,"",EDATE(F184,VLOOKUP(C184,'Thời hạn'!$D$1:$E$10,2,0))+H184))))</f>
        <v/>
      </c>
      <c r="J184" s="59" t="str">
        <f t="shared" ca="1" si="2"/>
        <v/>
      </c>
      <c r="K184" s="25"/>
      <c r="L184" s="129"/>
      <c r="M184" s="130"/>
      <c r="N184" s="35"/>
      <c r="O184" s="34"/>
      <c r="P184" s="25"/>
      <c r="Q184" s="25"/>
      <c r="R184" s="34"/>
      <c r="S184" s="34"/>
      <c r="T184" s="137"/>
      <c r="U184" s="137"/>
      <c r="V184" s="36"/>
      <c r="W184" s="37"/>
      <c r="X184" s="71" t="str">
        <f>IF(C184="Trả lại đơn vụ","",IF(C184="Trả lại đơn việc","",IF((NETWORKDAYS(F184,G184,'Danh sách ngày nghỉ lễ'!$B$5:$B$25)-1-3)&gt;0,"Quá hạn"&amp;" "&amp;(NETWORKDAYS(F184,G184,'Danh sách ngày nghỉ lễ'!$B$5:$B$25)-1-3)&amp;" "&amp;"ngày","")))</f>
        <v/>
      </c>
      <c r="Y184" s="72" t="str">
        <f>IF(S184=0,"",IF(P184="Chuyển","",IF(P184="Nhập vào vụ khác","",IF(P184="BA",IF((S184-R184)&gt;10,"Quá hạn"&amp;" "&amp;(S184-R184-10)&amp;" "&amp;"ngày",""),IF((NETWORKDAYS(R184,S184,'Danh sách ngày nghỉ lễ'!$B$5:$B$25)-VLOOKUP(P184,'Thời hạn'!$A$17:$B$23,2,0))&gt;1,"Quá hạn"&amp;" "&amp;(NETWORKDAYS(R184,S184,'Danh sách ngày nghỉ lễ'!$B$5:$B$25)-1-VLOOKUP(P184,'Thời hạn'!$A$17:$B$23,2,0))&amp;" "&amp;"ngày","")))))</f>
        <v/>
      </c>
      <c r="Z184" s="23">
        <v>1</v>
      </c>
    </row>
    <row r="185" spans="1:26" x14ac:dyDescent="0.3">
      <c r="A185" s="24">
        <v>1</v>
      </c>
      <c r="B185" s="39"/>
      <c r="C185" s="33"/>
      <c r="D185" s="25"/>
      <c r="E185" s="25"/>
      <c r="F185" s="34"/>
      <c r="G185" s="34"/>
      <c r="H185" s="25"/>
      <c r="I185" s="70" t="str">
        <f>IF(C185="Trả lại đơn vụ","",IF(C185="Trả lại đơn việc","",IF(C185="Hòa giải thành","",IF(F185=0,"",EDATE(F185,VLOOKUP(C185,'Thời hạn'!$D$1:$E$10,2,0))+H185))))</f>
        <v/>
      </c>
      <c r="J185" s="59" t="str">
        <f t="shared" ca="1" si="2"/>
        <v/>
      </c>
      <c r="K185" s="25"/>
      <c r="L185" s="129"/>
      <c r="M185" s="130"/>
      <c r="N185" s="35"/>
      <c r="O185" s="34"/>
      <c r="P185" s="25"/>
      <c r="Q185" s="25"/>
      <c r="R185" s="34"/>
      <c r="S185" s="34"/>
      <c r="T185" s="137"/>
      <c r="U185" s="137"/>
      <c r="V185" s="36"/>
      <c r="W185" s="37"/>
      <c r="X185" s="71" t="str">
        <f>IF(C185="Trả lại đơn vụ","",IF(C185="Trả lại đơn việc","",IF((NETWORKDAYS(F185,G185,'Danh sách ngày nghỉ lễ'!$B$5:$B$25)-1-3)&gt;0,"Quá hạn"&amp;" "&amp;(NETWORKDAYS(F185,G185,'Danh sách ngày nghỉ lễ'!$B$5:$B$25)-1-3)&amp;" "&amp;"ngày","")))</f>
        <v/>
      </c>
      <c r="Y185" s="72" t="str">
        <f>IF(S185=0,"",IF(P185="Chuyển","",IF(P185="Nhập vào vụ khác","",IF(P185="BA",IF((S185-R185)&gt;10,"Quá hạn"&amp;" "&amp;(S185-R185-10)&amp;" "&amp;"ngày",""),IF((NETWORKDAYS(R185,S185,'Danh sách ngày nghỉ lễ'!$B$5:$B$25)-VLOOKUP(P185,'Thời hạn'!$A$17:$B$23,2,0))&gt;1,"Quá hạn"&amp;" "&amp;(NETWORKDAYS(R185,S185,'Danh sách ngày nghỉ lễ'!$B$5:$B$25)-1-VLOOKUP(P185,'Thời hạn'!$A$17:$B$23,2,0))&amp;" "&amp;"ngày","")))))</f>
        <v/>
      </c>
      <c r="Z185" s="23">
        <v>1</v>
      </c>
    </row>
    <row r="186" spans="1:26" x14ac:dyDescent="0.3">
      <c r="A186" s="24">
        <v>1</v>
      </c>
      <c r="B186" s="39"/>
      <c r="C186" s="33"/>
      <c r="D186" s="25"/>
      <c r="E186" s="25"/>
      <c r="F186" s="34"/>
      <c r="G186" s="34"/>
      <c r="H186" s="25"/>
      <c r="I186" s="70" t="str">
        <f>IF(C186="Trả lại đơn vụ","",IF(C186="Trả lại đơn việc","",IF(C186="Hòa giải thành","",IF(F186=0,"",EDATE(F186,VLOOKUP(C186,'Thời hạn'!$D$1:$E$10,2,0))+H186))))</f>
        <v/>
      </c>
      <c r="J186" s="59" t="str">
        <f t="shared" ca="1" si="2"/>
        <v/>
      </c>
      <c r="K186" s="25"/>
      <c r="L186" s="129"/>
      <c r="M186" s="130"/>
      <c r="N186" s="35"/>
      <c r="O186" s="34"/>
      <c r="P186" s="25"/>
      <c r="Q186" s="25"/>
      <c r="R186" s="34"/>
      <c r="S186" s="34"/>
      <c r="T186" s="137"/>
      <c r="U186" s="137"/>
      <c r="V186" s="36"/>
      <c r="W186" s="37"/>
      <c r="X186" s="71" t="str">
        <f>IF(C186="Trả lại đơn vụ","",IF(C186="Trả lại đơn việc","",IF((NETWORKDAYS(F186,G186,'Danh sách ngày nghỉ lễ'!$B$5:$B$25)-1-3)&gt;0,"Quá hạn"&amp;" "&amp;(NETWORKDAYS(F186,G186,'Danh sách ngày nghỉ lễ'!$B$5:$B$25)-1-3)&amp;" "&amp;"ngày","")))</f>
        <v/>
      </c>
      <c r="Y186" s="72" t="str">
        <f>IF(S186=0,"",IF(P186="Chuyển","",IF(P186="Nhập vào vụ khác","",IF(P186="BA",IF((S186-R186)&gt;10,"Quá hạn"&amp;" "&amp;(S186-R186-10)&amp;" "&amp;"ngày",""),IF((NETWORKDAYS(R186,S186,'Danh sách ngày nghỉ lễ'!$B$5:$B$25)-VLOOKUP(P186,'Thời hạn'!$A$17:$B$23,2,0))&gt;1,"Quá hạn"&amp;" "&amp;(NETWORKDAYS(R186,S186,'Danh sách ngày nghỉ lễ'!$B$5:$B$25)-1-VLOOKUP(P186,'Thời hạn'!$A$17:$B$23,2,0))&amp;" "&amp;"ngày","")))))</f>
        <v/>
      </c>
      <c r="Z186" s="23">
        <v>1</v>
      </c>
    </row>
    <row r="187" spans="1:26" x14ac:dyDescent="0.3">
      <c r="A187" s="24">
        <v>1</v>
      </c>
      <c r="B187" s="39"/>
      <c r="C187" s="33"/>
      <c r="D187" s="25"/>
      <c r="E187" s="25"/>
      <c r="F187" s="34"/>
      <c r="G187" s="34"/>
      <c r="H187" s="25"/>
      <c r="I187" s="70" t="str">
        <f>IF(C187="Trả lại đơn vụ","",IF(C187="Trả lại đơn việc","",IF(C187="Hòa giải thành","",IF(F187=0,"",EDATE(F187,VLOOKUP(C187,'Thời hạn'!$D$1:$E$10,2,0))+H187))))</f>
        <v/>
      </c>
      <c r="J187" s="59" t="str">
        <f t="shared" ca="1" si="2"/>
        <v/>
      </c>
      <c r="K187" s="25"/>
      <c r="L187" s="129"/>
      <c r="M187" s="130"/>
      <c r="N187" s="35"/>
      <c r="O187" s="34"/>
      <c r="P187" s="25"/>
      <c r="Q187" s="25"/>
      <c r="R187" s="34"/>
      <c r="S187" s="34"/>
      <c r="T187" s="137"/>
      <c r="U187" s="137"/>
      <c r="V187" s="36"/>
      <c r="W187" s="37"/>
      <c r="X187" s="71" t="str">
        <f>IF(C187="Trả lại đơn vụ","",IF(C187="Trả lại đơn việc","",IF((NETWORKDAYS(F187,G187,'Danh sách ngày nghỉ lễ'!$B$5:$B$25)-1-3)&gt;0,"Quá hạn"&amp;" "&amp;(NETWORKDAYS(F187,G187,'Danh sách ngày nghỉ lễ'!$B$5:$B$25)-1-3)&amp;" "&amp;"ngày","")))</f>
        <v/>
      </c>
      <c r="Y187" s="72" t="str">
        <f>IF(S187=0,"",IF(P187="Chuyển","",IF(P187="Nhập vào vụ khác","",IF(P187="BA",IF((S187-R187)&gt;10,"Quá hạn"&amp;" "&amp;(S187-R187-10)&amp;" "&amp;"ngày",""),IF((NETWORKDAYS(R187,S187,'Danh sách ngày nghỉ lễ'!$B$5:$B$25)-VLOOKUP(P187,'Thời hạn'!$A$17:$B$23,2,0))&gt;1,"Quá hạn"&amp;" "&amp;(NETWORKDAYS(R187,S187,'Danh sách ngày nghỉ lễ'!$B$5:$B$25)-1-VLOOKUP(P187,'Thời hạn'!$A$17:$B$23,2,0))&amp;" "&amp;"ngày","")))))</f>
        <v/>
      </c>
      <c r="Z187" s="23">
        <v>1</v>
      </c>
    </row>
    <row r="188" spans="1:26" x14ac:dyDescent="0.3">
      <c r="A188" s="24">
        <v>1</v>
      </c>
      <c r="B188" s="39"/>
      <c r="C188" s="33"/>
      <c r="D188" s="25"/>
      <c r="E188" s="25"/>
      <c r="F188" s="34"/>
      <c r="G188" s="34"/>
      <c r="H188" s="25"/>
      <c r="I188" s="70" t="str">
        <f>IF(C188="Trả lại đơn vụ","",IF(C188="Trả lại đơn việc","",IF(C188="Hòa giải thành","",IF(F188=0,"",EDATE(F188,VLOOKUP(C188,'Thời hạn'!$D$1:$E$10,2,0))+H188))))</f>
        <v/>
      </c>
      <c r="J188" s="59" t="str">
        <f t="shared" ca="1" si="2"/>
        <v/>
      </c>
      <c r="K188" s="25"/>
      <c r="L188" s="129"/>
      <c r="M188" s="130"/>
      <c r="N188" s="35"/>
      <c r="O188" s="34"/>
      <c r="P188" s="25"/>
      <c r="Q188" s="25"/>
      <c r="R188" s="34"/>
      <c r="S188" s="34"/>
      <c r="T188" s="137"/>
      <c r="U188" s="137"/>
      <c r="V188" s="36"/>
      <c r="W188" s="37"/>
      <c r="X188" s="71" t="str">
        <f>IF(C188="Trả lại đơn vụ","",IF(C188="Trả lại đơn việc","",IF((NETWORKDAYS(F188,G188,'Danh sách ngày nghỉ lễ'!$B$5:$B$25)-1-3)&gt;0,"Quá hạn"&amp;" "&amp;(NETWORKDAYS(F188,G188,'Danh sách ngày nghỉ lễ'!$B$5:$B$25)-1-3)&amp;" "&amp;"ngày","")))</f>
        <v/>
      </c>
      <c r="Y188" s="72" t="str">
        <f>IF(S188=0,"",IF(P188="Chuyển","",IF(P188="Nhập vào vụ khác","",IF(P188="BA",IF((S188-R188)&gt;10,"Quá hạn"&amp;" "&amp;(S188-R188-10)&amp;" "&amp;"ngày",""),IF((NETWORKDAYS(R188,S188,'Danh sách ngày nghỉ lễ'!$B$5:$B$25)-VLOOKUP(P188,'Thời hạn'!$A$17:$B$23,2,0))&gt;1,"Quá hạn"&amp;" "&amp;(NETWORKDAYS(R188,S188,'Danh sách ngày nghỉ lễ'!$B$5:$B$25)-1-VLOOKUP(P188,'Thời hạn'!$A$17:$B$23,2,0))&amp;" "&amp;"ngày","")))))</f>
        <v/>
      </c>
      <c r="Z188" s="23">
        <v>1</v>
      </c>
    </row>
    <row r="189" spans="1:26" x14ac:dyDescent="0.3">
      <c r="A189" s="24">
        <v>1</v>
      </c>
      <c r="B189" s="39"/>
      <c r="C189" s="33"/>
      <c r="D189" s="25"/>
      <c r="E189" s="25"/>
      <c r="F189" s="34"/>
      <c r="G189" s="34"/>
      <c r="H189" s="25"/>
      <c r="I189" s="70" t="str">
        <f>IF(C189="Trả lại đơn vụ","",IF(C189="Trả lại đơn việc","",IF(C189="Hòa giải thành","",IF(F189=0,"",EDATE(F189,VLOOKUP(C189,'Thời hạn'!$D$1:$E$10,2,0))+H189))))</f>
        <v/>
      </c>
      <c r="J189" s="59" t="str">
        <f t="shared" ca="1" si="2"/>
        <v/>
      </c>
      <c r="K189" s="25"/>
      <c r="L189" s="129"/>
      <c r="M189" s="130"/>
      <c r="N189" s="35"/>
      <c r="O189" s="34"/>
      <c r="P189" s="25"/>
      <c r="Q189" s="25"/>
      <c r="R189" s="34"/>
      <c r="S189" s="34"/>
      <c r="T189" s="137"/>
      <c r="U189" s="137"/>
      <c r="V189" s="36"/>
      <c r="W189" s="37"/>
      <c r="X189" s="71" t="str">
        <f>IF(C189="Trả lại đơn vụ","",IF(C189="Trả lại đơn việc","",IF((NETWORKDAYS(F189,G189,'Danh sách ngày nghỉ lễ'!$B$5:$B$25)-1-3)&gt;0,"Quá hạn"&amp;" "&amp;(NETWORKDAYS(F189,G189,'Danh sách ngày nghỉ lễ'!$B$5:$B$25)-1-3)&amp;" "&amp;"ngày","")))</f>
        <v/>
      </c>
      <c r="Y189" s="72" t="str">
        <f>IF(S189=0,"",IF(P189="Chuyển","",IF(P189="Nhập vào vụ khác","",IF(P189="BA",IF((S189-R189)&gt;10,"Quá hạn"&amp;" "&amp;(S189-R189-10)&amp;" "&amp;"ngày",""),IF((NETWORKDAYS(R189,S189,'Danh sách ngày nghỉ lễ'!$B$5:$B$25)-VLOOKUP(P189,'Thời hạn'!$A$17:$B$23,2,0))&gt;1,"Quá hạn"&amp;" "&amp;(NETWORKDAYS(R189,S189,'Danh sách ngày nghỉ lễ'!$B$5:$B$25)-1-VLOOKUP(P189,'Thời hạn'!$A$17:$B$23,2,0))&amp;" "&amp;"ngày","")))))</f>
        <v/>
      </c>
      <c r="Z189" s="23">
        <v>1</v>
      </c>
    </row>
    <row r="190" spans="1:26" x14ac:dyDescent="0.3">
      <c r="A190" s="24">
        <v>1</v>
      </c>
      <c r="B190" s="39"/>
      <c r="C190" s="33"/>
      <c r="D190" s="25"/>
      <c r="E190" s="25"/>
      <c r="F190" s="34"/>
      <c r="G190" s="34"/>
      <c r="H190" s="25"/>
      <c r="I190" s="70" t="str">
        <f>IF(C190="Trả lại đơn vụ","",IF(C190="Trả lại đơn việc","",IF(C190="Hòa giải thành","",IF(F190=0,"",EDATE(F190,VLOOKUP(C190,'Thời hạn'!$D$1:$E$10,2,0))+H190))))</f>
        <v/>
      </c>
      <c r="J190" s="59" t="str">
        <f t="shared" ca="1" si="2"/>
        <v/>
      </c>
      <c r="K190" s="25"/>
      <c r="L190" s="129"/>
      <c r="M190" s="130"/>
      <c r="N190" s="35"/>
      <c r="O190" s="34"/>
      <c r="P190" s="25"/>
      <c r="Q190" s="25"/>
      <c r="R190" s="34"/>
      <c r="S190" s="34"/>
      <c r="T190" s="137"/>
      <c r="U190" s="137"/>
      <c r="V190" s="36"/>
      <c r="W190" s="37"/>
      <c r="X190" s="71" t="str">
        <f>IF(C190="Trả lại đơn vụ","",IF(C190="Trả lại đơn việc","",IF((NETWORKDAYS(F190,G190,'Danh sách ngày nghỉ lễ'!$B$5:$B$25)-1-3)&gt;0,"Quá hạn"&amp;" "&amp;(NETWORKDAYS(F190,G190,'Danh sách ngày nghỉ lễ'!$B$5:$B$25)-1-3)&amp;" "&amp;"ngày","")))</f>
        <v/>
      </c>
      <c r="Y190" s="72" t="str">
        <f>IF(S190=0,"",IF(P190="Chuyển","",IF(P190="Nhập vào vụ khác","",IF(P190="BA",IF((S190-R190)&gt;10,"Quá hạn"&amp;" "&amp;(S190-R190-10)&amp;" "&amp;"ngày",""),IF((NETWORKDAYS(R190,S190,'Danh sách ngày nghỉ lễ'!$B$5:$B$25)-VLOOKUP(P190,'Thời hạn'!$A$17:$B$23,2,0))&gt;1,"Quá hạn"&amp;" "&amp;(NETWORKDAYS(R190,S190,'Danh sách ngày nghỉ lễ'!$B$5:$B$25)-1-VLOOKUP(P190,'Thời hạn'!$A$17:$B$23,2,0))&amp;" "&amp;"ngày","")))))</f>
        <v/>
      </c>
      <c r="Z190" s="23">
        <v>1</v>
      </c>
    </row>
    <row r="191" spans="1:26" x14ac:dyDescent="0.3">
      <c r="A191" s="24">
        <v>1</v>
      </c>
      <c r="B191" s="39"/>
      <c r="C191" s="33"/>
      <c r="D191" s="25"/>
      <c r="E191" s="25"/>
      <c r="F191" s="34"/>
      <c r="G191" s="34"/>
      <c r="H191" s="25"/>
      <c r="I191" s="70" t="str">
        <f>IF(C191="Trả lại đơn vụ","",IF(C191="Trả lại đơn việc","",IF(C191="Hòa giải thành","",IF(F191=0,"",EDATE(F191,VLOOKUP(C191,'Thời hạn'!$D$1:$E$10,2,0))+H191))))</f>
        <v/>
      </c>
      <c r="J191" s="59" t="str">
        <f t="shared" ca="1" si="2"/>
        <v/>
      </c>
      <c r="K191" s="25"/>
      <c r="L191" s="129"/>
      <c r="M191" s="130"/>
      <c r="N191" s="35"/>
      <c r="O191" s="34"/>
      <c r="P191" s="25"/>
      <c r="Q191" s="25"/>
      <c r="R191" s="34"/>
      <c r="S191" s="34"/>
      <c r="T191" s="137"/>
      <c r="U191" s="137"/>
      <c r="V191" s="36"/>
      <c r="W191" s="37"/>
      <c r="X191" s="71" t="str">
        <f>IF(C191="Trả lại đơn vụ","",IF(C191="Trả lại đơn việc","",IF((NETWORKDAYS(F191,G191,'Danh sách ngày nghỉ lễ'!$B$5:$B$25)-1-3)&gt;0,"Quá hạn"&amp;" "&amp;(NETWORKDAYS(F191,G191,'Danh sách ngày nghỉ lễ'!$B$5:$B$25)-1-3)&amp;" "&amp;"ngày","")))</f>
        <v/>
      </c>
      <c r="Y191" s="72" t="str">
        <f>IF(S191=0,"",IF(P191="Chuyển","",IF(P191="Nhập vào vụ khác","",IF(P191="BA",IF((S191-R191)&gt;10,"Quá hạn"&amp;" "&amp;(S191-R191-10)&amp;" "&amp;"ngày",""),IF((NETWORKDAYS(R191,S191,'Danh sách ngày nghỉ lễ'!$B$5:$B$25)-VLOOKUP(P191,'Thời hạn'!$A$17:$B$23,2,0))&gt;1,"Quá hạn"&amp;" "&amp;(NETWORKDAYS(R191,S191,'Danh sách ngày nghỉ lễ'!$B$5:$B$25)-1-VLOOKUP(P191,'Thời hạn'!$A$17:$B$23,2,0))&amp;" "&amp;"ngày","")))))</f>
        <v/>
      </c>
      <c r="Z191" s="23">
        <v>1</v>
      </c>
    </row>
    <row r="192" spans="1:26" x14ac:dyDescent="0.3">
      <c r="A192" s="24">
        <v>1</v>
      </c>
      <c r="B192" s="39"/>
      <c r="C192" s="33"/>
      <c r="D192" s="25"/>
      <c r="E192" s="25"/>
      <c r="F192" s="34"/>
      <c r="G192" s="34"/>
      <c r="H192" s="25"/>
      <c r="I192" s="70" t="str">
        <f>IF(C192="Trả lại đơn vụ","",IF(C192="Trả lại đơn việc","",IF(C192="Hòa giải thành","",IF(F192=0,"",EDATE(F192,VLOOKUP(C192,'Thời hạn'!$D$1:$E$10,2,0))+H192))))</f>
        <v/>
      </c>
      <c r="J192" s="59" t="str">
        <f t="shared" ca="1" si="2"/>
        <v/>
      </c>
      <c r="K192" s="25"/>
      <c r="L192" s="129"/>
      <c r="M192" s="130"/>
      <c r="N192" s="35"/>
      <c r="O192" s="34"/>
      <c r="P192" s="25"/>
      <c r="Q192" s="25"/>
      <c r="R192" s="34"/>
      <c r="S192" s="34"/>
      <c r="T192" s="137"/>
      <c r="U192" s="137"/>
      <c r="V192" s="36"/>
      <c r="W192" s="37"/>
      <c r="X192" s="71" t="str">
        <f>IF(C192="Trả lại đơn vụ","",IF(C192="Trả lại đơn việc","",IF((NETWORKDAYS(F192,G192,'Danh sách ngày nghỉ lễ'!$B$5:$B$25)-1-3)&gt;0,"Quá hạn"&amp;" "&amp;(NETWORKDAYS(F192,G192,'Danh sách ngày nghỉ lễ'!$B$5:$B$25)-1-3)&amp;" "&amp;"ngày","")))</f>
        <v/>
      </c>
      <c r="Y192" s="72" t="str">
        <f>IF(S192=0,"",IF(P192="Chuyển","",IF(P192="Nhập vào vụ khác","",IF(P192="BA",IF((S192-R192)&gt;10,"Quá hạn"&amp;" "&amp;(S192-R192-10)&amp;" "&amp;"ngày",""),IF((NETWORKDAYS(R192,S192,'Danh sách ngày nghỉ lễ'!$B$5:$B$25)-VLOOKUP(P192,'Thời hạn'!$A$17:$B$23,2,0))&gt;1,"Quá hạn"&amp;" "&amp;(NETWORKDAYS(R192,S192,'Danh sách ngày nghỉ lễ'!$B$5:$B$25)-1-VLOOKUP(P192,'Thời hạn'!$A$17:$B$23,2,0))&amp;" "&amp;"ngày","")))))</f>
        <v/>
      </c>
      <c r="Z192" s="23">
        <v>1</v>
      </c>
    </row>
    <row r="193" spans="1:26" x14ac:dyDescent="0.3">
      <c r="A193" s="24">
        <v>1</v>
      </c>
      <c r="B193" s="39"/>
      <c r="C193" s="33"/>
      <c r="D193" s="25"/>
      <c r="E193" s="25"/>
      <c r="F193" s="34"/>
      <c r="G193" s="34"/>
      <c r="H193" s="25"/>
      <c r="I193" s="70" t="str">
        <f>IF(C193="Trả lại đơn vụ","",IF(C193="Trả lại đơn việc","",IF(C193="Hòa giải thành","",IF(F193=0,"",EDATE(F193,VLOOKUP(C193,'Thời hạn'!$D$1:$E$10,2,0))+H193))))</f>
        <v/>
      </c>
      <c r="J193" s="59" t="str">
        <f t="shared" ca="1" si="2"/>
        <v/>
      </c>
      <c r="K193" s="25"/>
      <c r="L193" s="129"/>
      <c r="M193" s="130"/>
      <c r="N193" s="35"/>
      <c r="O193" s="34"/>
      <c r="P193" s="25"/>
      <c r="Q193" s="25"/>
      <c r="R193" s="34"/>
      <c r="S193" s="34"/>
      <c r="T193" s="137"/>
      <c r="U193" s="137"/>
      <c r="V193" s="36"/>
      <c r="W193" s="37"/>
      <c r="X193" s="71" t="str">
        <f>IF(C193="Trả lại đơn vụ","",IF(C193="Trả lại đơn việc","",IF((NETWORKDAYS(F193,G193,'Danh sách ngày nghỉ lễ'!$B$5:$B$25)-1-3)&gt;0,"Quá hạn"&amp;" "&amp;(NETWORKDAYS(F193,G193,'Danh sách ngày nghỉ lễ'!$B$5:$B$25)-1-3)&amp;" "&amp;"ngày","")))</f>
        <v/>
      </c>
      <c r="Y193" s="72" t="str">
        <f>IF(S193=0,"",IF(P193="Chuyển","",IF(P193="Nhập vào vụ khác","",IF(P193="BA",IF((S193-R193)&gt;10,"Quá hạn"&amp;" "&amp;(S193-R193-10)&amp;" "&amp;"ngày",""),IF((NETWORKDAYS(R193,S193,'Danh sách ngày nghỉ lễ'!$B$5:$B$25)-VLOOKUP(P193,'Thời hạn'!$A$17:$B$23,2,0))&gt;1,"Quá hạn"&amp;" "&amp;(NETWORKDAYS(R193,S193,'Danh sách ngày nghỉ lễ'!$B$5:$B$25)-1-VLOOKUP(P193,'Thời hạn'!$A$17:$B$23,2,0))&amp;" "&amp;"ngày","")))))</f>
        <v/>
      </c>
      <c r="Z193" s="23">
        <v>1</v>
      </c>
    </row>
    <row r="194" spans="1:26" x14ac:dyDescent="0.3">
      <c r="A194" s="24">
        <v>1</v>
      </c>
      <c r="B194" s="39"/>
      <c r="C194" s="33"/>
      <c r="D194" s="25"/>
      <c r="E194" s="25"/>
      <c r="F194" s="34"/>
      <c r="G194" s="34"/>
      <c r="H194" s="25"/>
      <c r="I194" s="70" t="str">
        <f>IF(C194="Trả lại đơn vụ","",IF(C194="Trả lại đơn việc","",IF(C194="Hòa giải thành","",IF(F194=0,"",EDATE(F194,VLOOKUP(C194,'Thời hạn'!$D$1:$E$10,2,0))+H194))))</f>
        <v/>
      </c>
      <c r="J194" s="59" t="str">
        <f t="shared" ca="1" si="2"/>
        <v/>
      </c>
      <c r="K194" s="25"/>
      <c r="L194" s="129"/>
      <c r="M194" s="130"/>
      <c r="N194" s="35"/>
      <c r="O194" s="34"/>
      <c r="P194" s="25"/>
      <c r="Q194" s="25"/>
      <c r="R194" s="34"/>
      <c r="S194" s="34"/>
      <c r="T194" s="137"/>
      <c r="U194" s="137"/>
      <c r="V194" s="36"/>
      <c r="W194" s="37"/>
      <c r="X194" s="71" t="str">
        <f>IF(C194="Trả lại đơn vụ","",IF(C194="Trả lại đơn việc","",IF((NETWORKDAYS(F194,G194,'Danh sách ngày nghỉ lễ'!$B$5:$B$25)-1-3)&gt;0,"Quá hạn"&amp;" "&amp;(NETWORKDAYS(F194,G194,'Danh sách ngày nghỉ lễ'!$B$5:$B$25)-1-3)&amp;" "&amp;"ngày","")))</f>
        <v/>
      </c>
      <c r="Y194" s="72" t="str">
        <f>IF(S194=0,"",IF(P194="Chuyển","",IF(P194="Nhập vào vụ khác","",IF(P194="BA",IF((S194-R194)&gt;10,"Quá hạn"&amp;" "&amp;(S194-R194-10)&amp;" "&amp;"ngày",""),IF((NETWORKDAYS(R194,S194,'Danh sách ngày nghỉ lễ'!$B$5:$B$25)-VLOOKUP(P194,'Thời hạn'!$A$17:$B$23,2,0))&gt;1,"Quá hạn"&amp;" "&amp;(NETWORKDAYS(R194,S194,'Danh sách ngày nghỉ lễ'!$B$5:$B$25)-1-VLOOKUP(P194,'Thời hạn'!$A$17:$B$23,2,0))&amp;" "&amp;"ngày","")))))</f>
        <v/>
      </c>
      <c r="Z194" s="23">
        <v>1</v>
      </c>
    </row>
    <row r="195" spans="1:26" x14ac:dyDescent="0.3">
      <c r="A195" s="24">
        <v>1</v>
      </c>
      <c r="B195" s="39"/>
      <c r="C195" s="33"/>
      <c r="D195" s="25"/>
      <c r="E195" s="25"/>
      <c r="F195" s="34"/>
      <c r="G195" s="34"/>
      <c r="H195" s="25"/>
      <c r="I195" s="70" t="str">
        <f>IF(C195="Trả lại đơn vụ","",IF(C195="Trả lại đơn việc","",IF(C195="Hòa giải thành","",IF(F195=0,"",EDATE(F195,VLOOKUP(C195,'Thời hạn'!$D$1:$E$10,2,0))+H195))))</f>
        <v/>
      </c>
      <c r="J195" s="59" t="str">
        <f t="shared" ca="1" si="2"/>
        <v/>
      </c>
      <c r="K195" s="25"/>
      <c r="L195" s="129"/>
      <c r="M195" s="130"/>
      <c r="N195" s="35"/>
      <c r="O195" s="34"/>
      <c r="P195" s="25"/>
      <c r="Q195" s="25"/>
      <c r="R195" s="34"/>
      <c r="S195" s="34"/>
      <c r="T195" s="137"/>
      <c r="U195" s="137"/>
      <c r="V195" s="36"/>
      <c r="W195" s="37"/>
      <c r="X195" s="71" t="str">
        <f>IF(C195="Trả lại đơn vụ","",IF(C195="Trả lại đơn việc","",IF((NETWORKDAYS(F195,G195,'Danh sách ngày nghỉ lễ'!$B$5:$B$25)-1-3)&gt;0,"Quá hạn"&amp;" "&amp;(NETWORKDAYS(F195,G195,'Danh sách ngày nghỉ lễ'!$B$5:$B$25)-1-3)&amp;" "&amp;"ngày","")))</f>
        <v/>
      </c>
      <c r="Y195" s="72" t="str">
        <f>IF(S195=0,"",IF(P195="Chuyển","",IF(P195="Nhập vào vụ khác","",IF(P195="BA",IF((S195-R195)&gt;10,"Quá hạn"&amp;" "&amp;(S195-R195-10)&amp;" "&amp;"ngày",""),IF((NETWORKDAYS(R195,S195,'Danh sách ngày nghỉ lễ'!$B$5:$B$25)-VLOOKUP(P195,'Thời hạn'!$A$17:$B$23,2,0))&gt;1,"Quá hạn"&amp;" "&amp;(NETWORKDAYS(R195,S195,'Danh sách ngày nghỉ lễ'!$B$5:$B$25)-1-VLOOKUP(P195,'Thời hạn'!$A$17:$B$23,2,0))&amp;" "&amp;"ngày","")))))</f>
        <v/>
      </c>
      <c r="Z195" s="23">
        <v>1</v>
      </c>
    </row>
    <row r="196" spans="1:26" x14ac:dyDescent="0.3">
      <c r="A196" s="24">
        <v>1</v>
      </c>
      <c r="B196" s="39"/>
      <c r="C196" s="33"/>
      <c r="D196" s="25"/>
      <c r="E196" s="25"/>
      <c r="F196" s="34"/>
      <c r="G196" s="34"/>
      <c r="H196" s="25"/>
      <c r="I196" s="70" t="str">
        <f>IF(C196="Trả lại đơn vụ","",IF(C196="Trả lại đơn việc","",IF(C196="Hòa giải thành","",IF(F196=0,"",EDATE(F196,VLOOKUP(C196,'Thời hạn'!$D$1:$E$10,2,0))+H196))))</f>
        <v/>
      </c>
      <c r="J196" s="59" t="str">
        <f t="shared" ca="1" si="2"/>
        <v/>
      </c>
      <c r="K196" s="25"/>
      <c r="L196" s="129"/>
      <c r="M196" s="130"/>
      <c r="N196" s="35"/>
      <c r="O196" s="34"/>
      <c r="P196" s="25"/>
      <c r="Q196" s="25"/>
      <c r="R196" s="34"/>
      <c r="S196" s="34"/>
      <c r="T196" s="137"/>
      <c r="U196" s="137"/>
      <c r="V196" s="36"/>
      <c r="W196" s="37"/>
      <c r="X196" s="71" t="str">
        <f>IF(C196="Trả lại đơn vụ","",IF(C196="Trả lại đơn việc","",IF((NETWORKDAYS(F196,G196,'Danh sách ngày nghỉ lễ'!$B$5:$B$25)-1-3)&gt;0,"Quá hạn"&amp;" "&amp;(NETWORKDAYS(F196,G196,'Danh sách ngày nghỉ lễ'!$B$5:$B$25)-1-3)&amp;" "&amp;"ngày","")))</f>
        <v/>
      </c>
      <c r="Y196" s="72" t="str">
        <f>IF(S196=0,"",IF(P196="Chuyển","",IF(P196="Nhập vào vụ khác","",IF(P196="BA",IF((S196-R196)&gt;10,"Quá hạn"&amp;" "&amp;(S196-R196-10)&amp;" "&amp;"ngày",""),IF((NETWORKDAYS(R196,S196,'Danh sách ngày nghỉ lễ'!$B$5:$B$25)-VLOOKUP(P196,'Thời hạn'!$A$17:$B$23,2,0))&gt;1,"Quá hạn"&amp;" "&amp;(NETWORKDAYS(R196,S196,'Danh sách ngày nghỉ lễ'!$B$5:$B$25)-1-VLOOKUP(P196,'Thời hạn'!$A$17:$B$23,2,0))&amp;" "&amp;"ngày","")))))</f>
        <v/>
      </c>
      <c r="Z196" s="23">
        <v>1</v>
      </c>
    </row>
    <row r="197" spans="1:26" x14ac:dyDescent="0.3">
      <c r="A197" s="24">
        <v>1</v>
      </c>
      <c r="B197" s="39"/>
      <c r="C197" s="33"/>
      <c r="D197" s="25"/>
      <c r="E197" s="25"/>
      <c r="F197" s="34"/>
      <c r="G197" s="34"/>
      <c r="H197" s="25"/>
      <c r="I197" s="70" t="str">
        <f>IF(C197="Trả lại đơn vụ","",IF(C197="Trả lại đơn việc","",IF(C197="Hòa giải thành","",IF(F197=0,"",EDATE(F197,VLOOKUP(C197,'Thời hạn'!$D$1:$E$10,2,0))+H197))))</f>
        <v/>
      </c>
      <c r="J197" s="59" t="str">
        <f t="shared" ca="1" si="2"/>
        <v/>
      </c>
      <c r="K197" s="25"/>
      <c r="L197" s="129"/>
      <c r="M197" s="130"/>
      <c r="N197" s="35"/>
      <c r="O197" s="34"/>
      <c r="P197" s="25"/>
      <c r="Q197" s="25"/>
      <c r="R197" s="34"/>
      <c r="S197" s="34"/>
      <c r="T197" s="137"/>
      <c r="U197" s="137"/>
      <c r="V197" s="36"/>
      <c r="W197" s="37"/>
      <c r="X197" s="71" t="str">
        <f>IF(C197="Trả lại đơn vụ","",IF(C197="Trả lại đơn việc","",IF((NETWORKDAYS(F197,G197,'Danh sách ngày nghỉ lễ'!$B$5:$B$25)-1-3)&gt;0,"Quá hạn"&amp;" "&amp;(NETWORKDAYS(F197,G197,'Danh sách ngày nghỉ lễ'!$B$5:$B$25)-1-3)&amp;" "&amp;"ngày","")))</f>
        <v/>
      </c>
      <c r="Y197" s="72" t="str">
        <f>IF(S197=0,"",IF(P197="Chuyển","",IF(P197="Nhập vào vụ khác","",IF(P197="BA",IF((S197-R197)&gt;10,"Quá hạn"&amp;" "&amp;(S197-R197-10)&amp;" "&amp;"ngày",""),IF((NETWORKDAYS(R197,S197,'Danh sách ngày nghỉ lễ'!$B$5:$B$25)-VLOOKUP(P197,'Thời hạn'!$A$17:$B$23,2,0))&gt;1,"Quá hạn"&amp;" "&amp;(NETWORKDAYS(R197,S197,'Danh sách ngày nghỉ lễ'!$B$5:$B$25)-1-VLOOKUP(P197,'Thời hạn'!$A$17:$B$23,2,0))&amp;" "&amp;"ngày","")))))</f>
        <v/>
      </c>
      <c r="Z197" s="23">
        <v>1</v>
      </c>
    </row>
    <row r="198" spans="1:26" x14ac:dyDescent="0.3">
      <c r="A198" s="24">
        <v>1</v>
      </c>
      <c r="B198" s="39"/>
      <c r="C198" s="33"/>
      <c r="D198" s="25"/>
      <c r="E198" s="25"/>
      <c r="F198" s="34"/>
      <c r="G198" s="34"/>
      <c r="H198" s="25"/>
      <c r="I198" s="70" t="str">
        <f>IF(C198="Trả lại đơn vụ","",IF(C198="Trả lại đơn việc","",IF(C198="Hòa giải thành","",IF(F198=0,"",EDATE(F198,VLOOKUP(C198,'Thời hạn'!$D$1:$E$10,2,0))+H198))))</f>
        <v/>
      </c>
      <c r="J198" s="59" t="str">
        <f t="shared" ca="1" si="2"/>
        <v/>
      </c>
      <c r="K198" s="25"/>
      <c r="L198" s="129"/>
      <c r="M198" s="130"/>
      <c r="N198" s="35"/>
      <c r="O198" s="34"/>
      <c r="P198" s="25"/>
      <c r="Q198" s="25"/>
      <c r="R198" s="34"/>
      <c r="S198" s="34"/>
      <c r="T198" s="137"/>
      <c r="U198" s="137"/>
      <c r="V198" s="36"/>
      <c r="W198" s="37"/>
      <c r="X198" s="71" t="str">
        <f>IF(C198="Trả lại đơn vụ","",IF(C198="Trả lại đơn việc","",IF((NETWORKDAYS(F198,G198,'Danh sách ngày nghỉ lễ'!$B$5:$B$25)-1-3)&gt;0,"Quá hạn"&amp;" "&amp;(NETWORKDAYS(F198,G198,'Danh sách ngày nghỉ lễ'!$B$5:$B$25)-1-3)&amp;" "&amp;"ngày","")))</f>
        <v/>
      </c>
      <c r="Y198" s="72" t="str">
        <f>IF(S198=0,"",IF(P198="Chuyển","",IF(P198="Nhập vào vụ khác","",IF(P198="BA",IF((S198-R198)&gt;10,"Quá hạn"&amp;" "&amp;(S198-R198-10)&amp;" "&amp;"ngày",""),IF((NETWORKDAYS(R198,S198,'Danh sách ngày nghỉ lễ'!$B$5:$B$25)-VLOOKUP(P198,'Thời hạn'!$A$17:$B$23,2,0))&gt;1,"Quá hạn"&amp;" "&amp;(NETWORKDAYS(R198,S198,'Danh sách ngày nghỉ lễ'!$B$5:$B$25)-1-VLOOKUP(P198,'Thời hạn'!$A$17:$B$23,2,0))&amp;" "&amp;"ngày","")))))</f>
        <v/>
      </c>
      <c r="Z198" s="23">
        <v>1</v>
      </c>
    </row>
    <row r="199" spans="1:26" x14ac:dyDescent="0.3">
      <c r="A199" s="24">
        <v>1</v>
      </c>
      <c r="B199" s="39"/>
      <c r="C199" s="33"/>
      <c r="D199" s="25"/>
      <c r="E199" s="25"/>
      <c r="F199" s="34"/>
      <c r="G199" s="34"/>
      <c r="H199" s="25"/>
      <c r="I199" s="70" t="str">
        <f>IF(C199="Trả lại đơn vụ","",IF(C199="Trả lại đơn việc","",IF(C199="Hòa giải thành","",IF(F199=0,"",EDATE(F199,VLOOKUP(C199,'Thời hạn'!$D$1:$E$10,2,0))+H199))))</f>
        <v/>
      </c>
      <c r="J199" s="59" t="str">
        <f t="shared" ca="1" si="2"/>
        <v/>
      </c>
      <c r="K199" s="25"/>
      <c r="L199" s="129"/>
      <c r="M199" s="130"/>
      <c r="N199" s="35"/>
      <c r="O199" s="34"/>
      <c r="P199" s="25"/>
      <c r="Q199" s="25"/>
      <c r="R199" s="34"/>
      <c r="S199" s="34"/>
      <c r="T199" s="137"/>
      <c r="U199" s="137"/>
      <c r="V199" s="36"/>
      <c r="W199" s="37"/>
      <c r="X199" s="71" t="str">
        <f>IF(C199="Trả lại đơn vụ","",IF(C199="Trả lại đơn việc","",IF((NETWORKDAYS(F199,G199,'Danh sách ngày nghỉ lễ'!$B$5:$B$25)-1-3)&gt;0,"Quá hạn"&amp;" "&amp;(NETWORKDAYS(F199,G199,'Danh sách ngày nghỉ lễ'!$B$5:$B$25)-1-3)&amp;" "&amp;"ngày","")))</f>
        <v/>
      </c>
      <c r="Y199" s="72" t="str">
        <f>IF(S199=0,"",IF(P199="Chuyển","",IF(P199="Nhập vào vụ khác","",IF(P199="BA",IF((S199-R199)&gt;10,"Quá hạn"&amp;" "&amp;(S199-R199-10)&amp;" "&amp;"ngày",""),IF((NETWORKDAYS(R199,S199,'Danh sách ngày nghỉ lễ'!$B$5:$B$25)-VLOOKUP(P199,'Thời hạn'!$A$17:$B$23,2,0))&gt;1,"Quá hạn"&amp;" "&amp;(NETWORKDAYS(R199,S199,'Danh sách ngày nghỉ lễ'!$B$5:$B$25)-1-VLOOKUP(P199,'Thời hạn'!$A$17:$B$23,2,0))&amp;" "&amp;"ngày","")))))</f>
        <v/>
      </c>
      <c r="Z199" s="23">
        <v>1</v>
      </c>
    </row>
    <row r="200" spans="1:26" x14ac:dyDescent="0.3">
      <c r="A200" s="24">
        <v>1</v>
      </c>
      <c r="B200" s="39"/>
      <c r="C200" s="33"/>
      <c r="D200" s="25"/>
      <c r="E200" s="25"/>
      <c r="F200" s="34"/>
      <c r="G200" s="34"/>
      <c r="H200" s="25"/>
      <c r="I200" s="70" t="str">
        <f>IF(C200="Trả lại đơn vụ","",IF(C200="Trả lại đơn việc","",IF(C200="Hòa giải thành","",IF(F200=0,"",EDATE(F200,VLOOKUP(C200,'Thời hạn'!$D$1:$E$10,2,0))+H200))))</f>
        <v/>
      </c>
      <c r="J200" s="59" t="str">
        <f t="shared" ca="1" si="2"/>
        <v/>
      </c>
      <c r="K200" s="25"/>
      <c r="L200" s="129"/>
      <c r="M200" s="130"/>
      <c r="N200" s="35"/>
      <c r="O200" s="34"/>
      <c r="P200" s="25"/>
      <c r="Q200" s="25"/>
      <c r="R200" s="34"/>
      <c r="S200" s="34"/>
      <c r="T200" s="137"/>
      <c r="U200" s="137"/>
      <c r="V200" s="36"/>
      <c r="W200" s="37"/>
      <c r="X200" s="71" t="str">
        <f>IF(C200="Trả lại đơn vụ","",IF(C200="Trả lại đơn việc","",IF((NETWORKDAYS(F200,G200,'Danh sách ngày nghỉ lễ'!$B$5:$B$25)-1-3)&gt;0,"Quá hạn"&amp;" "&amp;(NETWORKDAYS(F200,G200,'Danh sách ngày nghỉ lễ'!$B$5:$B$25)-1-3)&amp;" "&amp;"ngày","")))</f>
        <v/>
      </c>
      <c r="Y200" s="72" t="str">
        <f>IF(S200=0,"",IF(P200="Chuyển","",IF(P200="Nhập vào vụ khác","",IF(P200="BA",IF((S200-R200)&gt;10,"Quá hạn"&amp;" "&amp;(S200-R200-10)&amp;" "&amp;"ngày",""),IF((NETWORKDAYS(R200,S200,'Danh sách ngày nghỉ lễ'!$B$5:$B$25)-VLOOKUP(P200,'Thời hạn'!$A$17:$B$23,2,0))&gt;1,"Quá hạn"&amp;" "&amp;(NETWORKDAYS(R200,S200,'Danh sách ngày nghỉ lễ'!$B$5:$B$25)-1-VLOOKUP(P200,'Thời hạn'!$A$17:$B$23,2,0))&amp;" "&amp;"ngày","")))))</f>
        <v/>
      </c>
      <c r="Z200" s="23">
        <v>1</v>
      </c>
    </row>
    <row r="201" spans="1:26" x14ac:dyDescent="0.3">
      <c r="A201" s="24">
        <v>1</v>
      </c>
      <c r="B201" s="39"/>
      <c r="C201" s="33"/>
      <c r="D201" s="25"/>
      <c r="E201" s="25"/>
      <c r="F201" s="34"/>
      <c r="G201" s="34"/>
      <c r="H201" s="25"/>
      <c r="I201" s="70" t="str">
        <f>IF(C201="Trả lại đơn vụ","",IF(C201="Trả lại đơn việc","",IF(C201="Hòa giải thành","",IF(F201=0,"",EDATE(F201,VLOOKUP(C201,'Thời hạn'!$D$1:$E$10,2,0))+H201))))</f>
        <v/>
      </c>
      <c r="J201" s="59" t="str">
        <f t="shared" ca="1" si="2"/>
        <v/>
      </c>
      <c r="K201" s="25"/>
      <c r="L201" s="129"/>
      <c r="M201" s="130"/>
      <c r="N201" s="35"/>
      <c r="O201" s="34"/>
      <c r="P201" s="25"/>
      <c r="Q201" s="25"/>
      <c r="R201" s="34"/>
      <c r="S201" s="34"/>
      <c r="T201" s="137"/>
      <c r="U201" s="137"/>
      <c r="V201" s="36"/>
      <c r="W201" s="37"/>
      <c r="X201" s="71" t="str">
        <f>IF(C201="Trả lại đơn vụ","",IF(C201="Trả lại đơn việc","",IF((NETWORKDAYS(F201,G201,'Danh sách ngày nghỉ lễ'!$B$5:$B$25)-1-3)&gt;0,"Quá hạn"&amp;" "&amp;(NETWORKDAYS(F201,G201,'Danh sách ngày nghỉ lễ'!$B$5:$B$25)-1-3)&amp;" "&amp;"ngày","")))</f>
        <v/>
      </c>
      <c r="Y201" s="72" t="str">
        <f>IF(S201=0,"",IF(P201="Chuyển","",IF(P201="Nhập vào vụ khác","",IF(P201="BA",IF((S201-R201)&gt;10,"Quá hạn"&amp;" "&amp;(S201-R201-10)&amp;" "&amp;"ngày",""),IF((NETWORKDAYS(R201,S201,'Danh sách ngày nghỉ lễ'!$B$5:$B$25)-VLOOKUP(P201,'Thời hạn'!$A$17:$B$23,2,0))&gt;1,"Quá hạn"&amp;" "&amp;(NETWORKDAYS(R201,S201,'Danh sách ngày nghỉ lễ'!$B$5:$B$25)-1-VLOOKUP(P201,'Thời hạn'!$A$17:$B$23,2,0))&amp;" "&amp;"ngày","")))))</f>
        <v/>
      </c>
      <c r="Z201" s="23">
        <v>1</v>
      </c>
    </row>
    <row r="202" spans="1:26" x14ac:dyDescent="0.3">
      <c r="A202" s="24">
        <v>1</v>
      </c>
      <c r="B202" s="39"/>
      <c r="C202" s="33"/>
      <c r="D202" s="25"/>
      <c r="E202" s="25"/>
      <c r="F202" s="34"/>
      <c r="G202" s="34"/>
      <c r="H202" s="25"/>
      <c r="I202" s="70" t="str">
        <f>IF(C202="Trả lại đơn vụ","",IF(C202="Trả lại đơn việc","",IF(C202="Hòa giải thành","",IF(F202=0,"",EDATE(F202,VLOOKUP(C202,'Thời hạn'!$D$1:$E$10,2,0))+H202))))</f>
        <v/>
      </c>
      <c r="J202" s="59" t="str">
        <f t="shared" ca="1" si="2"/>
        <v/>
      </c>
      <c r="K202" s="25"/>
      <c r="L202" s="129"/>
      <c r="M202" s="130"/>
      <c r="N202" s="35"/>
      <c r="O202" s="34"/>
      <c r="P202" s="25"/>
      <c r="Q202" s="25"/>
      <c r="R202" s="34"/>
      <c r="S202" s="34"/>
      <c r="T202" s="137"/>
      <c r="U202" s="137"/>
      <c r="V202" s="36"/>
      <c r="W202" s="37"/>
      <c r="X202" s="71" t="str">
        <f>IF(C202="Trả lại đơn vụ","",IF(C202="Trả lại đơn việc","",IF((NETWORKDAYS(F202,G202,'Danh sách ngày nghỉ lễ'!$B$5:$B$25)-1-3)&gt;0,"Quá hạn"&amp;" "&amp;(NETWORKDAYS(F202,G202,'Danh sách ngày nghỉ lễ'!$B$5:$B$25)-1-3)&amp;" "&amp;"ngày","")))</f>
        <v/>
      </c>
      <c r="Y202" s="72" t="str">
        <f>IF(S202=0,"",IF(P202="Chuyển","",IF(P202="Nhập vào vụ khác","",IF(P202="BA",IF((S202-R202)&gt;10,"Quá hạn"&amp;" "&amp;(S202-R202-10)&amp;" "&amp;"ngày",""),IF((NETWORKDAYS(R202,S202,'Danh sách ngày nghỉ lễ'!$B$5:$B$25)-VLOOKUP(P202,'Thời hạn'!$A$17:$B$23,2,0))&gt;1,"Quá hạn"&amp;" "&amp;(NETWORKDAYS(R202,S202,'Danh sách ngày nghỉ lễ'!$B$5:$B$25)-1-VLOOKUP(P202,'Thời hạn'!$A$17:$B$23,2,0))&amp;" "&amp;"ngày","")))))</f>
        <v/>
      </c>
      <c r="Z202" s="23">
        <v>1</v>
      </c>
    </row>
    <row r="203" spans="1:26" x14ac:dyDescent="0.3">
      <c r="A203" s="24">
        <v>1</v>
      </c>
      <c r="B203" s="39"/>
      <c r="C203" s="33"/>
      <c r="D203" s="25"/>
      <c r="E203" s="25"/>
      <c r="F203" s="34"/>
      <c r="G203" s="34"/>
      <c r="H203" s="25"/>
      <c r="I203" s="70" t="str">
        <f>IF(C203="Trả lại đơn vụ","",IF(C203="Trả lại đơn việc","",IF(C203="Hòa giải thành","",IF(F203=0,"",EDATE(F203,VLOOKUP(C203,'Thời hạn'!$D$1:$E$10,2,0))+H203))))</f>
        <v/>
      </c>
      <c r="J203" s="59" t="str">
        <f t="shared" ref="J203:J212" ca="1" si="3">IF(C203="Trả lại đơn vụ","",IF(C203="Trả lại đơn việc","",IF(C203="Hòa giải thành","",IF(N203=0,IF(P203=0,IF(F203=0,"",I203-TODAY()+1),""),""))))</f>
        <v/>
      </c>
      <c r="K203" s="25"/>
      <c r="L203" s="129"/>
      <c r="M203" s="130"/>
      <c r="N203" s="35"/>
      <c r="O203" s="34"/>
      <c r="P203" s="25"/>
      <c r="Q203" s="25"/>
      <c r="R203" s="34"/>
      <c r="S203" s="34"/>
      <c r="T203" s="137"/>
      <c r="U203" s="137"/>
      <c r="V203" s="36"/>
      <c r="W203" s="37"/>
      <c r="X203" s="71" t="str">
        <f>IF(C203="Trả lại đơn vụ","",IF(C203="Trả lại đơn việc","",IF((NETWORKDAYS(F203,G203,'Danh sách ngày nghỉ lễ'!$B$5:$B$25)-1-3)&gt;0,"Quá hạn"&amp;" "&amp;(NETWORKDAYS(F203,G203,'Danh sách ngày nghỉ lễ'!$B$5:$B$25)-1-3)&amp;" "&amp;"ngày","")))</f>
        <v/>
      </c>
      <c r="Y203" s="72" t="str">
        <f>IF(S203=0,"",IF(P203="Chuyển","",IF(P203="Nhập vào vụ khác","",IF(P203="BA",IF((S203-R203)&gt;10,"Quá hạn"&amp;" "&amp;(S203-R203-10)&amp;" "&amp;"ngày",""),IF((NETWORKDAYS(R203,S203,'Danh sách ngày nghỉ lễ'!$B$5:$B$25)-VLOOKUP(P203,'Thời hạn'!$A$17:$B$23,2,0))&gt;1,"Quá hạn"&amp;" "&amp;(NETWORKDAYS(R203,S203,'Danh sách ngày nghỉ lễ'!$B$5:$B$25)-1-VLOOKUP(P203,'Thời hạn'!$A$17:$B$23,2,0))&amp;" "&amp;"ngày","")))))</f>
        <v/>
      </c>
      <c r="Z203" s="23">
        <v>1</v>
      </c>
    </row>
    <row r="204" spans="1:26" x14ac:dyDescent="0.3">
      <c r="A204" s="24">
        <v>1</v>
      </c>
      <c r="B204" s="39"/>
      <c r="C204" s="33"/>
      <c r="D204" s="25"/>
      <c r="E204" s="25"/>
      <c r="F204" s="34"/>
      <c r="G204" s="34"/>
      <c r="H204" s="25"/>
      <c r="I204" s="70" t="str">
        <f>IF(C204="Trả lại đơn vụ","",IF(C204="Trả lại đơn việc","",IF(C204="Hòa giải thành","",IF(F204=0,"",EDATE(F204,VLOOKUP(C204,'Thời hạn'!$D$1:$E$10,2,0))+H204))))</f>
        <v/>
      </c>
      <c r="J204" s="59" t="str">
        <f t="shared" ca="1" si="3"/>
        <v/>
      </c>
      <c r="K204" s="25"/>
      <c r="L204" s="129"/>
      <c r="M204" s="130"/>
      <c r="N204" s="35"/>
      <c r="O204" s="34"/>
      <c r="P204" s="25"/>
      <c r="Q204" s="25"/>
      <c r="R204" s="34"/>
      <c r="S204" s="34"/>
      <c r="T204" s="137"/>
      <c r="U204" s="137"/>
      <c r="V204" s="36"/>
      <c r="W204" s="37"/>
      <c r="X204" s="71" t="str">
        <f>IF(C204="Trả lại đơn vụ","",IF(C204="Trả lại đơn việc","",IF((NETWORKDAYS(F204,G204,'Danh sách ngày nghỉ lễ'!$B$5:$B$25)-1-3)&gt;0,"Quá hạn"&amp;" "&amp;(NETWORKDAYS(F204,G204,'Danh sách ngày nghỉ lễ'!$B$5:$B$25)-1-3)&amp;" "&amp;"ngày","")))</f>
        <v/>
      </c>
      <c r="Y204" s="72" t="str">
        <f>IF(S204=0,"",IF(P204="Chuyển","",IF(P204="Nhập vào vụ khác","",IF(P204="BA",IF((S204-R204)&gt;10,"Quá hạn"&amp;" "&amp;(S204-R204-10)&amp;" "&amp;"ngày",""),IF((NETWORKDAYS(R204,S204,'Danh sách ngày nghỉ lễ'!$B$5:$B$25)-VLOOKUP(P204,'Thời hạn'!$A$17:$B$23,2,0))&gt;1,"Quá hạn"&amp;" "&amp;(NETWORKDAYS(R204,S204,'Danh sách ngày nghỉ lễ'!$B$5:$B$25)-1-VLOOKUP(P204,'Thời hạn'!$A$17:$B$23,2,0))&amp;" "&amp;"ngày","")))))</f>
        <v/>
      </c>
      <c r="Z204" s="23">
        <v>1</v>
      </c>
    </row>
    <row r="205" spans="1:26" x14ac:dyDescent="0.3">
      <c r="A205" s="24">
        <v>1</v>
      </c>
      <c r="B205" s="39"/>
      <c r="C205" s="33"/>
      <c r="D205" s="25"/>
      <c r="E205" s="25"/>
      <c r="F205" s="34"/>
      <c r="G205" s="34"/>
      <c r="H205" s="25"/>
      <c r="I205" s="70" t="str">
        <f>IF(C205="Trả lại đơn vụ","",IF(C205="Trả lại đơn việc","",IF(C205="Hòa giải thành","",IF(F205=0,"",EDATE(F205,VLOOKUP(C205,'Thời hạn'!$D$1:$E$10,2,0))+H205))))</f>
        <v/>
      </c>
      <c r="J205" s="59" t="str">
        <f t="shared" ca="1" si="3"/>
        <v/>
      </c>
      <c r="K205" s="25"/>
      <c r="L205" s="129"/>
      <c r="M205" s="130"/>
      <c r="N205" s="35"/>
      <c r="O205" s="34"/>
      <c r="P205" s="25"/>
      <c r="Q205" s="25"/>
      <c r="R205" s="34"/>
      <c r="S205" s="34"/>
      <c r="T205" s="137"/>
      <c r="U205" s="137"/>
      <c r="V205" s="36"/>
      <c r="W205" s="37"/>
      <c r="X205" s="71" t="str">
        <f>IF(C205="Trả lại đơn vụ","",IF(C205="Trả lại đơn việc","",IF((NETWORKDAYS(F205,G205,'Danh sách ngày nghỉ lễ'!$B$5:$B$25)-1-3)&gt;0,"Quá hạn"&amp;" "&amp;(NETWORKDAYS(F205,G205,'Danh sách ngày nghỉ lễ'!$B$5:$B$25)-1-3)&amp;" "&amp;"ngày","")))</f>
        <v/>
      </c>
      <c r="Y205" s="72" t="str">
        <f>IF(S205=0,"",IF(P205="Chuyển","",IF(P205="Nhập vào vụ khác","",IF(P205="BA",IF((S205-R205)&gt;10,"Quá hạn"&amp;" "&amp;(S205-R205-10)&amp;" "&amp;"ngày",""),IF((NETWORKDAYS(R205,S205,'Danh sách ngày nghỉ lễ'!$B$5:$B$25)-VLOOKUP(P205,'Thời hạn'!$A$17:$B$23,2,0))&gt;1,"Quá hạn"&amp;" "&amp;(NETWORKDAYS(R205,S205,'Danh sách ngày nghỉ lễ'!$B$5:$B$25)-1-VLOOKUP(P205,'Thời hạn'!$A$17:$B$23,2,0))&amp;" "&amp;"ngày","")))))</f>
        <v/>
      </c>
      <c r="Z205" s="23">
        <v>1</v>
      </c>
    </row>
    <row r="206" spans="1:26" x14ac:dyDescent="0.3">
      <c r="A206" s="24">
        <v>1</v>
      </c>
      <c r="B206" s="39"/>
      <c r="C206" s="33"/>
      <c r="D206" s="25"/>
      <c r="E206" s="25"/>
      <c r="F206" s="34"/>
      <c r="G206" s="34"/>
      <c r="H206" s="25"/>
      <c r="I206" s="70" t="str">
        <f>IF(C206="Trả lại đơn vụ","",IF(C206="Trả lại đơn việc","",IF(C206="Hòa giải thành","",IF(F206=0,"",EDATE(F206,VLOOKUP(C206,'Thời hạn'!$D$1:$E$10,2,0))+H206))))</f>
        <v/>
      </c>
      <c r="J206" s="59" t="str">
        <f t="shared" ca="1" si="3"/>
        <v/>
      </c>
      <c r="K206" s="25"/>
      <c r="L206" s="129"/>
      <c r="M206" s="130"/>
      <c r="N206" s="35"/>
      <c r="O206" s="34"/>
      <c r="P206" s="25"/>
      <c r="Q206" s="25"/>
      <c r="R206" s="34"/>
      <c r="S206" s="34"/>
      <c r="T206" s="137"/>
      <c r="U206" s="137"/>
      <c r="V206" s="36"/>
      <c r="W206" s="37"/>
      <c r="X206" s="71" t="str">
        <f>IF(C206="Trả lại đơn vụ","",IF(C206="Trả lại đơn việc","",IF((NETWORKDAYS(F206,G206,'Danh sách ngày nghỉ lễ'!$B$5:$B$25)-1-3)&gt;0,"Quá hạn"&amp;" "&amp;(NETWORKDAYS(F206,G206,'Danh sách ngày nghỉ lễ'!$B$5:$B$25)-1-3)&amp;" "&amp;"ngày","")))</f>
        <v/>
      </c>
      <c r="Y206" s="72" t="str">
        <f>IF(S206=0,"",IF(P206="Chuyển","",IF(P206="Nhập vào vụ khác","",IF(P206="BA",IF((S206-R206)&gt;10,"Quá hạn"&amp;" "&amp;(S206-R206-10)&amp;" "&amp;"ngày",""),IF((NETWORKDAYS(R206,S206,'Danh sách ngày nghỉ lễ'!$B$5:$B$25)-VLOOKUP(P206,'Thời hạn'!$A$17:$B$23,2,0))&gt;1,"Quá hạn"&amp;" "&amp;(NETWORKDAYS(R206,S206,'Danh sách ngày nghỉ lễ'!$B$5:$B$25)-1-VLOOKUP(P206,'Thời hạn'!$A$17:$B$23,2,0))&amp;" "&amp;"ngày","")))))</f>
        <v/>
      </c>
      <c r="Z206" s="23">
        <v>1</v>
      </c>
    </row>
    <row r="207" spans="1:26" x14ac:dyDescent="0.3">
      <c r="A207" s="24">
        <v>1</v>
      </c>
      <c r="B207" s="39"/>
      <c r="C207" s="33"/>
      <c r="D207" s="25"/>
      <c r="E207" s="25"/>
      <c r="F207" s="34"/>
      <c r="G207" s="34"/>
      <c r="H207" s="25"/>
      <c r="I207" s="70" t="str">
        <f>IF(C207="Trả lại đơn vụ","",IF(C207="Trả lại đơn việc","",IF(C207="Hòa giải thành","",IF(F207=0,"",EDATE(F207,VLOOKUP(C207,'Thời hạn'!$D$1:$E$10,2,0))+H207))))</f>
        <v/>
      </c>
      <c r="J207" s="59" t="str">
        <f t="shared" ca="1" si="3"/>
        <v/>
      </c>
      <c r="K207" s="25"/>
      <c r="L207" s="129"/>
      <c r="M207" s="130"/>
      <c r="N207" s="35"/>
      <c r="O207" s="34"/>
      <c r="P207" s="25"/>
      <c r="Q207" s="25"/>
      <c r="R207" s="34"/>
      <c r="S207" s="34"/>
      <c r="T207" s="137"/>
      <c r="U207" s="137"/>
      <c r="V207" s="36"/>
      <c r="W207" s="37"/>
      <c r="X207" s="71" t="str">
        <f>IF(C207="Trả lại đơn vụ","",IF(C207="Trả lại đơn việc","",IF((NETWORKDAYS(F207,G207,'Danh sách ngày nghỉ lễ'!$B$5:$B$25)-1-3)&gt;0,"Quá hạn"&amp;" "&amp;(NETWORKDAYS(F207,G207,'Danh sách ngày nghỉ lễ'!$B$5:$B$25)-1-3)&amp;" "&amp;"ngày","")))</f>
        <v/>
      </c>
      <c r="Y207" s="72" t="str">
        <f>IF(S207=0,"",IF(P207="Chuyển","",IF(P207="Nhập vào vụ khác","",IF(P207="BA",IF((S207-R207)&gt;10,"Quá hạn"&amp;" "&amp;(S207-R207-10)&amp;" "&amp;"ngày",""),IF((NETWORKDAYS(R207,S207,'Danh sách ngày nghỉ lễ'!$B$5:$B$25)-VLOOKUP(P207,'Thời hạn'!$A$17:$B$23,2,0))&gt;1,"Quá hạn"&amp;" "&amp;(NETWORKDAYS(R207,S207,'Danh sách ngày nghỉ lễ'!$B$5:$B$25)-1-VLOOKUP(P207,'Thời hạn'!$A$17:$B$23,2,0))&amp;" "&amp;"ngày","")))))</f>
        <v/>
      </c>
      <c r="Z207" s="23">
        <v>1</v>
      </c>
    </row>
    <row r="208" spans="1:26" x14ac:dyDescent="0.3">
      <c r="A208" s="24">
        <v>1</v>
      </c>
      <c r="B208" s="39"/>
      <c r="C208" s="33"/>
      <c r="D208" s="25"/>
      <c r="E208" s="25"/>
      <c r="F208" s="34"/>
      <c r="G208" s="34"/>
      <c r="H208" s="25"/>
      <c r="I208" s="70" t="str">
        <f>IF(C208="Trả lại đơn vụ","",IF(C208="Trả lại đơn việc","",IF(C208="Hòa giải thành","",IF(F208=0,"",EDATE(F208,VLOOKUP(C208,'Thời hạn'!$D$1:$E$10,2,0))+H208))))</f>
        <v/>
      </c>
      <c r="J208" s="59" t="str">
        <f t="shared" ca="1" si="3"/>
        <v/>
      </c>
      <c r="K208" s="25"/>
      <c r="L208" s="129"/>
      <c r="M208" s="130"/>
      <c r="N208" s="35"/>
      <c r="O208" s="34"/>
      <c r="P208" s="25"/>
      <c r="Q208" s="25"/>
      <c r="R208" s="34"/>
      <c r="S208" s="34"/>
      <c r="T208" s="137"/>
      <c r="U208" s="137"/>
      <c r="V208" s="36"/>
      <c r="W208" s="37"/>
      <c r="X208" s="71" t="str">
        <f>IF(C208="Trả lại đơn vụ","",IF(C208="Trả lại đơn việc","",IF((NETWORKDAYS(F208,G208,'Danh sách ngày nghỉ lễ'!$B$5:$B$25)-1-3)&gt;0,"Quá hạn"&amp;" "&amp;(NETWORKDAYS(F208,G208,'Danh sách ngày nghỉ lễ'!$B$5:$B$25)-1-3)&amp;" "&amp;"ngày","")))</f>
        <v/>
      </c>
      <c r="Y208" s="72" t="str">
        <f>IF(S208=0,"",IF(P208="Chuyển","",IF(P208="Nhập vào vụ khác","",IF(P208="BA",IF((S208-R208)&gt;10,"Quá hạn"&amp;" "&amp;(S208-R208-10)&amp;" "&amp;"ngày",""),IF((NETWORKDAYS(R208,S208,'Danh sách ngày nghỉ lễ'!$B$5:$B$25)-VLOOKUP(P208,'Thời hạn'!$A$17:$B$23,2,0))&gt;1,"Quá hạn"&amp;" "&amp;(NETWORKDAYS(R208,S208,'Danh sách ngày nghỉ lễ'!$B$5:$B$25)-1-VLOOKUP(P208,'Thời hạn'!$A$17:$B$23,2,0))&amp;" "&amp;"ngày","")))))</f>
        <v/>
      </c>
      <c r="Z208" s="23">
        <v>1</v>
      </c>
    </row>
    <row r="209" spans="1:26" x14ac:dyDescent="0.3">
      <c r="A209" s="24">
        <v>1</v>
      </c>
      <c r="B209" s="39"/>
      <c r="C209" s="33"/>
      <c r="D209" s="25"/>
      <c r="E209" s="25"/>
      <c r="F209" s="34"/>
      <c r="G209" s="34"/>
      <c r="H209" s="25"/>
      <c r="I209" s="70" t="str">
        <f>IF(C209="Trả lại đơn vụ","",IF(C209="Trả lại đơn việc","",IF(C209="Hòa giải thành","",IF(F209=0,"",EDATE(F209,VLOOKUP(C209,'Thời hạn'!$D$1:$E$10,2,0))+H209))))</f>
        <v/>
      </c>
      <c r="J209" s="59" t="str">
        <f t="shared" ca="1" si="3"/>
        <v/>
      </c>
      <c r="K209" s="25"/>
      <c r="L209" s="129"/>
      <c r="M209" s="130"/>
      <c r="N209" s="35"/>
      <c r="O209" s="34"/>
      <c r="P209" s="25"/>
      <c r="Q209" s="25"/>
      <c r="R209" s="34"/>
      <c r="S209" s="34"/>
      <c r="T209" s="137"/>
      <c r="U209" s="137"/>
      <c r="V209" s="36"/>
      <c r="W209" s="37"/>
      <c r="X209" s="71" t="str">
        <f>IF(C209="Trả lại đơn vụ","",IF(C209="Trả lại đơn việc","",IF((NETWORKDAYS(F209,G209,'Danh sách ngày nghỉ lễ'!$B$5:$B$25)-1-3)&gt;0,"Quá hạn"&amp;" "&amp;(NETWORKDAYS(F209,G209,'Danh sách ngày nghỉ lễ'!$B$5:$B$25)-1-3)&amp;" "&amp;"ngày","")))</f>
        <v/>
      </c>
      <c r="Y209" s="72" t="str">
        <f>IF(S209=0,"",IF(P209="Chuyển","",IF(P209="Nhập vào vụ khác","",IF(P209="BA",IF((S209-R209)&gt;10,"Quá hạn"&amp;" "&amp;(S209-R209-10)&amp;" "&amp;"ngày",""),IF((NETWORKDAYS(R209,S209,'Danh sách ngày nghỉ lễ'!$B$5:$B$25)-VLOOKUP(P209,'Thời hạn'!$A$17:$B$23,2,0))&gt;1,"Quá hạn"&amp;" "&amp;(NETWORKDAYS(R209,S209,'Danh sách ngày nghỉ lễ'!$B$5:$B$25)-1-VLOOKUP(P209,'Thời hạn'!$A$17:$B$23,2,0))&amp;" "&amp;"ngày","")))))</f>
        <v/>
      </c>
      <c r="Z209" s="23">
        <v>1</v>
      </c>
    </row>
    <row r="210" spans="1:26" x14ac:dyDescent="0.3">
      <c r="A210" s="24">
        <v>1</v>
      </c>
      <c r="B210" s="39"/>
      <c r="C210" s="33"/>
      <c r="D210" s="25"/>
      <c r="E210" s="25"/>
      <c r="F210" s="34"/>
      <c r="G210" s="34"/>
      <c r="H210" s="25"/>
      <c r="I210" s="70" t="str">
        <f>IF(C210="Trả lại đơn vụ","",IF(C210="Trả lại đơn việc","",IF(C210="Hòa giải thành","",IF(F210=0,"",EDATE(F210,VLOOKUP(C210,'Thời hạn'!$D$1:$E$10,2,0))+H210))))</f>
        <v/>
      </c>
      <c r="J210" s="59" t="str">
        <f t="shared" ca="1" si="3"/>
        <v/>
      </c>
      <c r="K210" s="25"/>
      <c r="L210" s="129"/>
      <c r="M210" s="130"/>
      <c r="N210" s="35"/>
      <c r="O210" s="34"/>
      <c r="P210" s="25"/>
      <c r="Q210" s="25"/>
      <c r="R210" s="34"/>
      <c r="S210" s="34"/>
      <c r="T210" s="137"/>
      <c r="U210" s="137"/>
      <c r="V210" s="36"/>
      <c r="W210" s="37"/>
      <c r="X210" s="71" t="str">
        <f>IF(C210="Trả lại đơn vụ","",IF(C210="Trả lại đơn việc","",IF((NETWORKDAYS(F210,G210,'Danh sách ngày nghỉ lễ'!$B$5:$B$25)-1-3)&gt;0,"Quá hạn"&amp;" "&amp;(NETWORKDAYS(F210,G210,'Danh sách ngày nghỉ lễ'!$B$5:$B$25)-1-3)&amp;" "&amp;"ngày","")))</f>
        <v/>
      </c>
      <c r="Y210" s="72" t="str">
        <f>IF(S210=0,"",IF(P210="Chuyển","",IF(P210="Nhập vào vụ khác","",IF(P210="BA",IF((S210-R210)&gt;10,"Quá hạn"&amp;" "&amp;(S210-R210-10)&amp;" "&amp;"ngày",""),IF((NETWORKDAYS(R210,S210,'Danh sách ngày nghỉ lễ'!$B$5:$B$25)-VLOOKUP(P210,'Thời hạn'!$A$17:$B$23,2,0))&gt;1,"Quá hạn"&amp;" "&amp;(NETWORKDAYS(R210,S210,'Danh sách ngày nghỉ lễ'!$B$5:$B$25)-1-VLOOKUP(P210,'Thời hạn'!$A$17:$B$23,2,0))&amp;" "&amp;"ngày","")))))</f>
        <v/>
      </c>
      <c r="Z210" s="23">
        <v>1</v>
      </c>
    </row>
    <row r="211" spans="1:26" x14ac:dyDescent="0.3">
      <c r="A211" s="24">
        <v>1</v>
      </c>
      <c r="B211" s="39"/>
      <c r="C211" s="33"/>
      <c r="D211" s="25"/>
      <c r="E211" s="25"/>
      <c r="F211" s="34"/>
      <c r="G211" s="34"/>
      <c r="H211" s="25"/>
      <c r="I211" s="70" t="str">
        <f>IF(C211="Trả lại đơn vụ","",IF(C211="Trả lại đơn việc","",IF(C211="Hòa giải thành","",IF(F211=0,"",EDATE(F211,VLOOKUP(C211,'Thời hạn'!$D$1:$E$10,2,0))+H211))))</f>
        <v/>
      </c>
      <c r="J211" s="59" t="str">
        <f t="shared" ca="1" si="3"/>
        <v/>
      </c>
      <c r="K211" s="25"/>
      <c r="L211" s="129"/>
      <c r="M211" s="130"/>
      <c r="N211" s="35"/>
      <c r="O211" s="34"/>
      <c r="P211" s="25"/>
      <c r="Q211" s="25"/>
      <c r="R211" s="34"/>
      <c r="S211" s="34"/>
      <c r="T211" s="137"/>
      <c r="U211" s="137"/>
      <c r="V211" s="36"/>
      <c r="W211" s="37"/>
      <c r="X211" s="71" t="str">
        <f>IF(C211="Trả lại đơn vụ","",IF(C211="Trả lại đơn việc","",IF((NETWORKDAYS(F211,G211,'Danh sách ngày nghỉ lễ'!$B$5:$B$25)-1-3)&gt;0,"Quá hạn"&amp;" "&amp;(NETWORKDAYS(F211,G211,'Danh sách ngày nghỉ lễ'!$B$5:$B$25)-1-3)&amp;" "&amp;"ngày","")))</f>
        <v/>
      </c>
      <c r="Y211" s="72" t="str">
        <f>IF(S211=0,"",IF(P211="Chuyển","",IF(P211="Nhập vào vụ khác","",IF(P211="BA",IF((S211-R211)&gt;10,"Quá hạn"&amp;" "&amp;(S211-R211-10)&amp;" "&amp;"ngày",""),IF((NETWORKDAYS(R211,S211,'Danh sách ngày nghỉ lễ'!$B$5:$B$25)-VLOOKUP(P211,'Thời hạn'!$A$17:$B$23,2,0))&gt;1,"Quá hạn"&amp;" "&amp;(NETWORKDAYS(R211,S211,'Danh sách ngày nghỉ lễ'!$B$5:$B$25)-1-VLOOKUP(P211,'Thời hạn'!$A$17:$B$23,2,0))&amp;" "&amp;"ngày","")))))</f>
        <v/>
      </c>
      <c r="Z211" s="23">
        <v>1</v>
      </c>
    </row>
    <row r="212" spans="1:26" x14ac:dyDescent="0.3">
      <c r="A212" s="24">
        <v>1</v>
      </c>
      <c r="B212" s="78"/>
      <c r="C212" s="33"/>
      <c r="D212" s="79"/>
      <c r="E212" s="79"/>
      <c r="F212" s="80"/>
      <c r="G212" s="80"/>
      <c r="H212" s="79"/>
      <c r="I212" s="70" t="str">
        <f>IF(C212="Trả lại đơn vụ","",IF(C212="Trả lại đơn việc","",IF(C212="Hòa giải thành","",IF(F212=0,"",EDATE(F212,VLOOKUP(C212,'Thời hạn'!$D$1:$E$10,2,0))+H212))))</f>
        <v/>
      </c>
      <c r="J212" s="59" t="str">
        <f t="shared" ca="1" si="3"/>
        <v/>
      </c>
      <c r="K212" s="79"/>
      <c r="L212" s="135"/>
      <c r="M212" s="136"/>
      <c r="N212" s="81"/>
      <c r="O212" s="80"/>
      <c r="P212" s="25"/>
      <c r="Q212" s="79"/>
      <c r="R212" s="80"/>
      <c r="S212" s="80"/>
      <c r="T212" s="138"/>
      <c r="U212" s="138"/>
      <c r="V212" s="82"/>
      <c r="W212" s="37"/>
      <c r="X212" s="71" t="str">
        <f>IF(C212="Trả lại đơn vụ","",IF(C212="Trả lại đơn việc","",IF((NETWORKDAYS(F212,G212,'Danh sách ngày nghỉ lễ'!$B$5:$B$25)-1-3)&gt;0,"Quá hạn"&amp;" "&amp;(NETWORKDAYS(F212,G212,'Danh sách ngày nghỉ lễ'!$B$5:$B$25)-1-3)&amp;" "&amp;"ngày","")))</f>
        <v/>
      </c>
      <c r="Y212" s="72" t="str">
        <f>IF(S212=0,"",IF(P212="Chuyển","",IF(P212="Nhập vào vụ khác","",IF(P212="BA",IF((S212-R212)&gt;10,"Quá hạn"&amp;" "&amp;(S212-R212-10)&amp;" "&amp;"ngày",""),IF((NETWORKDAYS(R212,S212,'Danh sách ngày nghỉ lễ'!$B$5:$B$25)-VLOOKUP(P212,'Thời hạn'!$A$17:$B$23,2,0))&gt;1,"Quá hạn"&amp;" "&amp;(NETWORKDAYS(R212,S212,'Danh sách ngày nghỉ lễ'!$B$5:$B$25)-1-VLOOKUP(P212,'Thời hạn'!$A$17:$B$23,2,0))&amp;" "&amp;"ngày","")))))</f>
        <v/>
      </c>
      <c r="Z212" s="23">
        <v>1</v>
      </c>
    </row>
    <row r="213" spans="1:26" x14ac:dyDescent="0.3">
      <c r="A213" s="24">
        <v>1</v>
      </c>
      <c r="B213" s="78"/>
      <c r="C213" s="33"/>
      <c r="D213" s="79"/>
      <c r="E213" s="79"/>
      <c r="F213" s="80"/>
      <c r="G213" s="80"/>
      <c r="H213" s="79"/>
      <c r="I213" s="70" t="str">
        <f>IF(C213="Trả lại đơn vụ","",IF(C213="Trả lại đơn việc","",IF(C213="Hòa giải thành","",IF(F213=0,"",EDATE(F213,VLOOKUP(C213,'Thời hạn'!$D$1:$E$10,2,0))+H213))))</f>
        <v/>
      </c>
      <c r="J213" s="59" t="str">
        <f t="shared" ref="J213:J262" ca="1" si="4">IF(C213="Trả lại đơn vụ","",IF(C213="Trả lại đơn việc","",IF(C213="Hòa giải thành","",IF(N213=0,IF(P213=0,IF(F213=0,"",I213-TODAY()+1),""),""))))</f>
        <v/>
      </c>
      <c r="K213" s="79"/>
      <c r="L213" s="135"/>
      <c r="M213" s="136"/>
      <c r="N213" s="81"/>
      <c r="O213" s="80"/>
      <c r="P213" s="25"/>
      <c r="Q213" s="79"/>
      <c r="R213" s="80"/>
      <c r="S213" s="80"/>
      <c r="T213" s="138"/>
      <c r="U213" s="138"/>
      <c r="V213" s="82"/>
      <c r="W213" s="37"/>
      <c r="X213" s="71" t="str">
        <f>IF(C213="Trả lại đơn vụ","",IF(C213="Trả lại đơn việc","",IF((NETWORKDAYS(F213,G213,'Danh sách ngày nghỉ lễ'!$B$5:$B$25)-1-3)&gt;0,"Quá hạn"&amp;" "&amp;(NETWORKDAYS(F213,G213,'Danh sách ngày nghỉ lễ'!$B$5:$B$25)-1-3)&amp;" "&amp;"ngày","")))</f>
        <v/>
      </c>
      <c r="Y213" s="72" t="str">
        <f>IF(S213=0,"",IF(P213="Chuyển","",IF(P213="Nhập vào vụ khác","",IF(P213="BA",IF((S213-R213)&gt;10,"Quá hạn"&amp;" "&amp;(S213-R213-10)&amp;" "&amp;"ngày",""),IF((NETWORKDAYS(R213,S213,'Danh sách ngày nghỉ lễ'!$B$5:$B$25)-VLOOKUP(P213,'Thời hạn'!$A$17:$B$23,2,0))&gt;1,"Quá hạn"&amp;" "&amp;(NETWORKDAYS(R213,S213,'Danh sách ngày nghỉ lễ'!$B$5:$B$25)-1-VLOOKUP(P213,'Thời hạn'!$A$17:$B$23,2,0))&amp;" "&amp;"ngày","")))))</f>
        <v/>
      </c>
      <c r="Z213" s="23">
        <v>1</v>
      </c>
    </row>
    <row r="214" spans="1:26" x14ac:dyDescent="0.3">
      <c r="A214" s="24">
        <v>1</v>
      </c>
      <c r="B214" s="78"/>
      <c r="C214" s="33"/>
      <c r="D214" s="79"/>
      <c r="E214" s="79"/>
      <c r="F214" s="80"/>
      <c r="G214" s="80"/>
      <c r="H214" s="79"/>
      <c r="I214" s="70" t="str">
        <f>IF(C214="Trả lại đơn vụ","",IF(C214="Trả lại đơn việc","",IF(C214="Hòa giải thành","",IF(F214=0,"",EDATE(F214,VLOOKUP(C214,'Thời hạn'!$D$1:$E$10,2,0))+H214))))</f>
        <v/>
      </c>
      <c r="J214" s="59" t="str">
        <f t="shared" ca="1" si="4"/>
        <v/>
      </c>
      <c r="K214" s="79"/>
      <c r="L214" s="135"/>
      <c r="M214" s="136"/>
      <c r="N214" s="81"/>
      <c r="O214" s="80"/>
      <c r="P214" s="25"/>
      <c r="Q214" s="79"/>
      <c r="R214" s="80"/>
      <c r="S214" s="80"/>
      <c r="T214" s="138"/>
      <c r="U214" s="138"/>
      <c r="V214" s="82"/>
      <c r="W214" s="37"/>
      <c r="X214" s="71" t="str">
        <f>IF(C214="Trả lại đơn vụ","",IF(C214="Trả lại đơn việc","",IF((NETWORKDAYS(F214,G214,'Danh sách ngày nghỉ lễ'!$B$5:$B$25)-1-3)&gt;0,"Quá hạn"&amp;" "&amp;(NETWORKDAYS(F214,G214,'Danh sách ngày nghỉ lễ'!$B$5:$B$25)-1-3)&amp;" "&amp;"ngày","")))</f>
        <v/>
      </c>
      <c r="Y214" s="72" t="str">
        <f>IF(S214=0,"",IF(P214="Chuyển","",IF(P214="Nhập vào vụ khác","",IF(P214="BA",IF((S214-R214)&gt;10,"Quá hạn"&amp;" "&amp;(S214-R214-10)&amp;" "&amp;"ngày",""),IF((NETWORKDAYS(R214,S214,'Danh sách ngày nghỉ lễ'!$B$5:$B$25)-VLOOKUP(P214,'Thời hạn'!$A$17:$B$23,2,0))&gt;1,"Quá hạn"&amp;" "&amp;(NETWORKDAYS(R214,S214,'Danh sách ngày nghỉ lễ'!$B$5:$B$25)-1-VLOOKUP(P214,'Thời hạn'!$A$17:$B$23,2,0))&amp;" "&amp;"ngày","")))))</f>
        <v/>
      </c>
      <c r="Z214" s="23">
        <v>1</v>
      </c>
    </row>
    <row r="215" spans="1:26" x14ac:dyDescent="0.3">
      <c r="A215" s="24">
        <v>1</v>
      </c>
      <c r="B215" s="78"/>
      <c r="C215" s="33"/>
      <c r="D215" s="79"/>
      <c r="E215" s="79"/>
      <c r="F215" s="80"/>
      <c r="G215" s="80"/>
      <c r="H215" s="79"/>
      <c r="I215" s="70" t="str">
        <f>IF(C215="Trả lại đơn vụ","",IF(C215="Trả lại đơn việc","",IF(C215="Hòa giải thành","",IF(F215=0,"",EDATE(F215,VLOOKUP(C215,'Thời hạn'!$D$1:$E$10,2,0))+H215))))</f>
        <v/>
      </c>
      <c r="J215" s="59" t="str">
        <f t="shared" ca="1" si="4"/>
        <v/>
      </c>
      <c r="K215" s="79"/>
      <c r="L215" s="135"/>
      <c r="M215" s="136"/>
      <c r="N215" s="81"/>
      <c r="O215" s="80"/>
      <c r="P215" s="25"/>
      <c r="Q215" s="79"/>
      <c r="R215" s="80"/>
      <c r="S215" s="80"/>
      <c r="T215" s="138"/>
      <c r="U215" s="138"/>
      <c r="V215" s="82"/>
      <c r="W215" s="37"/>
      <c r="X215" s="71" t="str">
        <f>IF(C215="Trả lại đơn vụ","",IF(C215="Trả lại đơn việc","",IF((NETWORKDAYS(F215,G215,'Danh sách ngày nghỉ lễ'!$B$5:$B$25)-1-3)&gt;0,"Quá hạn"&amp;" "&amp;(NETWORKDAYS(F215,G215,'Danh sách ngày nghỉ lễ'!$B$5:$B$25)-1-3)&amp;" "&amp;"ngày","")))</f>
        <v/>
      </c>
      <c r="Y215" s="72" t="str">
        <f>IF(S215=0,"",IF(P215="Chuyển","",IF(P215="Nhập vào vụ khác","",IF(P215="BA",IF((S215-R215)&gt;10,"Quá hạn"&amp;" "&amp;(S215-R215-10)&amp;" "&amp;"ngày",""),IF((NETWORKDAYS(R215,S215,'Danh sách ngày nghỉ lễ'!$B$5:$B$25)-VLOOKUP(P215,'Thời hạn'!$A$17:$B$23,2,0))&gt;1,"Quá hạn"&amp;" "&amp;(NETWORKDAYS(R215,S215,'Danh sách ngày nghỉ lễ'!$B$5:$B$25)-1-VLOOKUP(P215,'Thời hạn'!$A$17:$B$23,2,0))&amp;" "&amp;"ngày","")))))</f>
        <v/>
      </c>
      <c r="Z215" s="23">
        <v>1</v>
      </c>
    </row>
    <row r="216" spans="1:26" x14ac:dyDescent="0.3">
      <c r="A216" s="24">
        <v>1</v>
      </c>
      <c r="B216" s="78"/>
      <c r="C216" s="33"/>
      <c r="D216" s="79"/>
      <c r="E216" s="79"/>
      <c r="F216" s="80"/>
      <c r="G216" s="80"/>
      <c r="H216" s="79"/>
      <c r="I216" s="70" t="str">
        <f>IF(C216="Trả lại đơn vụ","",IF(C216="Trả lại đơn việc","",IF(C216="Hòa giải thành","",IF(F216=0,"",EDATE(F216,VLOOKUP(C216,'Thời hạn'!$D$1:$E$10,2,0))+H216))))</f>
        <v/>
      </c>
      <c r="J216" s="59" t="str">
        <f t="shared" ca="1" si="4"/>
        <v/>
      </c>
      <c r="K216" s="79"/>
      <c r="L216" s="135"/>
      <c r="M216" s="136"/>
      <c r="N216" s="81"/>
      <c r="O216" s="80"/>
      <c r="P216" s="25"/>
      <c r="Q216" s="79"/>
      <c r="R216" s="80"/>
      <c r="S216" s="80"/>
      <c r="T216" s="138"/>
      <c r="U216" s="138"/>
      <c r="V216" s="82"/>
      <c r="W216" s="37"/>
      <c r="X216" s="71" t="str">
        <f>IF(C216="Trả lại đơn vụ","",IF(C216="Trả lại đơn việc","",IF((NETWORKDAYS(F216,G216,'Danh sách ngày nghỉ lễ'!$B$5:$B$25)-1-3)&gt;0,"Quá hạn"&amp;" "&amp;(NETWORKDAYS(F216,G216,'Danh sách ngày nghỉ lễ'!$B$5:$B$25)-1-3)&amp;" "&amp;"ngày","")))</f>
        <v/>
      </c>
      <c r="Y216" s="72" t="str">
        <f>IF(S216=0,"",IF(P216="Chuyển","",IF(P216="Nhập vào vụ khác","",IF(P216="BA",IF((S216-R216)&gt;10,"Quá hạn"&amp;" "&amp;(S216-R216-10)&amp;" "&amp;"ngày",""),IF((NETWORKDAYS(R216,S216,'Danh sách ngày nghỉ lễ'!$B$5:$B$25)-VLOOKUP(P216,'Thời hạn'!$A$17:$B$23,2,0))&gt;1,"Quá hạn"&amp;" "&amp;(NETWORKDAYS(R216,S216,'Danh sách ngày nghỉ lễ'!$B$5:$B$25)-1-VLOOKUP(P216,'Thời hạn'!$A$17:$B$23,2,0))&amp;" "&amp;"ngày","")))))</f>
        <v/>
      </c>
      <c r="Z216" s="23">
        <v>1</v>
      </c>
    </row>
    <row r="217" spans="1:26" x14ac:dyDescent="0.3">
      <c r="A217" s="24">
        <v>1</v>
      </c>
      <c r="B217" s="78"/>
      <c r="C217" s="33"/>
      <c r="D217" s="79"/>
      <c r="E217" s="79"/>
      <c r="F217" s="80"/>
      <c r="G217" s="80"/>
      <c r="H217" s="79"/>
      <c r="I217" s="70" t="str">
        <f>IF(C217="Trả lại đơn vụ","",IF(C217="Trả lại đơn việc","",IF(C217="Hòa giải thành","",IF(F217=0,"",EDATE(F217,VLOOKUP(C217,'Thời hạn'!$D$1:$E$10,2,0))+H217))))</f>
        <v/>
      </c>
      <c r="J217" s="59" t="str">
        <f t="shared" ca="1" si="4"/>
        <v/>
      </c>
      <c r="K217" s="79"/>
      <c r="L217" s="135"/>
      <c r="M217" s="136"/>
      <c r="N217" s="81"/>
      <c r="O217" s="80"/>
      <c r="P217" s="25"/>
      <c r="Q217" s="79"/>
      <c r="R217" s="80"/>
      <c r="S217" s="80"/>
      <c r="T217" s="138"/>
      <c r="U217" s="138"/>
      <c r="V217" s="82"/>
      <c r="W217" s="37"/>
      <c r="X217" s="71" t="str">
        <f>IF(C217="Trả lại đơn vụ","",IF(C217="Trả lại đơn việc","",IF((NETWORKDAYS(F217,G217,'Danh sách ngày nghỉ lễ'!$B$5:$B$25)-1-3)&gt;0,"Quá hạn"&amp;" "&amp;(NETWORKDAYS(F217,G217,'Danh sách ngày nghỉ lễ'!$B$5:$B$25)-1-3)&amp;" "&amp;"ngày","")))</f>
        <v/>
      </c>
      <c r="Y217" s="72" t="str">
        <f>IF(S217=0,"",IF(P217="Chuyển","",IF(P217="Nhập vào vụ khác","",IF(P217="BA",IF((S217-R217)&gt;10,"Quá hạn"&amp;" "&amp;(S217-R217-10)&amp;" "&amp;"ngày",""),IF((NETWORKDAYS(R217,S217,'Danh sách ngày nghỉ lễ'!$B$5:$B$25)-VLOOKUP(P217,'Thời hạn'!$A$17:$B$23,2,0))&gt;1,"Quá hạn"&amp;" "&amp;(NETWORKDAYS(R217,S217,'Danh sách ngày nghỉ lễ'!$B$5:$B$25)-1-VLOOKUP(P217,'Thời hạn'!$A$17:$B$23,2,0))&amp;" "&amp;"ngày","")))))</f>
        <v/>
      </c>
      <c r="Z217" s="23">
        <v>1</v>
      </c>
    </row>
    <row r="218" spans="1:26" x14ac:dyDescent="0.3">
      <c r="A218" s="24">
        <v>1</v>
      </c>
      <c r="B218" s="78"/>
      <c r="C218" s="33"/>
      <c r="D218" s="79"/>
      <c r="E218" s="79"/>
      <c r="F218" s="80"/>
      <c r="G218" s="80"/>
      <c r="H218" s="79"/>
      <c r="I218" s="70" t="str">
        <f>IF(C218="Trả lại đơn vụ","",IF(C218="Trả lại đơn việc","",IF(C218="Hòa giải thành","",IF(F218=0,"",EDATE(F218,VLOOKUP(C218,'Thời hạn'!$D$1:$E$10,2,0))+H218))))</f>
        <v/>
      </c>
      <c r="J218" s="59" t="str">
        <f t="shared" ca="1" si="4"/>
        <v/>
      </c>
      <c r="K218" s="79"/>
      <c r="L218" s="135"/>
      <c r="M218" s="136"/>
      <c r="N218" s="81"/>
      <c r="O218" s="80"/>
      <c r="P218" s="25"/>
      <c r="Q218" s="79"/>
      <c r="R218" s="80"/>
      <c r="S218" s="80"/>
      <c r="T218" s="138"/>
      <c r="U218" s="138"/>
      <c r="V218" s="82"/>
      <c r="W218" s="37"/>
      <c r="X218" s="71" t="str">
        <f>IF(C218="Trả lại đơn vụ","",IF(C218="Trả lại đơn việc","",IF((NETWORKDAYS(F218,G218,'Danh sách ngày nghỉ lễ'!$B$5:$B$25)-1-3)&gt;0,"Quá hạn"&amp;" "&amp;(NETWORKDAYS(F218,G218,'Danh sách ngày nghỉ lễ'!$B$5:$B$25)-1-3)&amp;" "&amp;"ngày","")))</f>
        <v/>
      </c>
      <c r="Y218" s="72" t="str">
        <f>IF(S218=0,"",IF(P218="Chuyển","",IF(P218="Nhập vào vụ khác","",IF(P218="BA",IF((S218-R218)&gt;10,"Quá hạn"&amp;" "&amp;(S218-R218-10)&amp;" "&amp;"ngày",""),IF((NETWORKDAYS(R218,S218,'Danh sách ngày nghỉ lễ'!$B$5:$B$25)-VLOOKUP(P218,'Thời hạn'!$A$17:$B$23,2,0))&gt;1,"Quá hạn"&amp;" "&amp;(NETWORKDAYS(R218,S218,'Danh sách ngày nghỉ lễ'!$B$5:$B$25)-1-VLOOKUP(P218,'Thời hạn'!$A$17:$B$23,2,0))&amp;" "&amp;"ngày","")))))</f>
        <v/>
      </c>
      <c r="Z218" s="23">
        <v>1</v>
      </c>
    </row>
    <row r="219" spans="1:26" x14ac:dyDescent="0.3">
      <c r="A219" s="24">
        <v>1</v>
      </c>
      <c r="B219" s="78"/>
      <c r="C219" s="33"/>
      <c r="D219" s="79"/>
      <c r="E219" s="79"/>
      <c r="F219" s="80"/>
      <c r="G219" s="80"/>
      <c r="H219" s="79"/>
      <c r="I219" s="70" t="str">
        <f>IF(C219="Trả lại đơn vụ","",IF(C219="Trả lại đơn việc","",IF(C219="Hòa giải thành","",IF(F219=0,"",EDATE(F219,VLOOKUP(C219,'Thời hạn'!$D$1:$E$10,2,0))+H219))))</f>
        <v/>
      </c>
      <c r="J219" s="59" t="str">
        <f t="shared" ca="1" si="4"/>
        <v/>
      </c>
      <c r="K219" s="79"/>
      <c r="L219" s="135"/>
      <c r="M219" s="136"/>
      <c r="N219" s="81"/>
      <c r="O219" s="80"/>
      <c r="P219" s="25"/>
      <c r="Q219" s="79"/>
      <c r="R219" s="80"/>
      <c r="S219" s="80"/>
      <c r="T219" s="138"/>
      <c r="U219" s="138"/>
      <c r="V219" s="82"/>
      <c r="W219" s="37"/>
      <c r="X219" s="71" t="str">
        <f>IF(C219="Trả lại đơn vụ","",IF(C219="Trả lại đơn việc","",IF((NETWORKDAYS(F219,G219,'Danh sách ngày nghỉ lễ'!$B$5:$B$25)-1-3)&gt;0,"Quá hạn"&amp;" "&amp;(NETWORKDAYS(F219,G219,'Danh sách ngày nghỉ lễ'!$B$5:$B$25)-1-3)&amp;" "&amp;"ngày","")))</f>
        <v/>
      </c>
      <c r="Y219" s="72" t="str">
        <f>IF(S219=0,"",IF(P219="Chuyển","",IF(P219="Nhập vào vụ khác","",IF(P219="BA",IF((S219-R219)&gt;10,"Quá hạn"&amp;" "&amp;(S219-R219-10)&amp;" "&amp;"ngày",""),IF((NETWORKDAYS(R219,S219,'Danh sách ngày nghỉ lễ'!$B$5:$B$25)-VLOOKUP(P219,'Thời hạn'!$A$17:$B$23,2,0))&gt;1,"Quá hạn"&amp;" "&amp;(NETWORKDAYS(R219,S219,'Danh sách ngày nghỉ lễ'!$B$5:$B$25)-1-VLOOKUP(P219,'Thời hạn'!$A$17:$B$23,2,0))&amp;" "&amp;"ngày","")))))</f>
        <v/>
      </c>
      <c r="Z219" s="23">
        <v>1</v>
      </c>
    </row>
    <row r="220" spans="1:26" x14ac:dyDescent="0.3">
      <c r="A220" s="24">
        <v>1</v>
      </c>
      <c r="B220" s="78"/>
      <c r="C220" s="33"/>
      <c r="D220" s="79"/>
      <c r="E220" s="79"/>
      <c r="F220" s="80"/>
      <c r="G220" s="80"/>
      <c r="H220" s="79"/>
      <c r="I220" s="70" t="str">
        <f>IF(C220="Trả lại đơn vụ","",IF(C220="Trả lại đơn việc","",IF(C220="Hòa giải thành","",IF(F220=0,"",EDATE(F220,VLOOKUP(C220,'Thời hạn'!$D$1:$E$10,2,0))+H220))))</f>
        <v/>
      </c>
      <c r="J220" s="59" t="str">
        <f t="shared" ca="1" si="4"/>
        <v/>
      </c>
      <c r="K220" s="79"/>
      <c r="L220" s="135"/>
      <c r="M220" s="136"/>
      <c r="N220" s="81"/>
      <c r="O220" s="80"/>
      <c r="P220" s="25"/>
      <c r="Q220" s="79"/>
      <c r="R220" s="80"/>
      <c r="S220" s="80"/>
      <c r="T220" s="138"/>
      <c r="U220" s="138"/>
      <c r="V220" s="82"/>
      <c r="W220" s="37"/>
      <c r="X220" s="71" t="str">
        <f>IF(C220="Trả lại đơn vụ","",IF(C220="Trả lại đơn việc","",IF((NETWORKDAYS(F220,G220,'Danh sách ngày nghỉ lễ'!$B$5:$B$25)-1-3)&gt;0,"Quá hạn"&amp;" "&amp;(NETWORKDAYS(F220,G220,'Danh sách ngày nghỉ lễ'!$B$5:$B$25)-1-3)&amp;" "&amp;"ngày","")))</f>
        <v/>
      </c>
      <c r="Y220" s="72" t="str">
        <f>IF(S220=0,"",IF(P220="Chuyển","",IF(P220="Nhập vào vụ khác","",IF(P220="BA",IF((S220-R220)&gt;10,"Quá hạn"&amp;" "&amp;(S220-R220-10)&amp;" "&amp;"ngày",""),IF((NETWORKDAYS(R220,S220,'Danh sách ngày nghỉ lễ'!$B$5:$B$25)-VLOOKUP(P220,'Thời hạn'!$A$17:$B$23,2,0))&gt;1,"Quá hạn"&amp;" "&amp;(NETWORKDAYS(R220,S220,'Danh sách ngày nghỉ lễ'!$B$5:$B$25)-1-VLOOKUP(P220,'Thời hạn'!$A$17:$B$23,2,0))&amp;" "&amp;"ngày","")))))</f>
        <v/>
      </c>
      <c r="Z220" s="23">
        <v>1</v>
      </c>
    </row>
    <row r="221" spans="1:26" x14ac:dyDescent="0.3">
      <c r="A221" s="24">
        <v>1</v>
      </c>
      <c r="B221" s="78"/>
      <c r="C221" s="33"/>
      <c r="D221" s="79"/>
      <c r="E221" s="79"/>
      <c r="F221" s="80"/>
      <c r="G221" s="80"/>
      <c r="H221" s="79"/>
      <c r="I221" s="70" t="str">
        <f>IF(C221="Trả lại đơn vụ","",IF(C221="Trả lại đơn việc","",IF(C221="Hòa giải thành","",IF(F221=0,"",EDATE(F221,VLOOKUP(C221,'Thời hạn'!$D$1:$E$10,2,0))+H221))))</f>
        <v/>
      </c>
      <c r="J221" s="59" t="str">
        <f t="shared" ca="1" si="4"/>
        <v/>
      </c>
      <c r="K221" s="79"/>
      <c r="L221" s="135"/>
      <c r="M221" s="136"/>
      <c r="N221" s="81"/>
      <c r="O221" s="80"/>
      <c r="P221" s="25"/>
      <c r="Q221" s="79"/>
      <c r="R221" s="80"/>
      <c r="S221" s="80"/>
      <c r="T221" s="138"/>
      <c r="U221" s="138"/>
      <c r="V221" s="82"/>
      <c r="W221" s="37"/>
      <c r="X221" s="71" t="str">
        <f>IF(C221="Trả lại đơn vụ","",IF(C221="Trả lại đơn việc","",IF((NETWORKDAYS(F221,G221,'Danh sách ngày nghỉ lễ'!$B$5:$B$25)-1-3)&gt;0,"Quá hạn"&amp;" "&amp;(NETWORKDAYS(F221,G221,'Danh sách ngày nghỉ lễ'!$B$5:$B$25)-1-3)&amp;" "&amp;"ngày","")))</f>
        <v/>
      </c>
      <c r="Y221" s="72" t="str">
        <f>IF(S221=0,"",IF(P221="Chuyển","",IF(P221="Nhập vào vụ khác","",IF(P221="BA",IF((S221-R221)&gt;10,"Quá hạn"&amp;" "&amp;(S221-R221-10)&amp;" "&amp;"ngày",""),IF((NETWORKDAYS(R221,S221,'Danh sách ngày nghỉ lễ'!$B$5:$B$25)-VLOOKUP(P221,'Thời hạn'!$A$17:$B$23,2,0))&gt;1,"Quá hạn"&amp;" "&amp;(NETWORKDAYS(R221,S221,'Danh sách ngày nghỉ lễ'!$B$5:$B$25)-1-VLOOKUP(P221,'Thời hạn'!$A$17:$B$23,2,0))&amp;" "&amp;"ngày","")))))</f>
        <v/>
      </c>
      <c r="Z221" s="23">
        <v>1</v>
      </c>
    </row>
    <row r="222" spans="1:26" x14ac:dyDescent="0.3">
      <c r="A222" s="24">
        <v>1</v>
      </c>
      <c r="B222" s="78"/>
      <c r="C222" s="33"/>
      <c r="D222" s="79"/>
      <c r="E222" s="79"/>
      <c r="F222" s="80"/>
      <c r="G222" s="80"/>
      <c r="H222" s="79"/>
      <c r="I222" s="70" t="str">
        <f>IF(C222="Trả lại đơn vụ","",IF(C222="Trả lại đơn việc","",IF(C222="Hòa giải thành","",IF(F222=0,"",EDATE(F222,VLOOKUP(C222,'Thời hạn'!$D$1:$E$10,2,0))+H222))))</f>
        <v/>
      </c>
      <c r="J222" s="59" t="str">
        <f t="shared" ca="1" si="4"/>
        <v/>
      </c>
      <c r="K222" s="79"/>
      <c r="L222" s="135"/>
      <c r="M222" s="136"/>
      <c r="N222" s="81"/>
      <c r="O222" s="80"/>
      <c r="P222" s="25"/>
      <c r="Q222" s="79"/>
      <c r="R222" s="80"/>
      <c r="S222" s="80"/>
      <c r="T222" s="138"/>
      <c r="U222" s="138"/>
      <c r="V222" s="82"/>
      <c r="W222" s="37"/>
      <c r="X222" s="71" t="str">
        <f>IF(C222="Trả lại đơn vụ","",IF(C222="Trả lại đơn việc","",IF((NETWORKDAYS(F222,G222,'Danh sách ngày nghỉ lễ'!$B$5:$B$25)-1-3)&gt;0,"Quá hạn"&amp;" "&amp;(NETWORKDAYS(F222,G222,'Danh sách ngày nghỉ lễ'!$B$5:$B$25)-1-3)&amp;" "&amp;"ngày","")))</f>
        <v/>
      </c>
      <c r="Y222" s="72" t="str">
        <f>IF(S222=0,"",IF(P222="Chuyển","",IF(P222="Nhập vào vụ khác","",IF(P222="BA",IF((S222-R222)&gt;10,"Quá hạn"&amp;" "&amp;(S222-R222-10)&amp;" "&amp;"ngày",""),IF((NETWORKDAYS(R222,S222,'Danh sách ngày nghỉ lễ'!$B$5:$B$25)-VLOOKUP(P222,'Thời hạn'!$A$17:$B$23,2,0))&gt;1,"Quá hạn"&amp;" "&amp;(NETWORKDAYS(R222,S222,'Danh sách ngày nghỉ lễ'!$B$5:$B$25)-1-VLOOKUP(P222,'Thời hạn'!$A$17:$B$23,2,0))&amp;" "&amp;"ngày","")))))</f>
        <v/>
      </c>
      <c r="Z222" s="23">
        <v>1</v>
      </c>
    </row>
    <row r="223" spans="1:26" x14ac:dyDescent="0.3">
      <c r="A223" s="24">
        <v>1</v>
      </c>
      <c r="B223" s="78"/>
      <c r="C223" s="33"/>
      <c r="D223" s="79"/>
      <c r="E223" s="79"/>
      <c r="F223" s="80"/>
      <c r="G223" s="80"/>
      <c r="H223" s="79"/>
      <c r="I223" s="70" t="str">
        <f>IF(C223="Trả lại đơn vụ","",IF(C223="Trả lại đơn việc","",IF(C223="Hòa giải thành","",IF(F223=0,"",EDATE(F223,VLOOKUP(C223,'Thời hạn'!$D$1:$E$10,2,0))+H223))))</f>
        <v/>
      </c>
      <c r="J223" s="59" t="str">
        <f t="shared" ca="1" si="4"/>
        <v/>
      </c>
      <c r="K223" s="79"/>
      <c r="L223" s="135"/>
      <c r="M223" s="136"/>
      <c r="N223" s="81"/>
      <c r="O223" s="80"/>
      <c r="P223" s="25"/>
      <c r="Q223" s="79"/>
      <c r="R223" s="80"/>
      <c r="S223" s="80"/>
      <c r="T223" s="138"/>
      <c r="U223" s="138"/>
      <c r="V223" s="82"/>
      <c r="W223" s="37"/>
      <c r="X223" s="71" t="str">
        <f>IF(C223="Trả lại đơn vụ","",IF(C223="Trả lại đơn việc","",IF((NETWORKDAYS(F223,G223,'Danh sách ngày nghỉ lễ'!$B$5:$B$25)-1-3)&gt;0,"Quá hạn"&amp;" "&amp;(NETWORKDAYS(F223,G223,'Danh sách ngày nghỉ lễ'!$B$5:$B$25)-1-3)&amp;" "&amp;"ngày","")))</f>
        <v/>
      </c>
      <c r="Y223" s="72" t="str">
        <f>IF(S223=0,"",IF(P223="Chuyển","",IF(P223="Nhập vào vụ khác","",IF(P223="BA",IF((S223-R223)&gt;10,"Quá hạn"&amp;" "&amp;(S223-R223-10)&amp;" "&amp;"ngày",""),IF((NETWORKDAYS(R223,S223,'Danh sách ngày nghỉ lễ'!$B$5:$B$25)-VLOOKUP(P223,'Thời hạn'!$A$17:$B$23,2,0))&gt;1,"Quá hạn"&amp;" "&amp;(NETWORKDAYS(R223,S223,'Danh sách ngày nghỉ lễ'!$B$5:$B$25)-1-VLOOKUP(P223,'Thời hạn'!$A$17:$B$23,2,0))&amp;" "&amp;"ngày","")))))</f>
        <v/>
      </c>
      <c r="Z223" s="23">
        <v>1</v>
      </c>
    </row>
    <row r="224" spans="1:26" x14ac:dyDescent="0.3">
      <c r="A224" s="24">
        <v>1</v>
      </c>
      <c r="B224" s="78"/>
      <c r="C224" s="33"/>
      <c r="D224" s="79"/>
      <c r="E224" s="79"/>
      <c r="F224" s="80"/>
      <c r="G224" s="80"/>
      <c r="H224" s="79"/>
      <c r="I224" s="70" t="str">
        <f>IF(C224="Trả lại đơn vụ","",IF(C224="Trả lại đơn việc","",IF(C224="Hòa giải thành","",IF(F224=0,"",EDATE(F224,VLOOKUP(C224,'Thời hạn'!$D$1:$E$10,2,0))+H224))))</f>
        <v/>
      </c>
      <c r="J224" s="59" t="str">
        <f t="shared" ca="1" si="4"/>
        <v/>
      </c>
      <c r="K224" s="79"/>
      <c r="L224" s="135"/>
      <c r="M224" s="136"/>
      <c r="N224" s="81"/>
      <c r="O224" s="80"/>
      <c r="P224" s="25"/>
      <c r="Q224" s="79"/>
      <c r="R224" s="80"/>
      <c r="S224" s="80"/>
      <c r="T224" s="138"/>
      <c r="U224" s="138"/>
      <c r="V224" s="82"/>
      <c r="W224" s="37"/>
      <c r="X224" s="71" t="str">
        <f>IF(C224="Trả lại đơn vụ","",IF(C224="Trả lại đơn việc","",IF((NETWORKDAYS(F224,G224,'Danh sách ngày nghỉ lễ'!$B$5:$B$25)-1-3)&gt;0,"Quá hạn"&amp;" "&amp;(NETWORKDAYS(F224,G224,'Danh sách ngày nghỉ lễ'!$B$5:$B$25)-1-3)&amp;" "&amp;"ngày","")))</f>
        <v/>
      </c>
      <c r="Y224" s="72" t="str">
        <f>IF(S224=0,"",IF(P224="Chuyển","",IF(P224="Nhập vào vụ khác","",IF(P224="BA",IF((S224-R224)&gt;10,"Quá hạn"&amp;" "&amp;(S224-R224-10)&amp;" "&amp;"ngày",""),IF((NETWORKDAYS(R224,S224,'Danh sách ngày nghỉ lễ'!$B$5:$B$25)-VLOOKUP(P224,'Thời hạn'!$A$17:$B$23,2,0))&gt;1,"Quá hạn"&amp;" "&amp;(NETWORKDAYS(R224,S224,'Danh sách ngày nghỉ lễ'!$B$5:$B$25)-1-VLOOKUP(P224,'Thời hạn'!$A$17:$B$23,2,0))&amp;" "&amp;"ngày","")))))</f>
        <v/>
      </c>
      <c r="Z224" s="23">
        <v>1</v>
      </c>
    </row>
    <row r="225" spans="1:26" x14ac:dyDescent="0.3">
      <c r="A225" s="24">
        <v>1</v>
      </c>
      <c r="B225" s="78"/>
      <c r="C225" s="33"/>
      <c r="D225" s="79"/>
      <c r="E225" s="79"/>
      <c r="F225" s="80"/>
      <c r="G225" s="80"/>
      <c r="H225" s="79"/>
      <c r="I225" s="70" t="str">
        <f>IF(C225="Trả lại đơn vụ","",IF(C225="Trả lại đơn việc","",IF(C225="Hòa giải thành","",IF(F225=0,"",EDATE(F225,VLOOKUP(C225,'Thời hạn'!$D$1:$E$10,2,0))+H225))))</f>
        <v/>
      </c>
      <c r="J225" s="59" t="str">
        <f t="shared" ca="1" si="4"/>
        <v/>
      </c>
      <c r="K225" s="79"/>
      <c r="L225" s="135"/>
      <c r="M225" s="136"/>
      <c r="N225" s="81"/>
      <c r="O225" s="80"/>
      <c r="P225" s="25"/>
      <c r="Q225" s="79"/>
      <c r="R225" s="80"/>
      <c r="S225" s="80"/>
      <c r="T225" s="138"/>
      <c r="U225" s="138"/>
      <c r="V225" s="82"/>
      <c r="W225" s="37"/>
      <c r="X225" s="71" t="str">
        <f>IF(C225="Trả lại đơn vụ","",IF(C225="Trả lại đơn việc","",IF((NETWORKDAYS(F225,G225,'Danh sách ngày nghỉ lễ'!$B$5:$B$25)-1-3)&gt;0,"Quá hạn"&amp;" "&amp;(NETWORKDAYS(F225,G225,'Danh sách ngày nghỉ lễ'!$B$5:$B$25)-1-3)&amp;" "&amp;"ngày","")))</f>
        <v/>
      </c>
      <c r="Y225" s="72" t="str">
        <f>IF(S225=0,"",IF(P225="Chuyển","",IF(P225="Nhập vào vụ khác","",IF(P225="BA",IF((S225-R225)&gt;10,"Quá hạn"&amp;" "&amp;(S225-R225-10)&amp;" "&amp;"ngày",""),IF((NETWORKDAYS(R225,S225,'Danh sách ngày nghỉ lễ'!$B$5:$B$25)-VLOOKUP(P225,'Thời hạn'!$A$17:$B$23,2,0))&gt;1,"Quá hạn"&amp;" "&amp;(NETWORKDAYS(R225,S225,'Danh sách ngày nghỉ lễ'!$B$5:$B$25)-1-VLOOKUP(P225,'Thời hạn'!$A$17:$B$23,2,0))&amp;" "&amp;"ngày","")))))</f>
        <v/>
      </c>
      <c r="Z225" s="23">
        <v>1</v>
      </c>
    </row>
    <row r="226" spans="1:26" x14ac:dyDescent="0.3">
      <c r="A226" s="24">
        <v>1</v>
      </c>
      <c r="B226" s="78"/>
      <c r="C226" s="33"/>
      <c r="D226" s="79"/>
      <c r="E226" s="79"/>
      <c r="F226" s="80"/>
      <c r="G226" s="80"/>
      <c r="H226" s="79"/>
      <c r="I226" s="70" t="str">
        <f>IF(C226="Trả lại đơn vụ","",IF(C226="Trả lại đơn việc","",IF(C226="Hòa giải thành","",IF(F226=0,"",EDATE(F226,VLOOKUP(C226,'Thời hạn'!$D$1:$E$10,2,0))+H226))))</f>
        <v/>
      </c>
      <c r="J226" s="59" t="str">
        <f t="shared" ca="1" si="4"/>
        <v/>
      </c>
      <c r="K226" s="79"/>
      <c r="L226" s="135"/>
      <c r="M226" s="136"/>
      <c r="N226" s="81"/>
      <c r="O226" s="80"/>
      <c r="P226" s="25"/>
      <c r="Q226" s="79"/>
      <c r="R226" s="80"/>
      <c r="S226" s="80"/>
      <c r="T226" s="138"/>
      <c r="U226" s="138"/>
      <c r="V226" s="82"/>
      <c r="W226" s="37"/>
      <c r="X226" s="71" t="str">
        <f>IF(C226="Trả lại đơn vụ","",IF(C226="Trả lại đơn việc","",IF((NETWORKDAYS(F226,G226,'Danh sách ngày nghỉ lễ'!$B$5:$B$25)-1-3)&gt;0,"Quá hạn"&amp;" "&amp;(NETWORKDAYS(F226,G226,'Danh sách ngày nghỉ lễ'!$B$5:$B$25)-1-3)&amp;" "&amp;"ngày","")))</f>
        <v/>
      </c>
      <c r="Y226" s="72" t="str">
        <f>IF(S226=0,"",IF(P226="Chuyển","",IF(P226="Nhập vào vụ khác","",IF(P226="BA",IF((S226-R226)&gt;10,"Quá hạn"&amp;" "&amp;(S226-R226-10)&amp;" "&amp;"ngày",""),IF((NETWORKDAYS(R226,S226,'Danh sách ngày nghỉ lễ'!$B$5:$B$25)-VLOOKUP(P226,'Thời hạn'!$A$17:$B$23,2,0))&gt;1,"Quá hạn"&amp;" "&amp;(NETWORKDAYS(R226,S226,'Danh sách ngày nghỉ lễ'!$B$5:$B$25)-1-VLOOKUP(P226,'Thời hạn'!$A$17:$B$23,2,0))&amp;" "&amp;"ngày","")))))</f>
        <v/>
      </c>
      <c r="Z226" s="23">
        <v>1</v>
      </c>
    </row>
    <row r="227" spans="1:26" x14ac:dyDescent="0.3">
      <c r="A227" s="24">
        <v>1</v>
      </c>
      <c r="B227" s="78"/>
      <c r="C227" s="33"/>
      <c r="D227" s="79"/>
      <c r="E227" s="79"/>
      <c r="F227" s="80"/>
      <c r="G227" s="80"/>
      <c r="H227" s="79"/>
      <c r="I227" s="70" t="str">
        <f>IF(C227="Trả lại đơn vụ","",IF(C227="Trả lại đơn việc","",IF(C227="Hòa giải thành","",IF(F227=0,"",EDATE(F227,VLOOKUP(C227,'Thời hạn'!$D$1:$E$10,2,0))+H227))))</f>
        <v/>
      </c>
      <c r="J227" s="59" t="str">
        <f t="shared" ca="1" si="4"/>
        <v/>
      </c>
      <c r="K227" s="79"/>
      <c r="L227" s="135"/>
      <c r="M227" s="136"/>
      <c r="N227" s="81"/>
      <c r="O227" s="80"/>
      <c r="P227" s="25"/>
      <c r="Q227" s="79"/>
      <c r="R227" s="80"/>
      <c r="S227" s="80"/>
      <c r="T227" s="138"/>
      <c r="U227" s="138"/>
      <c r="V227" s="82"/>
      <c r="W227" s="37"/>
      <c r="X227" s="71" t="str">
        <f>IF(C227="Trả lại đơn vụ","",IF(C227="Trả lại đơn việc","",IF((NETWORKDAYS(F227,G227,'Danh sách ngày nghỉ lễ'!$B$5:$B$25)-1-3)&gt;0,"Quá hạn"&amp;" "&amp;(NETWORKDAYS(F227,G227,'Danh sách ngày nghỉ lễ'!$B$5:$B$25)-1-3)&amp;" "&amp;"ngày","")))</f>
        <v/>
      </c>
      <c r="Y227" s="72" t="str">
        <f>IF(S227=0,"",IF(P227="Chuyển","",IF(P227="Nhập vào vụ khác","",IF(P227="BA",IF((S227-R227)&gt;10,"Quá hạn"&amp;" "&amp;(S227-R227-10)&amp;" "&amp;"ngày",""),IF((NETWORKDAYS(R227,S227,'Danh sách ngày nghỉ lễ'!$B$5:$B$25)-VLOOKUP(P227,'Thời hạn'!$A$17:$B$23,2,0))&gt;1,"Quá hạn"&amp;" "&amp;(NETWORKDAYS(R227,S227,'Danh sách ngày nghỉ lễ'!$B$5:$B$25)-1-VLOOKUP(P227,'Thời hạn'!$A$17:$B$23,2,0))&amp;" "&amp;"ngày","")))))</f>
        <v/>
      </c>
      <c r="Z227" s="23">
        <v>1</v>
      </c>
    </row>
    <row r="228" spans="1:26" x14ac:dyDescent="0.3">
      <c r="A228" s="24">
        <v>1</v>
      </c>
      <c r="B228" s="78"/>
      <c r="C228" s="33"/>
      <c r="D228" s="79"/>
      <c r="E228" s="79"/>
      <c r="F228" s="80"/>
      <c r="G228" s="80"/>
      <c r="H228" s="79"/>
      <c r="I228" s="70" t="str">
        <f>IF(C228="Trả lại đơn vụ","",IF(C228="Trả lại đơn việc","",IF(C228="Hòa giải thành","",IF(F228=0,"",EDATE(F228,VLOOKUP(C228,'Thời hạn'!$D$1:$E$10,2,0))+H228))))</f>
        <v/>
      </c>
      <c r="J228" s="59" t="str">
        <f t="shared" ca="1" si="4"/>
        <v/>
      </c>
      <c r="K228" s="79"/>
      <c r="L228" s="135"/>
      <c r="M228" s="136"/>
      <c r="N228" s="81"/>
      <c r="O228" s="80"/>
      <c r="P228" s="25"/>
      <c r="Q228" s="79"/>
      <c r="R228" s="80"/>
      <c r="S228" s="80"/>
      <c r="T228" s="138"/>
      <c r="U228" s="138"/>
      <c r="V228" s="82"/>
      <c r="W228" s="37"/>
      <c r="X228" s="71" t="str">
        <f>IF(C228="Trả lại đơn vụ","",IF(C228="Trả lại đơn việc","",IF((NETWORKDAYS(F228,G228,'Danh sách ngày nghỉ lễ'!$B$5:$B$25)-1-3)&gt;0,"Quá hạn"&amp;" "&amp;(NETWORKDAYS(F228,G228,'Danh sách ngày nghỉ lễ'!$B$5:$B$25)-1-3)&amp;" "&amp;"ngày","")))</f>
        <v/>
      </c>
      <c r="Y228" s="72" t="str">
        <f>IF(S228=0,"",IF(P228="Chuyển","",IF(P228="Nhập vào vụ khác","",IF(P228="BA",IF((S228-R228)&gt;10,"Quá hạn"&amp;" "&amp;(S228-R228-10)&amp;" "&amp;"ngày",""),IF((NETWORKDAYS(R228,S228,'Danh sách ngày nghỉ lễ'!$B$5:$B$25)-VLOOKUP(P228,'Thời hạn'!$A$17:$B$23,2,0))&gt;1,"Quá hạn"&amp;" "&amp;(NETWORKDAYS(R228,S228,'Danh sách ngày nghỉ lễ'!$B$5:$B$25)-1-VLOOKUP(P228,'Thời hạn'!$A$17:$B$23,2,0))&amp;" "&amp;"ngày","")))))</f>
        <v/>
      </c>
      <c r="Z228" s="23">
        <v>1</v>
      </c>
    </row>
    <row r="229" spans="1:26" x14ac:dyDescent="0.3">
      <c r="A229" s="24">
        <v>1</v>
      </c>
      <c r="B229" s="78"/>
      <c r="C229" s="33"/>
      <c r="D229" s="79"/>
      <c r="E229" s="79"/>
      <c r="F229" s="80"/>
      <c r="G229" s="80"/>
      <c r="H229" s="79"/>
      <c r="I229" s="70" t="str">
        <f>IF(C229="Trả lại đơn vụ","",IF(C229="Trả lại đơn việc","",IF(C229="Hòa giải thành","",IF(F229=0,"",EDATE(F229,VLOOKUP(C229,'Thời hạn'!$D$1:$E$10,2,0))+H229))))</f>
        <v/>
      </c>
      <c r="J229" s="59" t="str">
        <f t="shared" ca="1" si="4"/>
        <v/>
      </c>
      <c r="K229" s="79"/>
      <c r="L229" s="135"/>
      <c r="M229" s="136"/>
      <c r="N229" s="81"/>
      <c r="O229" s="80"/>
      <c r="P229" s="25"/>
      <c r="Q229" s="79"/>
      <c r="R229" s="80"/>
      <c r="S229" s="80"/>
      <c r="T229" s="138"/>
      <c r="U229" s="138"/>
      <c r="V229" s="82"/>
      <c r="W229" s="37"/>
      <c r="X229" s="71" t="str">
        <f>IF(C229="Trả lại đơn vụ","",IF(C229="Trả lại đơn việc","",IF((NETWORKDAYS(F229,G229,'Danh sách ngày nghỉ lễ'!$B$5:$B$25)-1-3)&gt;0,"Quá hạn"&amp;" "&amp;(NETWORKDAYS(F229,G229,'Danh sách ngày nghỉ lễ'!$B$5:$B$25)-1-3)&amp;" "&amp;"ngày","")))</f>
        <v/>
      </c>
      <c r="Y229" s="72" t="str">
        <f>IF(S229=0,"",IF(P229="Chuyển","",IF(P229="Nhập vào vụ khác","",IF(P229="BA",IF((S229-R229)&gt;10,"Quá hạn"&amp;" "&amp;(S229-R229-10)&amp;" "&amp;"ngày",""),IF((NETWORKDAYS(R229,S229,'Danh sách ngày nghỉ lễ'!$B$5:$B$25)-VLOOKUP(P229,'Thời hạn'!$A$17:$B$23,2,0))&gt;1,"Quá hạn"&amp;" "&amp;(NETWORKDAYS(R229,S229,'Danh sách ngày nghỉ lễ'!$B$5:$B$25)-1-VLOOKUP(P229,'Thời hạn'!$A$17:$B$23,2,0))&amp;" "&amp;"ngày","")))))</f>
        <v/>
      </c>
      <c r="Z229" s="23">
        <v>1</v>
      </c>
    </row>
    <row r="230" spans="1:26" x14ac:dyDescent="0.3">
      <c r="A230" s="24">
        <v>1</v>
      </c>
      <c r="B230" s="78"/>
      <c r="C230" s="33"/>
      <c r="D230" s="79"/>
      <c r="E230" s="79"/>
      <c r="F230" s="80"/>
      <c r="G230" s="80"/>
      <c r="H230" s="79"/>
      <c r="I230" s="70" t="str">
        <f>IF(C230="Trả lại đơn vụ","",IF(C230="Trả lại đơn việc","",IF(C230="Hòa giải thành","",IF(F230=0,"",EDATE(F230,VLOOKUP(C230,'Thời hạn'!$D$1:$E$10,2,0))+H230))))</f>
        <v/>
      </c>
      <c r="J230" s="59" t="str">
        <f t="shared" ca="1" si="4"/>
        <v/>
      </c>
      <c r="K230" s="79"/>
      <c r="L230" s="135"/>
      <c r="M230" s="136"/>
      <c r="N230" s="81"/>
      <c r="O230" s="80"/>
      <c r="P230" s="25"/>
      <c r="Q230" s="79"/>
      <c r="R230" s="80"/>
      <c r="S230" s="80"/>
      <c r="T230" s="138"/>
      <c r="U230" s="138"/>
      <c r="V230" s="82"/>
      <c r="W230" s="37"/>
      <c r="X230" s="71" t="str">
        <f>IF(C230="Trả lại đơn vụ","",IF(C230="Trả lại đơn việc","",IF((NETWORKDAYS(F230,G230,'Danh sách ngày nghỉ lễ'!$B$5:$B$25)-1-3)&gt;0,"Quá hạn"&amp;" "&amp;(NETWORKDAYS(F230,G230,'Danh sách ngày nghỉ lễ'!$B$5:$B$25)-1-3)&amp;" "&amp;"ngày","")))</f>
        <v/>
      </c>
      <c r="Y230" s="72" t="str">
        <f>IF(S230=0,"",IF(P230="Chuyển","",IF(P230="Nhập vào vụ khác","",IF(P230="BA",IF((S230-R230)&gt;10,"Quá hạn"&amp;" "&amp;(S230-R230-10)&amp;" "&amp;"ngày",""),IF((NETWORKDAYS(R230,S230,'Danh sách ngày nghỉ lễ'!$B$5:$B$25)-VLOOKUP(P230,'Thời hạn'!$A$17:$B$23,2,0))&gt;1,"Quá hạn"&amp;" "&amp;(NETWORKDAYS(R230,S230,'Danh sách ngày nghỉ lễ'!$B$5:$B$25)-1-VLOOKUP(P230,'Thời hạn'!$A$17:$B$23,2,0))&amp;" "&amp;"ngày","")))))</f>
        <v/>
      </c>
      <c r="Z230" s="23">
        <v>1</v>
      </c>
    </row>
    <row r="231" spans="1:26" x14ac:dyDescent="0.3">
      <c r="A231" s="24">
        <v>1</v>
      </c>
      <c r="B231" s="78"/>
      <c r="C231" s="33"/>
      <c r="D231" s="79"/>
      <c r="E231" s="79"/>
      <c r="F231" s="80"/>
      <c r="G231" s="80"/>
      <c r="H231" s="79"/>
      <c r="I231" s="70" t="str">
        <f>IF(C231="Trả lại đơn vụ","",IF(C231="Trả lại đơn việc","",IF(C231="Hòa giải thành","",IF(F231=0,"",EDATE(F231,VLOOKUP(C231,'Thời hạn'!$D$1:$E$10,2,0))+H231))))</f>
        <v/>
      </c>
      <c r="J231" s="59" t="str">
        <f t="shared" ca="1" si="4"/>
        <v/>
      </c>
      <c r="K231" s="79"/>
      <c r="L231" s="135"/>
      <c r="M231" s="136"/>
      <c r="N231" s="81"/>
      <c r="O231" s="80"/>
      <c r="P231" s="25"/>
      <c r="Q231" s="79"/>
      <c r="R231" s="80"/>
      <c r="S231" s="80"/>
      <c r="T231" s="138"/>
      <c r="U231" s="138"/>
      <c r="V231" s="82"/>
      <c r="W231" s="37"/>
      <c r="X231" s="71" t="str">
        <f>IF(C231="Trả lại đơn vụ","",IF(C231="Trả lại đơn việc","",IF((NETWORKDAYS(F231,G231,'Danh sách ngày nghỉ lễ'!$B$5:$B$25)-1-3)&gt;0,"Quá hạn"&amp;" "&amp;(NETWORKDAYS(F231,G231,'Danh sách ngày nghỉ lễ'!$B$5:$B$25)-1-3)&amp;" "&amp;"ngày","")))</f>
        <v/>
      </c>
      <c r="Y231" s="72" t="str">
        <f>IF(S231=0,"",IF(P231="Chuyển","",IF(P231="Nhập vào vụ khác","",IF(P231="BA",IF((S231-R231)&gt;10,"Quá hạn"&amp;" "&amp;(S231-R231-10)&amp;" "&amp;"ngày",""),IF((NETWORKDAYS(R231,S231,'Danh sách ngày nghỉ lễ'!$B$5:$B$25)-VLOOKUP(P231,'Thời hạn'!$A$17:$B$23,2,0))&gt;1,"Quá hạn"&amp;" "&amp;(NETWORKDAYS(R231,S231,'Danh sách ngày nghỉ lễ'!$B$5:$B$25)-1-VLOOKUP(P231,'Thời hạn'!$A$17:$B$23,2,0))&amp;" "&amp;"ngày","")))))</f>
        <v/>
      </c>
      <c r="Z231" s="23">
        <v>1</v>
      </c>
    </row>
    <row r="232" spans="1:26" x14ac:dyDescent="0.3">
      <c r="A232" s="24">
        <v>1</v>
      </c>
      <c r="B232" s="78"/>
      <c r="C232" s="33"/>
      <c r="D232" s="79"/>
      <c r="E232" s="79"/>
      <c r="F232" s="80"/>
      <c r="G232" s="80"/>
      <c r="H232" s="79"/>
      <c r="I232" s="70" t="str">
        <f>IF(C232="Trả lại đơn vụ","",IF(C232="Trả lại đơn việc","",IF(C232="Hòa giải thành","",IF(F232=0,"",EDATE(F232,VLOOKUP(C232,'Thời hạn'!$D$1:$E$10,2,0))+H232))))</f>
        <v/>
      </c>
      <c r="J232" s="59" t="str">
        <f t="shared" ca="1" si="4"/>
        <v/>
      </c>
      <c r="K232" s="79"/>
      <c r="L232" s="135"/>
      <c r="M232" s="136"/>
      <c r="N232" s="81"/>
      <c r="O232" s="80"/>
      <c r="P232" s="25"/>
      <c r="Q232" s="79"/>
      <c r="R232" s="80"/>
      <c r="S232" s="80"/>
      <c r="T232" s="138"/>
      <c r="U232" s="138"/>
      <c r="V232" s="82"/>
      <c r="W232" s="37"/>
      <c r="X232" s="71" t="str">
        <f>IF(C232="Trả lại đơn vụ","",IF(C232="Trả lại đơn việc","",IF((NETWORKDAYS(F232,G232,'Danh sách ngày nghỉ lễ'!$B$5:$B$25)-1-3)&gt;0,"Quá hạn"&amp;" "&amp;(NETWORKDAYS(F232,G232,'Danh sách ngày nghỉ lễ'!$B$5:$B$25)-1-3)&amp;" "&amp;"ngày","")))</f>
        <v/>
      </c>
      <c r="Y232" s="72" t="str">
        <f>IF(S232=0,"",IF(P232="Chuyển","",IF(P232="Nhập vào vụ khác","",IF(P232="BA",IF((S232-R232)&gt;10,"Quá hạn"&amp;" "&amp;(S232-R232-10)&amp;" "&amp;"ngày",""),IF((NETWORKDAYS(R232,S232,'Danh sách ngày nghỉ lễ'!$B$5:$B$25)-VLOOKUP(P232,'Thời hạn'!$A$17:$B$23,2,0))&gt;1,"Quá hạn"&amp;" "&amp;(NETWORKDAYS(R232,S232,'Danh sách ngày nghỉ lễ'!$B$5:$B$25)-1-VLOOKUP(P232,'Thời hạn'!$A$17:$B$23,2,0))&amp;" "&amp;"ngày","")))))</f>
        <v/>
      </c>
      <c r="Z232" s="23">
        <v>1</v>
      </c>
    </row>
    <row r="233" spans="1:26" x14ac:dyDescent="0.3">
      <c r="A233" s="24">
        <v>1</v>
      </c>
      <c r="B233" s="78"/>
      <c r="C233" s="33"/>
      <c r="D233" s="79"/>
      <c r="E233" s="79"/>
      <c r="F233" s="80"/>
      <c r="G233" s="80"/>
      <c r="H233" s="79"/>
      <c r="I233" s="70" t="str">
        <f>IF(C233="Trả lại đơn vụ","",IF(C233="Trả lại đơn việc","",IF(C233="Hòa giải thành","",IF(F233=0,"",EDATE(F233,VLOOKUP(C233,'Thời hạn'!$D$1:$E$10,2,0))+H233))))</f>
        <v/>
      </c>
      <c r="J233" s="59" t="str">
        <f t="shared" ca="1" si="4"/>
        <v/>
      </c>
      <c r="K233" s="79"/>
      <c r="L233" s="135"/>
      <c r="M233" s="136"/>
      <c r="N233" s="81"/>
      <c r="O233" s="80"/>
      <c r="P233" s="25"/>
      <c r="Q233" s="79"/>
      <c r="R233" s="80"/>
      <c r="S233" s="80"/>
      <c r="T233" s="138"/>
      <c r="U233" s="138"/>
      <c r="V233" s="82"/>
      <c r="W233" s="37"/>
      <c r="X233" s="71" t="str">
        <f>IF(C233="Trả lại đơn vụ","",IF(C233="Trả lại đơn việc","",IF((NETWORKDAYS(F233,G233,'Danh sách ngày nghỉ lễ'!$B$5:$B$25)-1-3)&gt;0,"Quá hạn"&amp;" "&amp;(NETWORKDAYS(F233,G233,'Danh sách ngày nghỉ lễ'!$B$5:$B$25)-1-3)&amp;" "&amp;"ngày","")))</f>
        <v/>
      </c>
      <c r="Y233" s="72" t="str">
        <f>IF(S233=0,"",IF(P233="Chuyển","",IF(P233="Nhập vào vụ khác","",IF(P233="BA",IF((S233-R233)&gt;10,"Quá hạn"&amp;" "&amp;(S233-R233-10)&amp;" "&amp;"ngày",""),IF((NETWORKDAYS(R233,S233,'Danh sách ngày nghỉ lễ'!$B$5:$B$25)-VLOOKUP(P233,'Thời hạn'!$A$17:$B$23,2,0))&gt;1,"Quá hạn"&amp;" "&amp;(NETWORKDAYS(R233,S233,'Danh sách ngày nghỉ lễ'!$B$5:$B$25)-1-VLOOKUP(P233,'Thời hạn'!$A$17:$B$23,2,0))&amp;" "&amp;"ngày","")))))</f>
        <v/>
      </c>
      <c r="Z233" s="23">
        <v>1</v>
      </c>
    </row>
    <row r="234" spans="1:26" x14ac:dyDescent="0.3">
      <c r="A234" s="24">
        <v>1</v>
      </c>
      <c r="B234" s="78"/>
      <c r="C234" s="33"/>
      <c r="D234" s="79"/>
      <c r="E234" s="79"/>
      <c r="F234" s="80"/>
      <c r="G234" s="80"/>
      <c r="H234" s="79"/>
      <c r="I234" s="70" t="str">
        <f>IF(C234="Trả lại đơn vụ","",IF(C234="Trả lại đơn việc","",IF(C234="Hòa giải thành","",IF(F234=0,"",EDATE(F234,VLOOKUP(C234,'Thời hạn'!$D$1:$E$10,2,0))+H234))))</f>
        <v/>
      </c>
      <c r="J234" s="59" t="str">
        <f t="shared" ca="1" si="4"/>
        <v/>
      </c>
      <c r="K234" s="79"/>
      <c r="L234" s="135"/>
      <c r="M234" s="136"/>
      <c r="N234" s="81"/>
      <c r="O234" s="80"/>
      <c r="P234" s="25"/>
      <c r="Q234" s="79"/>
      <c r="R234" s="80"/>
      <c r="S234" s="80"/>
      <c r="T234" s="138"/>
      <c r="U234" s="138"/>
      <c r="V234" s="82"/>
      <c r="W234" s="37"/>
      <c r="X234" s="71" t="str">
        <f>IF(C234="Trả lại đơn vụ","",IF(C234="Trả lại đơn việc","",IF((NETWORKDAYS(F234,G234,'Danh sách ngày nghỉ lễ'!$B$5:$B$25)-1-3)&gt;0,"Quá hạn"&amp;" "&amp;(NETWORKDAYS(F234,G234,'Danh sách ngày nghỉ lễ'!$B$5:$B$25)-1-3)&amp;" "&amp;"ngày","")))</f>
        <v/>
      </c>
      <c r="Y234" s="72" t="str">
        <f>IF(S234=0,"",IF(P234="Chuyển","",IF(P234="Nhập vào vụ khác","",IF(P234="BA",IF((S234-R234)&gt;10,"Quá hạn"&amp;" "&amp;(S234-R234-10)&amp;" "&amp;"ngày",""),IF((NETWORKDAYS(R234,S234,'Danh sách ngày nghỉ lễ'!$B$5:$B$25)-VLOOKUP(P234,'Thời hạn'!$A$17:$B$23,2,0))&gt;1,"Quá hạn"&amp;" "&amp;(NETWORKDAYS(R234,S234,'Danh sách ngày nghỉ lễ'!$B$5:$B$25)-1-VLOOKUP(P234,'Thời hạn'!$A$17:$B$23,2,0))&amp;" "&amp;"ngày","")))))</f>
        <v/>
      </c>
      <c r="Z234" s="23">
        <v>1</v>
      </c>
    </row>
    <row r="235" spans="1:26" x14ac:dyDescent="0.3">
      <c r="A235" s="24">
        <v>1</v>
      </c>
      <c r="B235" s="78"/>
      <c r="C235" s="33"/>
      <c r="D235" s="79"/>
      <c r="E235" s="79"/>
      <c r="F235" s="80"/>
      <c r="G235" s="80"/>
      <c r="H235" s="79"/>
      <c r="I235" s="70" t="str">
        <f>IF(C235="Trả lại đơn vụ","",IF(C235="Trả lại đơn việc","",IF(C235="Hòa giải thành","",IF(F235=0,"",EDATE(F235,VLOOKUP(C235,'Thời hạn'!$D$1:$E$10,2,0))+H235))))</f>
        <v/>
      </c>
      <c r="J235" s="59" t="str">
        <f t="shared" ca="1" si="4"/>
        <v/>
      </c>
      <c r="K235" s="79"/>
      <c r="L235" s="135"/>
      <c r="M235" s="136"/>
      <c r="N235" s="81"/>
      <c r="O235" s="80"/>
      <c r="P235" s="25"/>
      <c r="Q235" s="79"/>
      <c r="R235" s="80"/>
      <c r="S235" s="80"/>
      <c r="T235" s="138"/>
      <c r="U235" s="138"/>
      <c r="V235" s="82"/>
      <c r="W235" s="37"/>
      <c r="X235" s="71" t="str">
        <f>IF(C235="Trả lại đơn vụ","",IF(C235="Trả lại đơn việc","",IF((NETWORKDAYS(F235,G235,'Danh sách ngày nghỉ lễ'!$B$5:$B$25)-1-3)&gt;0,"Quá hạn"&amp;" "&amp;(NETWORKDAYS(F235,G235,'Danh sách ngày nghỉ lễ'!$B$5:$B$25)-1-3)&amp;" "&amp;"ngày","")))</f>
        <v/>
      </c>
      <c r="Y235" s="72" t="str">
        <f>IF(S235=0,"",IF(P235="Chuyển","",IF(P235="Nhập vào vụ khác","",IF(P235="BA",IF((S235-R235)&gt;10,"Quá hạn"&amp;" "&amp;(S235-R235-10)&amp;" "&amp;"ngày",""),IF((NETWORKDAYS(R235,S235,'Danh sách ngày nghỉ lễ'!$B$5:$B$25)-VLOOKUP(P235,'Thời hạn'!$A$17:$B$23,2,0))&gt;1,"Quá hạn"&amp;" "&amp;(NETWORKDAYS(R235,S235,'Danh sách ngày nghỉ lễ'!$B$5:$B$25)-1-VLOOKUP(P235,'Thời hạn'!$A$17:$B$23,2,0))&amp;" "&amp;"ngày","")))))</f>
        <v/>
      </c>
      <c r="Z235" s="23">
        <v>1</v>
      </c>
    </row>
    <row r="236" spans="1:26" x14ac:dyDescent="0.3">
      <c r="B236" s="78"/>
      <c r="C236" s="33"/>
      <c r="D236" s="79"/>
      <c r="E236" s="79"/>
      <c r="F236" s="80"/>
      <c r="G236" s="80"/>
      <c r="H236" s="79"/>
      <c r="I236" s="70" t="str">
        <f>IF(C236="Trả lại đơn vụ","",IF(C236="Trả lại đơn việc","",IF(C236="Hòa giải thành","",IF(F236=0,"",EDATE(F236,VLOOKUP(C236,'Thời hạn'!$D$1:$E$10,2,0))+H236))))</f>
        <v/>
      </c>
      <c r="J236" s="59" t="str">
        <f t="shared" ca="1" si="4"/>
        <v/>
      </c>
      <c r="K236" s="79"/>
      <c r="L236" s="135"/>
      <c r="M236" s="136"/>
      <c r="N236" s="81"/>
      <c r="O236" s="80"/>
      <c r="P236" s="25"/>
      <c r="Q236" s="79"/>
      <c r="R236" s="80"/>
      <c r="S236" s="80"/>
      <c r="T236" s="138"/>
      <c r="U236" s="138"/>
      <c r="V236" s="82"/>
      <c r="W236" s="37"/>
      <c r="X236" s="71" t="str">
        <f>IF(C236="Trả lại đơn vụ","",IF(C236="Trả lại đơn việc","",IF((NETWORKDAYS(F236,G236,'Danh sách ngày nghỉ lễ'!$B$5:$B$25)-1-3)&gt;0,"Quá hạn"&amp;" "&amp;(NETWORKDAYS(F236,G236,'Danh sách ngày nghỉ lễ'!$B$5:$B$25)-1-3)&amp;" "&amp;"ngày","")))</f>
        <v/>
      </c>
      <c r="Y236" s="72" t="str">
        <f>IF(S236=0,"",IF(P236="Chuyển","",IF(P236="Nhập vào vụ khác","",IF(P236="BA",IF((S236-R236)&gt;10,"Quá hạn"&amp;" "&amp;(S236-R236-10)&amp;" "&amp;"ngày",""),IF((NETWORKDAYS(R236,S236,'Danh sách ngày nghỉ lễ'!$B$5:$B$25)-VLOOKUP(P236,'Thời hạn'!$A$17:$B$23,2,0))&gt;1,"Quá hạn"&amp;" "&amp;(NETWORKDAYS(R236,S236,'Danh sách ngày nghỉ lễ'!$B$5:$B$25)-1-VLOOKUP(P236,'Thời hạn'!$A$17:$B$23,2,0))&amp;" "&amp;"ngày","")))))</f>
        <v/>
      </c>
      <c r="Z236" s="23">
        <v>1</v>
      </c>
    </row>
    <row r="237" spans="1:26" x14ac:dyDescent="0.3">
      <c r="B237" s="78"/>
      <c r="C237" s="33"/>
      <c r="D237" s="79"/>
      <c r="E237" s="79"/>
      <c r="F237" s="80"/>
      <c r="G237" s="80"/>
      <c r="H237" s="79"/>
      <c r="I237" s="70" t="str">
        <f>IF(C237="Trả lại đơn vụ","",IF(C237="Trả lại đơn việc","",IF(C237="Hòa giải thành","",IF(F237=0,"",EDATE(F237,VLOOKUP(C237,'Thời hạn'!$D$1:$E$10,2,0))+H237))))</f>
        <v/>
      </c>
      <c r="J237" s="59" t="str">
        <f t="shared" ca="1" si="4"/>
        <v/>
      </c>
      <c r="K237" s="79"/>
      <c r="L237" s="135"/>
      <c r="M237" s="136"/>
      <c r="N237" s="81"/>
      <c r="O237" s="80"/>
      <c r="P237" s="25"/>
      <c r="Q237" s="79"/>
      <c r="R237" s="80"/>
      <c r="S237" s="80"/>
      <c r="T237" s="138"/>
      <c r="U237" s="138"/>
      <c r="V237" s="82"/>
      <c r="W237" s="37"/>
      <c r="X237" s="71" t="str">
        <f>IF(C237="Trả lại đơn vụ","",IF(C237="Trả lại đơn việc","",IF((NETWORKDAYS(F237,G237,'Danh sách ngày nghỉ lễ'!$B$5:$B$25)-1-3)&gt;0,"Quá hạn"&amp;" "&amp;(NETWORKDAYS(F237,G237,'Danh sách ngày nghỉ lễ'!$B$5:$B$25)-1-3)&amp;" "&amp;"ngày","")))</f>
        <v/>
      </c>
      <c r="Y237" s="72" t="str">
        <f>IF(S237=0,"",IF(P237="Chuyển","",IF(P237="Nhập vào vụ khác","",IF(P237="BA",IF((S237-R237)&gt;10,"Quá hạn"&amp;" "&amp;(S237-R237-10)&amp;" "&amp;"ngày",""),IF((NETWORKDAYS(R237,S237,'Danh sách ngày nghỉ lễ'!$B$5:$B$25)-VLOOKUP(P237,'Thời hạn'!$A$17:$B$23,2,0))&gt;1,"Quá hạn"&amp;" "&amp;(NETWORKDAYS(R237,S237,'Danh sách ngày nghỉ lễ'!$B$5:$B$25)-1-VLOOKUP(P237,'Thời hạn'!$A$17:$B$23,2,0))&amp;" "&amp;"ngày","")))))</f>
        <v/>
      </c>
      <c r="Z237" s="23">
        <v>1</v>
      </c>
    </row>
    <row r="238" spans="1:26" x14ac:dyDescent="0.3">
      <c r="B238" s="78"/>
      <c r="C238" s="33"/>
      <c r="D238" s="79"/>
      <c r="E238" s="79"/>
      <c r="F238" s="80"/>
      <c r="G238" s="80"/>
      <c r="H238" s="79"/>
      <c r="I238" s="70" t="str">
        <f>IF(C238="Trả lại đơn vụ","",IF(C238="Trả lại đơn việc","",IF(C238="Hòa giải thành","",IF(F238=0,"",EDATE(F238,VLOOKUP(C238,'Thời hạn'!$D$1:$E$10,2,0))+H238))))</f>
        <v/>
      </c>
      <c r="J238" s="59" t="str">
        <f t="shared" ca="1" si="4"/>
        <v/>
      </c>
      <c r="K238" s="79"/>
      <c r="L238" s="135"/>
      <c r="M238" s="136"/>
      <c r="N238" s="81"/>
      <c r="O238" s="80"/>
      <c r="P238" s="25"/>
      <c r="Q238" s="79"/>
      <c r="R238" s="80"/>
      <c r="S238" s="80"/>
      <c r="T238" s="138"/>
      <c r="U238" s="138"/>
      <c r="V238" s="82"/>
      <c r="W238" s="37"/>
      <c r="X238" s="71" t="str">
        <f>IF(C238="Trả lại đơn vụ","",IF(C238="Trả lại đơn việc","",IF((NETWORKDAYS(F238,G238,'Danh sách ngày nghỉ lễ'!$B$5:$B$25)-1-3)&gt;0,"Quá hạn"&amp;" "&amp;(NETWORKDAYS(F238,G238,'Danh sách ngày nghỉ lễ'!$B$5:$B$25)-1-3)&amp;" "&amp;"ngày","")))</f>
        <v/>
      </c>
      <c r="Y238" s="72" t="str">
        <f>IF(S238=0,"",IF(P238="Chuyển","",IF(P238="Nhập vào vụ khác","",IF(P238="BA",IF((S238-R238)&gt;10,"Quá hạn"&amp;" "&amp;(S238-R238-10)&amp;" "&amp;"ngày",""),IF((NETWORKDAYS(R238,S238,'Danh sách ngày nghỉ lễ'!$B$5:$B$25)-VLOOKUP(P238,'Thời hạn'!$A$17:$B$23,2,0))&gt;1,"Quá hạn"&amp;" "&amp;(NETWORKDAYS(R238,S238,'Danh sách ngày nghỉ lễ'!$B$5:$B$25)-1-VLOOKUP(P238,'Thời hạn'!$A$17:$B$23,2,0))&amp;" "&amp;"ngày","")))))</f>
        <v/>
      </c>
      <c r="Z238" s="23">
        <v>1</v>
      </c>
    </row>
    <row r="239" spans="1:26" x14ac:dyDescent="0.3">
      <c r="B239" s="78"/>
      <c r="C239" s="33"/>
      <c r="D239" s="79"/>
      <c r="E239" s="79"/>
      <c r="F239" s="80"/>
      <c r="G239" s="80"/>
      <c r="H239" s="79"/>
      <c r="I239" s="70" t="str">
        <f>IF(C239="Trả lại đơn vụ","",IF(C239="Trả lại đơn việc","",IF(C239="Hòa giải thành","",IF(F239=0,"",EDATE(F239,VLOOKUP(C239,'Thời hạn'!$D$1:$E$10,2,0))+H239))))</f>
        <v/>
      </c>
      <c r="J239" s="59" t="str">
        <f t="shared" ca="1" si="4"/>
        <v/>
      </c>
      <c r="K239" s="79"/>
      <c r="L239" s="135"/>
      <c r="M239" s="136"/>
      <c r="N239" s="81"/>
      <c r="O239" s="80"/>
      <c r="P239" s="25"/>
      <c r="Q239" s="79"/>
      <c r="R239" s="80"/>
      <c r="S239" s="80"/>
      <c r="T239" s="138"/>
      <c r="U239" s="138"/>
      <c r="V239" s="82"/>
      <c r="W239" s="37"/>
      <c r="X239" s="71" t="str">
        <f>IF(C239="Trả lại đơn vụ","",IF(C239="Trả lại đơn việc","",IF((NETWORKDAYS(F239,G239,'Danh sách ngày nghỉ lễ'!$B$5:$B$25)-1-3)&gt;0,"Quá hạn"&amp;" "&amp;(NETWORKDAYS(F239,G239,'Danh sách ngày nghỉ lễ'!$B$5:$B$25)-1-3)&amp;" "&amp;"ngày","")))</f>
        <v/>
      </c>
      <c r="Y239" s="72" t="str">
        <f>IF(S239=0,"",IF(P239="Chuyển","",IF(P239="Nhập vào vụ khác","",IF(P239="BA",IF((S239-R239)&gt;10,"Quá hạn"&amp;" "&amp;(S239-R239-10)&amp;" "&amp;"ngày",""),IF((NETWORKDAYS(R239,S239,'Danh sách ngày nghỉ lễ'!$B$5:$B$25)-VLOOKUP(P239,'Thời hạn'!$A$17:$B$23,2,0))&gt;1,"Quá hạn"&amp;" "&amp;(NETWORKDAYS(R239,S239,'Danh sách ngày nghỉ lễ'!$B$5:$B$25)-1-VLOOKUP(P239,'Thời hạn'!$A$17:$B$23,2,0))&amp;" "&amp;"ngày","")))))</f>
        <v/>
      </c>
      <c r="Z239" s="23">
        <v>1</v>
      </c>
    </row>
    <row r="240" spans="1:26" x14ac:dyDescent="0.3">
      <c r="B240" s="78"/>
      <c r="C240" s="33"/>
      <c r="D240" s="79"/>
      <c r="E240" s="79"/>
      <c r="F240" s="80"/>
      <c r="G240" s="80"/>
      <c r="H240" s="79"/>
      <c r="I240" s="70" t="str">
        <f>IF(C240="Trả lại đơn vụ","",IF(C240="Trả lại đơn việc","",IF(C240="Hòa giải thành","",IF(F240=0,"",EDATE(F240,VLOOKUP(C240,'Thời hạn'!$D$1:$E$10,2,0))+H240))))</f>
        <v/>
      </c>
      <c r="J240" s="59" t="str">
        <f t="shared" ca="1" si="4"/>
        <v/>
      </c>
      <c r="K240" s="79"/>
      <c r="L240" s="135"/>
      <c r="M240" s="136"/>
      <c r="N240" s="81"/>
      <c r="O240" s="80"/>
      <c r="P240" s="25"/>
      <c r="Q240" s="79"/>
      <c r="R240" s="80"/>
      <c r="S240" s="80"/>
      <c r="T240" s="138"/>
      <c r="U240" s="138"/>
      <c r="V240" s="82"/>
      <c r="W240" s="37"/>
      <c r="X240" s="71" t="str">
        <f>IF(C240="Trả lại đơn vụ","",IF(C240="Trả lại đơn việc","",IF((NETWORKDAYS(F240,G240,'Danh sách ngày nghỉ lễ'!$B$5:$B$25)-1-3)&gt;0,"Quá hạn"&amp;" "&amp;(NETWORKDAYS(F240,G240,'Danh sách ngày nghỉ lễ'!$B$5:$B$25)-1-3)&amp;" "&amp;"ngày","")))</f>
        <v/>
      </c>
      <c r="Y240" s="72" t="str">
        <f>IF(S240=0,"",IF(P240="Chuyển","",IF(P240="Nhập vào vụ khác","",IF(P240="BA",IF((S240-R240)&gt;10,"Quá hạn"&amp;" "&amp;(S240-R240-10)&amp;" "&amp;"ngày",""),IF((NETWORKDAYS(R240,S240,'Danh sách ngày nghỉ lễ'!$B$5:$B$25)-VLOOKUP(P240,'Thời hạn'!$A$17:$B$23,2,0))&gt;1,"Quá hạn"&amp;" "&amp;(NETWORKDAYS(R240,S240,'Danh sách ngày nghỉ lễ'!$B$5:$B$25)-1-VLOOKUP(P240,'Thời hạn'!$A$17:$B$23,2,0))&amp;" "&amp;"ngày","")))))</f>
        <v/>
      </c>
      <c r="Z240" s="23">
        <v>1</v>
      </c>
    </row>
    <row r="241" spans="2:26" x14ac:dyDescent="0.3">
      <c r="B241" s="78"/>
      <c r="C241" s="33"/>
      <c r="D241" s="79"/>
      <c r="E241" s="79"/>
      <c r="F241" s="80"/>
      <c r="G241" s="80"/>
      <c r="H241" s="79"/>
      <c r="I241" s="70" t="str">
        <f>IF(C241="Trả lại đơn vụ","",IF(C241="Trả lại đơn việc","",IF(C241="Hòa giải thành","",IF(F241=0,"",EDATE(F241,VLOOKUP(C241,'Thời hạn'!$D$1:$E$10,2,0))+H241))))</f>
        <v/>
      </c>
      <c r="J241" s="59" t="str">
        <f t="shared" ca="1" si="4"/>
        <v/>
      </c>
      <c r="K241" s="79"/>
      <c r="L241" s="135"/>
      <c r="M241" s="136"/>
      <c r="N241" s="81"/>
      <c r="O241" s="80"/>
      <c r="P241" s="25"/>
      <c r="Q241" s="79"/>
      <c r="R241" s="80"/>
      <c r="S241" s="80"/>
      <c r="T241" s="138"/>
      <c r="U241" s="138"/>
      <c r="V241" s="82"/>
      <c r="W241" s="37"/>
      <c r="X241" s="71" t="str">
        <f>IF(C241="Trả lại đơn vụ","",IF(C241="Trả lại đơn việc","",IF((NETWORKDAYS(F241,G241,'Danh sách ngày nghỉ lễ'!$B$5:$B$25)-1-3)&gt;0,"Quá hạn"&amp;" "&amp;(NETWORKDAYS(F241,G241,'Danh sách ngày nghỉ lễ'!$B$5:$B$25)-1-3)&amp;" "&amp;"ngày","")))</f>
        <v/>
      </c>
      <c r="Y241" s="72" t="str">
        <f>IF(S241=0,"",IF(P241="Chuyển","",IF(P241="Nhập vào vụ khác","",IF(P241="BA",IF((S241-R241)&gt;10,"Quá hạn"&amp;" "&amp;(S241-R241-10)&amp;" "&amp;"ngày",""),IF((NETWORKDAYS(R241,S241,'Danh sách ngày nghỉ lễ'!$B$5:$B$25)-VLOOKUP(P241,'Thời hạn'!$A$17:$B$23,2,0))&gt;1,"Quá hạn"&amp;" "&amp;(NETWORKDAYS(R241,S241,'Danh sách ngày nghỉ lễ'!$B$5:$B$25)-1-VLOOKUP(P241,'Thời hạn'!$A$17:$B$23,2,0))&amp;" "&amp;"ngày","")))))</f>
        <v/>
      </c>
      <c r="Z241" s="23">
        <v>1</v>
      </c>
    </row>
    <row r="242" spans="2:26" x14ac:dyDescent="0.3">
      <c r="B242" s="78"/>
      <c r="C242" s="33"/>
      <c r="D242" s="79"/>
      <c r="E242" s="79"/>
      <c r="F242" s="80"/>
      <c r="G242" s="80"/>
      <c r="H242" s="79"/>
      <c r="I242" s="70" t="str">
        <f>IF(C242="Trả lại đơn vụ","",IF(C242="Trả lại đơn việc","",IF(C242="Hòa giải thành","",IF(F242=0,"",EDATE(F242,VLOOKUP(C242,'Thời hạn'!$D$1:$E$10,2,0))+H242))))</f>
        <v/>
      </c>
      <c r="J242" s="59" t="str">
        <f t="shared" ca="1" si="4"/>
        <v/>
      </c>
      <c r="K242" s="79"/>
      <c r="L242" s="135"/>
      <c r="M242" s="136"/>
      <c r="N242" s="81"/>
      <c r="O242" s="80"/>
      <c r="P242" s="25"/>
      <c r="Q242" s="79"/>
      <c r="R242" s="80"/>
      <c r="S242" s="80"/>
      <c r="T242" s="138"/>
      <c r="U242" s="138"/>
      <c r="V242" s="82"/>
      <c r="W242" s="37"/>
      <c r="X242" s="71" t="str">
        <f>IF(C242="Trả lại đơn vụ","",IF(C242="Trả lại đơn việc","",IF((NETWORKDAYS(F242,G242,'Danh sách ngày nghỉ lễ'!$B$5:$B$25)-1-3)&gt;0,"Quá hạn"&amp;" "&amp;(NETWORKDAYS(F242,G242,'Danh sách ngày nghỉ lễ'!$B$5:$B$25)-1-3)&amp;" "&amp;"ngày","")))</f>
        <v/>
      </c>
      <c r="Y242" s="72" t="str">
        <f>IF(S242=0,"",IF(P242="Chuyển","",IF(P242="Nhập vào vụ khác","",IF(P242="BA",IF((S242-R242)&gt;10,"Quá hạn"&amp;" "&amp;(S242-R242-10)&amp;" "&amp;"ngày",""),IF((NETWORKDAYS(R242,S242,'Danh sách ngày nghỉ lễ'!$B$5:$B$25)-VLOOKUP(P242,'Thời hạn'!$A$17:$B$23,2,0))&gt;1,"Quá hạn"&amp;" "&amp;(NETWORKDAYS(R242,S242,'Danh sách ngày nghỉ lễ'!$B$5:$B$25)-1-VLOOKUP(P242,'Thời hạn'!$A$17:$B$23,2,0))&amp;" "&amp;"ngày","")))))</f>
        <v/>
      </c>
      <c r="Z242" s="23">
        <v>1</v>
      </c>
    </row>
    <row r="243" spans="2:26" x14ac:dyDescent="0.3">
      <c r="B243" s="78"/>
      <c r="C243" s="33"/>
      <c r="D243" s="79"/>
      <c r="E243" s="79"/>
      <c r="F243" s="80"/>
      <c r="G243" s="80"/>
      <c r="H243" s="79"/>
      <c r="I243" s="70" t="str">
        <f>IF(C243="Trả lại đơn vụ","",IF(C243="Trả lại đơn việc","",IF(C243="Hòa giải thành","",IF(F243=0,"",EDATE(F243,VLOOKUP(C243,'Thời hạn'!$D$1:$E$10,2,0))+H243))))</f>
        <v/>
      </c>
      <c r="J243" s="59" t="str">
        <f t="shared" ca="1" si="4"/>
        <v/>
      </c>
      <c r="K243" s="79"/>
      <c r="L243" s="135"/>
      <c r="M243" s="136"/>
      <c r="N243" s="81"/>
      <c r="O243" s="80"/>
      <c r="P243" s="25"/>
      <c r="Q243" s="79"/>
      <c r="R243" s="80"/>
      <c r="S243" s="80"/>
      <c r="T243" s="138"/>
      <c r="U243" s="138"/>
      <c r="V243" s="82"/>
      <c r="W243" s="37"/>
      <c r="X243" s="71" t="str">
        <f>IF(C243="Trả lại đơn vụ","",IF(C243="Trả lại đơn việc","",IF((NETWORKDAYS(F243,G243,'Danh sách ngày nghỉ lễ'!$B$5:$B$25)-1-3)&gt;0,"Quá hạn"&amp;" "&amp;(NETWORKDAYS(F243,G243,'Danh sách ngày nghỉ lễ'!$B$5:$B$25)-1-3)&amp;" "&amp;"ngày","")))</f>
        <v/>
      </c>
      <c r="Y243" s="72" t="str">
        <f>IF(S243=0,"",IF(P243="Chuyển","",IF(P243="Nhập vào vụ khác","",IF(P243="BA",IF((S243-R243)&gt;10,"Quá hạn"&amp;" "&amp;(S243-R243-10)&amp;" "&amp;"ngày",""),IF((NETWORKDAYS(R243,S243,'Danh sách ngày nghỉ lễ'!$B$5:$B$25)-VLOOKUP(P243,'Thời hạn'!$A$17:$B$23,2,0))&gt;1,"Quá hạn"&amp;" "&amp;(NETWORKDAYS(R243,S243,'Danh sách ngày nghỉ lễ'!$B$5:$B$25)-1-VLOOKUP(P243,'Thời hạn'!$A$17:$B$23,2,0))&amp;" "&amp;"ngày","")))))</f>
        <v/>
      </c>
      <c r="Z243" s="23">
        <v>1</v>
      </c>
    </row>
    <row r="244" spans="2:26" x14ac:dyDescent="0.3">
      <c r="B244" s="78"/>
      <c r="C244" s="33"/>
      <c r="D244" s="79"/>
      <c r="E244" s="79"/>
      <c r="F244" s="80"/>
      <c r="G244" s="80"/>
      <c r="H244" s="79"/>
      <c r="I244" s="70" t="str">
        <f>IF(C244="Trả lại đơn vụ","",IF(C244="Trả lại đơn việc","",IF(C244="Hòa giải thành","",IF(F244=0,"",EDATE(F244,VLOOKUP(C244,'Thời hạn'!$D$1:$E$10,2,0))+H244))))</f>
        <v/>
      </c>
      <c r="J244" s="59" t="str">
        <f t="shared" ca="1" si="4"/>
        <v/>
      </c>
      <c r="K244" s="79"/>
      <c r="L244" s="135"/>
      <c r="M244" s="136"/>
      <c r="N244" s="81"/>
      <c r="O244" s="80"/>
      <c r="P244" s="25"/>
      <c r="Q244" s="79"/>
      <c r="R244" s="80"/>
      <c r="S244" s="80"/>
      <c r="T244" s="138"/>
      <c r="U244" s="138"/>
      <c r="V244" s="82"/>
      <c r="W244" s="37"/>
      <c r="X244" s="71" t="str">
        <f>IF(C244="Trả lại đơn vụ","",IF(C244="Trả lại đơn việc","",IF((NETWORKDAYS(F244,G244,'Danh sách ngày nghỉ lễ'!$B$5:$B$25)-1-3)&gt;0,"Quá hạn"&amp;" "&amp;(NETWORKDAYS(F244,G244,'Danh sách ngày nghỉ lễ'!$B$5:$B$25)-1-3)&amp;" "&amp;"ngày","")))</f>
        <v/>
      </c>
      <c r="Y244" s="72" t="str">
        <f>IF(S244=0,"",IF(P244="Chuyển","",IF(P244="Nhập vào vụ khác","",IF(P244="BA",IF((S244-R244)&gt;10,"Quá hạn"&amp;" "&amp;(S244-R244-10)&amp;" "&amp;"ngày",""),IF((NETWORKDAYS(R244,S244,'Danh sách ngày nghỉ lễ'!$B$5:$B$25)-VLOOKUP(P244,'Thời hạn'!$A$17:$B$23,2,0))&gt;1,"Quá hạn"&amp;" "&amp;(NETWORKDAYS(R244,S244,'Danh sách ngày nghỉ lễ'!$B$5:$B$25)-1-VLOOKUP(P244,'Thời hạn'!$A$17:$B$23,2,0))&amp;" "&amp;"ngày","")))))</f>
        <v/>
      </c>
      <c r="Z244" s="23">
        <v>1</v>
      </c>
    </row>
    <row r="245" spans="2:26" x14ac:dyDescent="0.3">
      <c r="B245" s="78"/>
      <c r="C245" s="33"/>
      <c r="D245" s="79"/>
      <c r="E245" s="79"/>
      <c r="F245" s="80"/>
      <c r="G245" s="80"/>
      <c r="H245" s="79"/>
      <c r="I245" s="70" t="str">
        <f>IF(C245="Trả lại đơn vụ","",IF(C245="Trả lại đơn việc","",IF(C245="Hòa giải thành","",IF(F245=0,"",EDATE(F245,VLOOKUP(C245,'Thời hạn'!$D$1:$E$10,2,0))+H245))))</f>
        <v/>
      </c>
      <c r="J245" s="59" t="str">
        <f t="shared" ca="1" si="4"/>
        <v/>
      </c>
      <c r="K245" s="79"/>
      <c r="L245" s="135"/>
      <c r="M245" s="136"/>
      <c r="N245" s="81"/>
      <c r="O245" s="80"/>
      <c r="P245" s="25"/>
      <c r="Q245" s="79"/>
      <c r="R245" s="80"/>
      <c r="S245" s="80"/>
      <c r="T245" s="138"/>
      <c r="U245" s="138"/>
      <c r="V245" s="82"/>
      <c r="W245" s="37"/>
      <c r="X245" s="71" t="str">
        <f>IF(C245="Trả lại đơn vụ","",IF(C245="Trả lại đơn việc","",IF((NETWORKDAYS(F245,G245,'Danh sách ngày nghỉ lễ'!$B$5:$B$25)-1-3)&gt;0,"Quá hạn"&amp;" "&amp;(NETWORKDAYS(F245,G245,'Danh sách ngày nghỉ lễ'!$B$5:$B$25)-1-3)&amp;" "&amp;"ngày","")))</f>
        <v/>
      </c>
      <c r="Y245" s="72" t="str">
        <f>IF(S245=0,"",IF(P245="Chuyển","",IF(P245="Nhập vào vụ khác","",IF(P245="BA",IF((S245-R245)&gt;10,"Quá hạn"&amp;" "&amp;(S245-R245-10)&amp;" "&amp;"ngày",""),IF((NETWORKDAYS(R245,S245,'Danh sách ngày nghỉ lễ'!$B$5:$B$25)-VLOOKUP(P245,'Thời hạn'!$A$17:$B$23,2,0))&gt;1,"Quá hạn"&amp;" "&amp;(NETWORKDAYS(R245,S245,'Danh sách ngày nghỉ lễ'!$B$5:$B$25)-1-VLOOKUP(P245,'Thời hạn'!$A$17:$B$23,2,0))&amp;" "&amp;"ngày","")))))</f>
        <v/>
      </c>
      <c r="Z245" s="23">
        <v>1</v>
      </c>
    </row>
    <row r="246" spans="2:26" x14ac:dyDescent="0.3">
      <c r="B246" s="78"/>
      <c r="C246" s="33"/>
      <c r="D246" s="79"/>
      <c r="E246" s="79"/>
      <c r="F246" s="80"/>
      <c r="G246" s="80"/>
      <c r="H246" s="79"/>
      <c r="I246" s="70" t="str">
        <f>IF(C246="Trả lại đơn vụ","",IF(C246="Trả lại đơn việc","",IF(C246="Hòa giải thành","",IF(F246=0,"",EDATE(F246,VLOOKUP(C246,'Thời hạn'!$D$1:$E$10,2,0))+H246))))</f>
        <v/>
      </c>
      <c r="J246" s="59" t="str">
        <f t="shared" ca="1" si="4"/>
        <v/>
      </c>
      <c r="K246" s="79"/>
      <c r="L246" s="135"/>
      <c r="M246" s="136"/>
      <c r="N246" s="81"/>
      <c r="O246" s="80"/>
      <c r="P246" s="25"/>
      <c r="Q246" s="79"/>
      <c r="R246" s="80"/>
      <c r="S246" s="80"/>
      <c r="T246" s="138"/>
      <c r="U246" s="138"/>
      <c r="V246" s="82"/>
      <c r="W246" s="37"/>
      <c r="X246" s="71" t="str">
        <f>IF(C246="Trả lại đơn vụ","",IF(C246="Trả lại đơn việc","",IF((NETWORKDAYS(F246,G246,'Danh sách ngày nghỉ lễ'!$B$5:$B$25)-1-3)&gt;0,"Quá hạn"&amp;" "&amp;(NETWORKDAYS(F246,G246,'Danh sách ngày nghỉ lễ'!$B$5:$B$25)-1-3)&amp;" "&amp;"ngày","")))</f>
        <v/>
      </c>
      <c r="Y246" s="72" t="str">
        <f>IF(S246=0,"",IF(P246="Chuyển","",IF(P246="Nhập vào vụ khác","",IF(P246="BA",IF((S246-R246)&gt;10,"Quá hạn"&amp;" "&amp;(S246-R246-10)&amp;" "&amp;"ngày",""),IF((NETWORKDAYS(R246,S246,'Danh sách ngày nghỉ lễ'!$B$5:$B$25)-VLOOKUP(P246,'Thời hạn'!$A$17:$B$23,2,0))&gt;1,"Quá hạn"&amp;" "&amp;(NETWORKDAYS(R246,S246,'Danh sách ngày nghỉ lễ'!$B$5:$B$25)-1-VLOOKUP(P246,'Thời hạn'!$A$17:$B$23,2,0))&amp;" "&amp;"ngày","")))))</f>
        <v/>
      </c>
      <c r="Z246" s="23">
        <v>1</v>
      </c>
    </row>
    <row r="247" spans="2:26" x14ac:dyDescent="0.3">
      <c r="B247" s="78"/>
      <c r="C247" s="33"/>
      <c r="D247" s="79"/>
      <c r="E247" s="79"/>
      <c r="F247" s="80"/>
      <c r="G247" s="80"/>
      <c r="H247" s="79"/>
      <c r="I247" s="70" t="str">
        <f>IF(C247="Trả lại đơn vụ","",IF(C247="Trả lại đơn việc","",IF(C247="Hòa giải thành","",IF(F247=0,"",EDATE(F247,VLOOKUP(C247,'Thời hạn'!$D$1:$E$10,2,0))+H247))))</f>
        <v/>
      </c>
      <c r="J247" s="59" t="str">
        <f t="shared" ca="1" si="4"/>
        <v/>
      </c>
      <c r="K247" s="79"/>
      <c r="L247" s="135"/>
      <c r="M247" s="136"/>
      <c r="N247" s="81"/>
      <c r="O247" s="80"/>
      <c r="P247" s="25"/>
      <c r="Q247" s="79"/>
      <c r="R247" s="80"/>
      <c r="S247" s="80"/>
      <c r="T247" s="138"/>
      <c r="U247" s="138"/>
      <c r="V247" s="82"/>
      <c r="W247" s="37"/>
      <c r="X247" s="71" t="str">
        <f>IF(C247="Trả lại đơn vụ","",IF(C247="Trả lại đơn việc","",IF((NETWORKDAYS(F247,G247,'Danh sách ngày nghỉ lễ'!$B$5:$B$25)-1-3)&gt;0,"Quá hạn"&amp;" "&amp;(NETWORKDAYS(F247,G247,'Danh sách ngày nghỉ lễ'!$B$5:$B$25)-1-3)&amp;" "&amp;"ngày","")))</f>
        <v/>
      </c>
      <c r="Y247" s="72" t="str">
        <f>IF(S247=0,"",IF(P247="Chuyển","",IF(P247="Nhập vào vụ khác","",IF(P247="BA",IF((S247-R247)&gt;10,"Quá hạn"&amp;" "&amp;(S247-R247-10)&amp;" "&amp;"ngày",""),IF((NETWORKDAYS(R247,S247,'Danh sách ngày nghỉ lễ'!$B$5:$B$25)-VLOOKUP(P247,'Thời hạn'!$A$17:$B$23,2,0))&gt;1,"Quá hạn"&amp;" "&amp;(NETWORKDAYS(R247,S247,'Danh sách ngày nghỉ lễ'!$B$5:$B$25)-1-VLOOKUP(P247,'Thời hạn'!$A$17:$B$23,2,0))&amp;" "&amp;"ngày","")))))</f>
        <v/>
      </c>
      <c r="Z247" s="23">
        <v>1</v>
      </c>
    </row>
    <row r="248" spans="2:26" x14ac:dyDescent="0.3">
      <c r="B248" s="78"/>
      <c r="C248" s="33"/>
      <c r="D248" s="79"/>
      <c r="E248" s="79"/>
      <c r="F248" s="80"/>
      <c r="G248" s="80"/>
      <c r="H248" s="79"/>
      <c r="I248" s="70" t="str">
        <f>IF(C248="Trả lại đơn vụ","",IF(C248="Trả lại đơn việc","",IF(C248="Hòa giải thành","",IF(F248=0,"",EDATE(F248,VLOOKUP(C248,'Thời hạn'!$D$1:$E$10,2,0))+H248))))</f>
        <v/>
      </c>
      <c r="J248" s="59" t="str">
        <f t="shared" ca="1" si="4"/>
        <v/>
      </c>
      <c r="K248" s="79"/>
      <c r="L248" s="135"/>
      <c r="M248" s="136"/>
      <c r="N248" s="81"/>
      <c r="O248" s="80"/>
      <c r="P248" s="25"/>
      <c r="Q248" s="79"/>
      <c r="R248" s="80"/>
      <c r="S248" s="80"/>
      <c r="T248" s="138"/>
      <c r="U248" s="138"/>
      <c r="V248" s="82"/>
      <c r="W248" s="37"/>
      <c r="X248" s="71" t="str">
        <f>IF(C248="Trả lại đơn vụ","",IF(C248="Trả lại đơn việc","",IF((NETWORKDAYS(F248,G248,'Danh sách ngày nghỉ lễ'!$B$5:$B$25)-1-3)&gt;0,"Quá hạn"&amp;" "&amp;(NETWORKDAYS(F248,G248,'Danh sách ngày nghỉ lễ'!$B$5:$B$25)-1-3)&amp;" "&amp;"ngày","")))</f>
        <v/>
      </c>
      <c r="Y248" s="72" t="str">
        <f>IF(S248=0,"",IF(P248="Chuyển","",IF(P248="Nhập vào vụ khác","",IF(P248="BA",IF((S248-R248)&gt;10,"Quá hạn"&amp;" "&amp;(S248-R248-10)&amp;" "&amp;"ngày",""),IF((NETWORKDAYS(R248,S248,'Danh sách ngày nghỉ lễ'!$B$5:$B$25)-VLOOKUP(P248,'Thời hạn'!$A$17:$B$23,2,0))&gt;1,"Quá hạn"&amp;" "&amp;(NETWORKDAYS(R248,S248,'Danh sách ngày nghỉ lễ'!$B$5:$B$25)-1-VLOOKUP(P248,'Thời hạn'!$A$17:$B$23,2,0))&amp;" "&amp;"ngày","")))))</f>
        <v/>
      </c>
      <c r="Z248" s="23">
        <v>1</v>
      </c>
    </row>
    <row r="249" spans="2:26" x14ac:dyDescent="0.3">
      <c r="B249" s="78"/>
      <c r="C249" s="33"/>
      <c r="D249" s="79"/>
      <c r="E249" s="79"/>
      <c r="F249" s="80"/>
      <c r="G249" s="80"/>
      <c r="H249" s="79"/>
      <c r="I249" s="70" t="str">
        <f>IF(C249="Trả lại đơn vụ","",IF(C249="Trả lại đơn việc","",IF(C249="Hòa giải thành","",IF(F249=0,"",EDATE(F249,VLOOKUP(C249,'Thời hạn'!$D$1:$E$10,2,0))+H249))))</f>
        <v/>
      </c>
      <c r="J249" s="59" t="str">
        <f t="shared" ca="1" si="4"/>
        <v/>
      </c>
      <c r="K249" s="79"/>
      <c r="L249" s="135"/>
      <c r="M249" s="136"/>
      <c r="N249" s="81"/>
      <c r="O249" s="80"/>
      <c r="P249" s="25"/>
      <c r="Q249" s="79"/>
      <c r="R249" s="80"/>
      <c r="S249" s="80"/>
      <c r="T249" s="138"/>
      <c r="U249" s="138"/>
      <c r="V249" s="82"/>
      <c r="W249" s="37"/>
      <c r="X249" s="71" t="str">
        <f>IF(C249="Trả lại đơn vụ","",IF(C249="Trả lại đơn việc","",IF((NETWORKDAYS(F249,G249,'Danh sách ngày nghỉ lễ'!$B$5:$B$25)-1-3)&gt;0,"Quá hạn"&amp;" "&amp;(NETWORKDAYS(F249,G249,'Danh sách ngày nghỉ lễ'!$B$5:$B$25)-1-3)&amp;" "&amp;"ngày","")))</f>
        <v/>
      </c>
      <c r="Y249" s="72" t="str">
        <f>IF(S249=0,"",IF(P249="Chuyển","",IF(P249="Nhập vào vụ khác","",IF(P249="BA",IF((S249-R249)&gt;10,"Quá hạn"&amp;" "&amp;(S249-R249-10)&amp;" "&amp;"ngày",""),IF((NETWORKDAYS(R249,S249,'Danh sách ngày nghỉ lễ'!$B$5:$B$25)-VLOOKUP(P249,'Thời hạn'!$A$17:$B$23,2,0))&gt;1,"Quá hạn"&amp;" "&amp;(NETWORKDAYS(R249,S249,'Danh sách ngày nghỉ lễ'!$B$5:$B$25)-1-VLOOKUP(P249,'Thời hạn'!$A$17:$B$23,2,0))&amp;" "&amp;"ngày","")))))</f>
        <v/>
      </c>
      <c r="Z249" s="23">
        <v>1</v>
      </c>
    </row>
    <row r="250" spans="2:26" x14ac:dyDescent="0.3">
      <c r="B250" s="78"/>
      <c r="C250" s="33"/>
      <c r="D250" s="79"/>
      <c r="E250" s="79"/>
      <c r="F250" s="80"/>
      <c r="G250" s="80"/>
      <c r="H250" s="79"/>
      <c r="I250" s="70" t="str">
        <f>IF(C250="Trả lại đơn vụ","",IF(C250="Trả lại đơn việc","",IF(C250="Hòa giải thành","",IF(F250=0,"",EDATE(F250,VLOOKUP(C250,'Thời hạn'!$D$1:$E$10,2,0))+H250))))</f>
        <v/>
      </c>
      <c r="J250" s="59" t="str">
        <f t="shared" ca="1" si="4"/>
        <v/>
      </c>
      <c r="K250" s="79"/>
      <c r="L250" s="135"/>
      <c r="M250" s="136"/>
      <c r="N250" s="81"/>
      <c r="O250" s="80"/>
      <c r="P250" s="25"/>
      <c r="Q250" s="79"/>
      <c r="R250" s="80"/>
      <c r="S250" s="80"/>
      <c r="T250" s="138"/>
      <c r="U250" s="138"/>
      <c r="V250" s="82"/>
      <c r="W250" s="37"/>
      <c r="X250" s="71" t="str">
        <f>IF(C250="Trả lại đơn vụ","",IF(C250="Trả lại đơn việc","",IF((NETWORKDAYS(F250,G250,'Danh sách ngày nghỉ lễ'!$B$5:$B$25)-1-3)&gt;0,"Quá hạn"&amp;" "&amp;(NETWORKDAYS(F250,G250,'Danh sách ngày nghỉ lễ'!$B$5:$B$25)-1-3)&amp;" "&amp;"ngày","")))</f>
        <v/>
      </c>
      <c r="Y250" s="72" t="str">
        <f>IF(S250=0,"",IF(P250="Chuyển","",IF(P250="Nhập vào vụ khác","",IF(P250="BA",IF((S250-R250)&gt;10,"Quá hạn"&amp;" "&amp;(S250-R250-10)&amp;" "&amp;"ngày",""),IF((NETWORKDAYS(R250,S250,'Danh sách ngày nghỉ lễ'!$B$5:$B$25)-VLOOKUP(P250,'Thời hạn'!$A$17:$B$23,2,0))&gt;1,"Quá hạn"&amp;" "&amp;(NETWORKDAYS(R250,S250,'Danh sách ngày nghỉ lễ'!$B$5:$B$25)-1-VLOOKUP(P250,'Thời hạn'!$A$17:$B$23,2,0))&amp;" "&amp;"ngày","")))))</f>
        <v/>
      </c>
      <c r="Z250" s="23">
        <v>1</v>
      </c>
    </row>
    <row r="251" spans="2:26" x14ac:dyDescent="0.3">
      <c r="B251" s="78"/>
      <c r="C251" s="33"/>
      <c r="D251" s="79"/>
      <c r="E251" s="79"/>
      <c r="F251" s="80"/>
      <c r="G251" s="80"/>
      <c r="H251" s="79"/>
      <c r="I251" s="70" t="str">
        <f>IF(C251="Trả lại đơn vụ","",IF(C251="Trả lại đơn việc","",IF(C251="Hòa giải thành","",IF(F251=0,"",EDATE(F251,VLOOKUP(C251,'Thời hạn'!$D$1:$E$10,2,0))+H251))))</f>
        <v/>
      </c>
      <c r="J251" s="59" t="str">
        <f t="shared" ca="1" si="4"/>
        <v/>
      </c>
      <c r="K251" s="79"/>
      <c r="L251" s="135"/>
      <c r="M251" s="136"/>
      <c r="N251" s="81"/>
      <c r="O251" s="80"/>
      <c r="P251" s="25"/>
      <c r="Q251" s="79"/>
      <c r="R251" s="80"/>
      <c r="S251" s="80"/>
      <c r="T251" s="138"/>
      <c r="U251" s="138"/>
      <c r="V251" s="82"/>
      <c r="W251" s="37"/>
      <c r="X251" s="71" t="str">
        <f>IF(C251="Trả lại đơn vụ","",IF(C251="Trả lại đơn việc","",IF((NETWORKDAYS(F251,G251,'Danh sách ngày nghỉ lễ'!$B$5:$B$25)-1-3)&gt;0,"Quá hạn"&amp;" "&amp;(NETWORKDAYS(F251,G251,'Danh sách ngày nghỉ lễ'!$B$5:$B$25)-1-3)&amp;" "&amp;"ngày","")))</f>
        <v/>
      </c>
      <c r="Y251" s="72" t="str">
        <f>IF(S251=0,"",IF(P251="Chuyển","",IF(P251="Nhập vào vụ khác","",IF(P251="BA",IF((S251-R251)&gt;10,"Quá hạn"&amp;" "&amp;(S251-R251-10)&amp;" "&amp;"ngày",""),IF((NETWORKDAYS(R251,S251,'Danh sách ngày nghỉ lễ'!$B$5:$B$25)-VLOOKUP(P251,'Thời hạn'!$A$17:$B$23,2,0))&gt;1,"Quá hạn"&amp;" "&amp;(NETWORKDAYS(R251,S251,'Danh sách ngày nghỉ lễ'!$B$5:$B$25)-1-VLOOKUP(P251,'Thời hạn'!$A$17:$B$23,2,0))&amp;" "&amp;"ngày","")))))</f>
        <v/>
      </c>
      <c r="Z251" s="23">
        <v>1</v>
      </c>
    </row>
    <row r="252" spans="2:26" x14ac:dyDescent="0.3">
      <c r="B252" s="78"/>
      <c r="C252" s="33"/>
      <c r="D252" s="79"/>
      <c r="E252" s="79"/>
      <c r="F252" s="80"/>
      <c r="G252" s="80"/>
      <c r="H252" s="79"/>
      <c r="I252" s="70" t="str">
        <f>IF(C252="Trả lại đơn vụ","",IF(C252="Trả lại đơn việc","",IF(C252="Hòa giải thành","",IF(F252=0,"",EDATE(F252,VLOOKUP(C252,'Thời hạn'!$D$1:$E$10,2,0))+H252))))</f>
        <v/>
      </c>
      <c r="J252" s="59" t="str">
        <f t="shared" ca="1" si="4"/>
        <v/>
      </c>
      <c r="K252" s="79"/>
      <c r="L252" s="135"/>
      <c r="M252" s="136"/>
      <c r="N252" s="81"/>
      <c r="O252" s="80"/>
      <c r="P252" s="25"/>
      <c r="Q252" s="79"/>
      <c r="R252" s="80"/>
      <c r="S252" s="80"/>
      <c r="T252" s="138"/>
      <c r="U252" s="138"/>
      <c r="V252" s="82"/>
      <c r="W252" s="37"/>
      <c r="X252" s="71" t="str">
        <f>IF(C252="Trả lại đơn vụ","",IF(C252="Trả lại đơn việc","",IF((NETWORKDAYS(F252,G252,'Danh sách ngày nghỉ lễ'!$B$5:$B$25)-1-3)&gt;0,"Quá hạn"&amp;" "&amp;(NETWORKDAYS(F252,G252,'Danh sách ngày nghỉ lễ'!$B$5:$B$25)-1-3)&amp;" "&amp;"ngày","")))</f>
        <v/>
      </c>
      <c r="Y252" s="72" t="str">
        <f>IF(S252=0,"",IF(P252="Chuyển","",IF(P252="Nhập vào vụ khác","",IF(P252="BA",IF((S252-R252)&gt;10,"Quá hạn"&amp;" "&amp;(S252-R252-10)&amp;" "&amp;"ngày",""),IF((NETWORKDAYS(R252,S252,'Danh sách ngày nghỉ lễ'!$B$5:$B$25)-VLOOKUP(P252,'Thời hạn'!$A$17:$B$23,2,0))&gt;1,"Quá hạn"&amp;" "&amp;(NETWORKDAYS(R252,S252,'Danh sách ngày nghỉ lễ'!$B$5:$B$25)-1-VLOOKUP(P252,'Thời hạn'!$A$17:$B$23,2,0))&amp;" "&amp;"ngày","")))))</f>
        <v/>
      </c>
      <c r="Z252" s="23">
        <v>1</v>
      </c>
    </row>
    <row r="253" spans="2:26" x14ac:dyDescent="0.3">
      <c r="B253" s="78"/>
      <c r="C253" s="33"/>
      <c r="D253" s="79"/>
      <c r="E253" s="79"/>
      <c r="F253" s="80"/>
      <c r="G253" s="80"/>
      <c r="H253" s="79"/>
      <c r="I253" s="70" t="str">
        <f>IF(C253="Trả lại đơn vụ","",IF(C253="Trả lại đơn việc","",IF(C253="Hòa giải thành","",IF(F253=0,"",EDATE(F253,VLOOKUP(C253,'Thời hạn'!$D$1:$E$10,2,0))+H253))))</f>
        <v/>
      </c>
      <c r="J253" s="59" t="str">
        <f t="shared" ca="1" si="4"/>
        <v/>
      </c>
      <c r="K253" s="79"/>
      <c r="L253" s="135"/>
      <c r="M253" s="136"/>
      <c r="N253" s="81"/>
      <c r="O253" s="80"/>
      <c r="P253" s="25"/>
      <c r="Q253" s="79"/>
      <c r="R253" s="80"/>
      <c r="S253" s="80"/>
      <c r="T253" s="138"/>
      <c r="U253" s="138"/>
      <c r="V253" s="82"/>
      <c r="W253" s="37"/>
      <c r="X253" s="71" t="str">
        <f>IF(C253="Trả lại đơn vụ","",IF(C253="Trả lại đơn việc","",IF((NETWORKDAYS(F253,G253,'Danh sách ngày nghỉ lễ'!$B$5:$B$25)-1-3)&gt;0,"Quá hạn"&amp;" "&amp;(NETWORKDAYS(F253,G253,'Danh sách ngày nghỉ lễ'!$B$5:$B$25)-1-3)&amp;" "&amp;"ngày","")))</f>
        <v/>
      </c>
      <c r="Y253" s="72" t="str">
        <f>IF(S253=0,"",IF(P253="Chuyển","",IF(P253="Nhập vào vụ khác","",IF(P253="BA",IF((S253-R253)&gt;10,"Quá hạn"&amp;" "&amp;(S253-R253-10)&amp;" "&amp;"ngày",""),IF((NETWORKDAYS(R253,S253,'Danh sách ngày nghỉ lễ'!$B$5:$B$25)-VLOOKUP(P253,'Thời hạn'!$A$17:$B$23,2,0))&gt;1,"Quá hạn"&amp;" "&amp;(NETWORKDAYS(R253,S253,'Danh sách ngày nghỉ lễ'!$B$5:$B$25)-1-VLOOKUP(P253,'Thời hạn'!$A$17:$B$23,2,0))&amp;" "&amp;"ngày","")))))</f>
        <v/>
      </c>
      <c r="Z253" s="23">
        <v>1</v>
      </c>
    </row>
    <row r="254" spans="2:26" x14ac:dyDescent="0.3">
      <c r="B254" s="78"/>
      <c r="C254" s="33"/>
      <c r="D254" s="79"/>
      <c r="E254" s="79"/>
      <c r="F254" s="80"/>
      <c r="G254" s="80"/>
      <c r="H254" s="79"/>
      <c r="I254" s="70" t="str">
        <f>IF(C254="Trả lại đơn vụ","",IF(C254="Trả lại đơn việc","",IF(C254="Hòa giải thành","",IF(F254=0,"",EDATE(F254,VLOOKUP(C254,'Thời hạn'!$D$1:$E$10,2,0))+H254))))</f>
        <v/>
      </c>
      <c r="J254" s="59" t="str">
        <f t="shared" ca="1" si="4"/>
        <v/>
      </c>
      <c r="K254" s="79"/>
      <c r="L254" s="135"/>
      <c r="M254" s="136"/>
      <c r="N254" s="81"/>
      <c r="O254" s="80"/>
      <c r="P254" s="25"/>
      <c r="Q254" s="79"/>
      <c r="R254" s="80"/>
      <c r="S254" s="80"/>
      <c r="T254" s="138"/>
      <c r="U254" s="138"/>
      <c r="V254" s="82"/>
      <c r="W254" s="37"/>
      <c r="X254" s="71" t="str">
        <f>IF(C254="Trả lại đơn vụ","",IF(C254="Trả lại đơn việc","",IF((NETWORKDAYS(F254,G254,'Danh sách ngày nghỉ lễ'!$B$5:$B$25)-1-3)&gt;0,"Quá hạn"&amp;" "&amp;(NETWORKDAYS(F254,G254,'Danh sách ngày nghỉ lễ'!$B$5:$B$25)-1-3)&amp;" "&amp;"ngày","")))</f>
        <v/>
      </c>
      <c r="Y254" s="72" t="str">
        <f>IF(S254=0,"",IF(P254="Chuyển","",IF(P254="Nhập vào vụ khác","",IF(P254="BA",IF((S254-R254)&gt;10,"Quá hạn"&amp;" "&amp;(S254-R254-10)&amp;" "&amp;"ngày",""),IF((NETWORKDAYS(R254,S254,'Danh sách ngày nghỉ lễ'!$B$5:$B$25)-VLOOKUP(P254,'Thời hạn'!$A$17:$B$23,2,0))&gt;1,"Quá hạn"&amp;" "&amp;(NETWORKDAYS(R254,S254,'Danh sách ngày nghỉ lễ'!$B$5:$B$25)-1-VLOOKUP(P254,'Thời hạn'!$A$17:$B$23,2,0))&amp;" "&amp;"ngày","")))))</f>
        <v/>
      </c>
      <c r="Z254" s="23">
        <v>1</v>
      </c>
    </row>
    <row r="255" spans="2:26" x14ac:dyDescent="0.3">
      <c r="B255" s="78"/>
      <c r="C255" s="33"/>
      <c r="D255" s="79"/>
      <c r="E255" s="79"/>
      <c r="F255" s="80"/>
      <c r="G255" s="80"/>
      <c r="H255" s="79"/>
      <c r="I255" s="70" t="str">
        <f>IF(C255="Trả lại đơn vụ","",IF(C255="Trả lại đơn việc","",IF(C255="Hòa giải thành","",IF(F255=0,"",EDATE(F255,VLOOKUP(C255,'Thời hạn'!$D$1:$E$10,2,0))+H255))))</f>
        <v/>
      </c>
      <c r="J255" s="59" t="str">
        <f t="shared" ca="1" si="4"/>
        <v/>
      </c>
      <c r="K255" s="79"/>
      <c r="L255" s="135"/>
      <c r="M255" s="136"/>
      <c r="N255" s="81"/>
      <c r="O255" s="80"/>
      <c r="P255" s="25"/>
      <c r="Q255" s="79"/>
      <c r="R255" s="80"/>
      <c r="S255" s="80"/>
      <c r="T255" s="138"/>
      <c r="U255" s="138"/>
      <c r="V255" s="82"/>
      <c r="W255" s="37"/>
      <c r="X255" s="71" t="str">
        <f>IF(C255="Trả lại đơn vụ","",IF(C255="Trả lại đơn việc","",IF((NETWORKDAYS(F255,G255,'Danh sách ngày nghỉ lễ'!$B$5:$B$25)-1-3)&gt;0,"Quá hạn"&amp;" "&amp;(NETWORKDAYS(F255,G255,'Danh sách ngày nghỉ lễ'!$B$5:$B$25)-1-3)&amp;" "&amp;"ngày","")))</f>
        <v/>
      </c>
      <c r="Y255" s="72" t="str">
        <f>IF(S255=0,"",IF(P255="Chuyển","",IF(P255="Nhập vào vụ khác","",IF(P255="BA",IF((S255-R255)&gt;10,"Quá hạn"&amp;" "&amp;(S255-R255-10)&amp;" "&amp;"ngày",""),IF((NETWORKDAYS(R255,S255,'Danh sách ngày nghỉ lễ'!$B$5:$B$25)-VLOOKUP(P255,'Thời hạn'!$A$17:$B$23,2,0))&gt;1,"Quá hạn"&amp;" "&amp;(NETWORKDAYS(R255,S255,'Danh sách ngày nghỉ lễ'!$B$5:$B$25)-1-VLOOKUP(P255,'Thời hạn'!$A$17:$B$23,2,0))&amp;" "&amp;"ngày","")))))</f>
        <v/>
      </c>
      <c r="Z255" s="23">
        <v>1</v>
      </c>
    </row>
    <row r="256" spans="2:26" x14ac:dyDescent="0.3">
      <c r="B256" s="78"/>
      <c r="C256" s="33"/>
      <c r="D256" s="79"/>
      <c r="E256" s="79"/>
      <c r="F256" s="80"/>
      <c r="G256" s="80"/>
      <c r="H256" s="79"/>
      <c r="I256" s="70" t="str">
        <f>IF(C256="Trả lại đơn vụ","",IF(C256="Trả lại đơn việc","",IF(C256="Hòa giải thành","",IF(F256=0,"",EDATE(F256,VLOOKUP(C256,'Thời hạn'!$D$1:$E$10,2,0))+H256))))</f>
        <v/>
      </c>
      <c r="J256" s="59" t="str">
        <f t="shared" ca="1" si="4"/>
        <v/>
      </c>
      <c r="K256" s="79"/>
      <c r="L256" s="135"/>
      <c r="M256" s="136"/>
      <c r="N256" s="81"/>
      <c r="O256" s="80"/>
      <c r="P256" s="25"/>
      <c r="Q256" s="79"/>
      <c r="R256" s="80"/>
      <c r="S256" s="80"/>
      <c r="T256" s="138"/>
      <c r="U256" s="138"/>
      <c r="V256" s="82"/>
      <c r="W256" s="37"/>
      <c r="X256" s="71" t="str">
        <f>IF(C256="Trả lại đơn vụ","",IF(C256="Trả lại đơn việc","",IF((NETWORKDAYS(F256,G256,'Danh sách ngày nghỉ lễ'!$B$5:$B$25)-1-3)&gt;0,"Quá hạn"&amp;" "&amp;(NETWORKDAYS(F256,G256,'Danh sách ngày nghỉ lễ'!$B$5:$B$25)-1-3)&amp;" "&amp;"ngày","")))</f>
        <v/>
      </c>
      <c r="Y256" s="72" t="str">
        <f>IF(S256=0,"",IF(P256="Chuyển","",IF(P256="Nhập vào vụ khác","",IF(P256="BA",IF((S256-R256)&gt;10,"Quá hạn"&amp;" "&amp;(S256-R256-10)&amp;" "&amp;"ngày",""),IF((NETWORKDAYS(R256,S256,'Danh sách ngày nghỉ lễ'!$B$5:$B$25)-VLOOKUP(P256,'Thời hạn'!$A$17:$B$23,2,0))&gt;1,"Quá hạn"&amp;" "&amp;(NETWORKDAYS(R256,S256,'Danh sách ngày nghỉ lễ'!$B$5:$B$25)-1-VLOOKUP(P256,'Thời hạn'!$A$17:$B$23,2,0))&amp;" "&amp;"ngày","")))))</f>
        <v/>
      </c>
      <c r="Z256" s="23">
        <v>1</v>
      </c>
    </row>
    <row r="257" spans="2:26" x14ac:dyDescent="0.3">
      <c r="B257" s="78"/>
      <c r="C257" s="33"/>
      <c r="D257" s="79"/>
      <c r="E257" s="79"/>
      <c r="F257" s="80"/>
      <c r="G257" s="80"/>
      <c r="H257" s="79"/>
      <c r="I257" s="70" t="str">
        <f>IF(C257="Trả lại đơn vụ","",IF(C257="Trả lại đơn việc","",IF(C257="Hòa giải thành","",IF(F257=0,"",EDATE(F257,VLOOKUP(C257,'Thời hạn'!$D$1:$E$10,2,0))+H257))))</f>
        <v/>
      </c>
      <c r="J257" s="59" t="str">
        <f t="shared" ca="1" si="4"/>
        <v/>
      </c>
      <c r="K257" s="79"/>
      <c r="L257" s="135"/>
      <c r="M257" s="136"/>
      <c r="N257" s="81"/>
      <c r="O257" s="80"/>
      <c r="P257" s="25"/>
      <c r="Q257" s="79"/>
      <c r="R257" s="80"/>
      <c r="S257" s="80"/>
      <c r="T257" s="138"/>
      <c r="U257" s="138"/>
      <c r="V257" s="82"/>
      <c r="W257" s="37"/>
      <c r="X257" s="71" t="str">
        <f>IF(C257="Trả lại đơn vụ","",IF(C257="Trả lại đơn việc","",IF((NETWORKDAYS(F257,G257,'Danh sách ngày nghỉ lễ'!$B$5:$B$25)-1-3)&gt;0,"Quá hạn"&amp;" "&amp;(NETWORKDAYS(F257,G257,'Danh sách ngày nghỉ lễ'!$B$5:$B$25)-1-3)&amp;" "&amp;"ngày","")))</f>
        <v/>
      </c>
      <c r="Y257" s="72" t="str">
        <f>IF(S257=0,"",IF(P257="Chuyển","",IF(P257="Nhập vào vụ khác","",IF(P257="BA",IF((S257-R257)&gt;10,"Quá hạn"&amp;" "&amp;(S257-R257-10)&amp;" "&amp;"ngày",""),IF((NETWORKDAYS(R257,S257,'Danh sách ngày nghỉ lễ'!$B$5:$B$25)-VLOOKUP(P257,'Thời hạn'!$A$17:$B$23,2,0))&gt;1,"Quá hạn"&amp;" "&amp;(NETWORKDAYS(R257,S257,'Danh sách ngày nghỉ lễ'!$B$5:$B$25)-1-VLOOKUP(P257,'Thời hạn'!$A$17:$B$23,2,0))&amp;" "&amp;"ngày","")))))</f>
        <v/>
      </c>
      <c r="Z257" s="23">
        <v>1</v>
      </c>
    </row>
    <row r="258" spans="2:26" x14ac:dyDescent="0.3">
      <c r="B258" s="78"/>
      <c r="C258" s="33"/>
      <c r="D258" s="79"/>
      <c r="E258" s="79"/>
      <c r="F258" s="80"/>
      <c r="G258" s="80"/>
      <c r="H258" s="79"/>
      <c r="I258" s="70" t="str">
        <f>IF(C258="Trả lại đơn vụ","",IF(C258="Trả lại đơn việc","",IF(C258="Hòa giải thành","",IF(F258=0,"",EDATE(F258,VLOOKUP(C258,'Thời hạn'!$D$1:$E$10,2,0))+H258))))</f>
        <v/>
      </c>
      <c r="J258" s="59" t="str">
        <f t="shared" ca="1" si="4"/>
        <v/>
      </c>
      <c r="K258" s="79"/>
      <c r="L258" s="135"/>
      <c r="M258" s="136"/>
      <c r="N258" s="81"/>
      <c r="O258" s="80"/>
      <c r="P258" s="25"/>
      <c r="Q258" s="79"/>
      <c r="R258" s="80"/>
      <c r="S258" s="80"/>
      <c r="T258" s="138"/>
      <c r="U258" s="138"/>
      <c r="V258" s="82"/>
      <c r="W258" s="37"/>
      <c r="X258" s="71" t="str">
        <f>IF(C258="Trả lại đơn vụ","",IF(C258="Trả lại đơn việc","",IF((NETWORKDAYS(F258,G258,'Danh sách ngày nghỉ lễ'!$B$5:$B$25)-1-3)&gt;0,"Quá hạn"&amp;" "&amp;(NETWORKDAYS(F258,G258,'Danh sách ngày nghỉ lễ'!$B$5:$B$25)-1-3)&amp;" "&amp;"ngày","")))</f>
        <v/>
      </c>
      <c r="Y258" s="72" t="str">
        <f>IF(S258=0,"",IF(P258="Chuyển","",IF(P258="Nhập vào vụ khác","",IF(P258="BA",IF((S258-R258)&gt;10,"Quá hạn"&amp;" "&amp;(S258-R258-10)&amp;" "&amp;"ngày",""),IF((NETWORKDAYS(R258,S258,'Danh sách ngày nghỉ lễ'!$B$5:$B$25)-VLOOKUP(P258,'Thời hạn'!$A$17:$B$23,2,0))&gt;1,"Quá hạn"&amp;" "&amp;(NETWORKDAYS(R258,S258,'Danh sách ngày nghỉ lễ'!$B$5:$B$25)-1-VLOOKUP(P258,'Thời hạn'!$A$17:$B$23,2,0))&amp;" "&amp;"ngày","")))))</f>
        <v/>
      </c>
      <c r="Z258" s="23">
        <v>1</v>
      </c>
    </row>
    <row r="259" spans="2:26" x14ac:dyDescent="0.3">
      <c r="B259" s="78"/>
      <c r="C259" s="33"/>
      <c r="D259" s="79"/>
      <c r="E259" s="79"/>
      <c r="F259" s="80"/>
      <c r="G259" s="80"/>
      <c r="H259" s="79"/>
      <c r="I259" s="70" t="str">
        <f>IF(C259="Trả lại đơn vụ","",IF(C259="Trả lại đơn việc","",IF(C259="Hòa giải thành","",IF(F259=0,"",EDATE(F259,VLOOKUP(C259,'Thời hạn'!$D$1:$E$10,2,0))+H259))))</f>
        <v/>
      </c>
      <c r="J259" s="59" t="str">
        <f t="shared" ca="1" si="4"/>
        <v/>
      </c>
      <c r="K259" s="79"/>
      <c r="L259" s="135"/>
      <c r="M259" s="136"/>
      <c r="N259" s="81"/>
      <c r="O259" s="80"/>
      <c r="P259" s="25"/>
      <c r="Q259" s="79"/>
      <c r="R259" s="80"/>
      <c r="S259" s="80"/>
      <c r="T259" s="138"/>
      <c r="U259" s="138"/>
      <c r="V259" s="82"/>
      <c r="W259" s="37"/>
      <c r="X259" s="71" t="str">
        <f>IF(C259="Trả lại đơn vụ","",IF(C259="Trả lại đơn việc","",IF((NETWORKDAYS(F259,G259,'Danh sách ngày nghỉ lễ'!$B$5:$B$25)-1-3)&gt;0,"Quá hạn"&amp;" "&amp;(NETWORKDAYS(F259,G259,'Danh sách ngày nghỉ lễ'!$B$5:$B$25)-1-3)&amp;" "&amp;"ngày","")))</f>
        <v/>
      </c>
      <c r="Y259" s="72" t="str">
        <f>IF(S259=0,"",IF(P259="Chuyển","",IF(P259="Nhập vào vụ khác","",IF(P259="BA",IF((S259-R259)&gt;10,"Quá hạn"&amp;" "&amp;(S259-R259-10)&amp;" "&amp;"ngày",""),IF((NETWORKDAYS(R259,S259,'Danh sách ngày nghỉ lễ'!$B$5:$B$25)-VLOOKUP(P259,'Thời hạn'!$A$17:$B$23,2,0))&gt;1,"Quá hạn"&amp;" "&amp;(NETWORKDAYS(R259,S259,'Danh sách ngày nghỉ lễ'!$B$5:$B$25)-1-VLOOKUP(P259,'Thời hạn'!$A$17:$B$23,2,0))&amp;" "&amp;"ngày","")))))</f>
        <v/>
      </c>
      <c r="Z259" s="23">
        <v>1</v>
      </c>
    </row>
    <row r="260" spans="2:26" x14ac:dyDescent="0.3">
      <c r="B260" s="78"/>
      <c r="C260" s="33"/>
      <c r="D260" s="79"/>
      <c r="E260" s="79"/>
      <c r="F260" s="80"/>
      <c r="G260" s="80"/>
      <c r="H260" s="79"/>
      <c r="I260" s="70" t="str">
        <f>IF(C260="Trả lại đơn vụ","",IF(C260="Trả lại đơn việc","",IF(C260="Hòa giải thành","",IF(F260=0,"",EDATE(F260,VLOOKUP(C260,'Thời hạn'!$D$1:$E$10,2,0))+H260))))</f>
        <v/>
      </c>
      <c r="J260" s="59" t="str">
        <f t="shared" ca="1" si="4"/>
        <v/>
      </c>
      <c r="K260" s="79"/>
      <c r="L260" s="135"/>
      <c r="M260" s="136"/>
      <c r="N260" s="81"/>
      <c r="O260" s="80"/>
      <c r="P260" s="25"/>
      <c r="Q260" s="79"/>
      <c r="R260" s="80"/>
      <c r="S260" s="80"/>
      <c r="T260" s="138"/>
      <c r="U260" s="138"/>
      <c r="V260" s="82"/>
      <c r="W260" s="37"/>
      <c r="X260" s="71" t="str">
        <f>IF(C260="Trả lại đơn vụ","",IF(C260="Trả lại đơn việc","",IF((NETWORKDAYS(F260,G260,'Danh sách ngày nghỉ lễ'!$B$5:$B$25)-1-3)&gt;0,"Quá hạn"&amp;" "&amp;(NETWORKDAYS(F260,G260,'Danh sách ngày nghỉ lễ'!$B$5:$B$25)-1-3)&amp;" "&amp;"ngày","")))</f>
        <v/>
      </c>
      <c r="Y260" s="72" t="str">
        <f>IF(S260=0,"",IF(P260="Chuyển","",IF(P260="Nhập vào vụ khác","",IF(P260="BA",IF((S260-R260)&gt;10,"Quá hạn"&amp;" "&amp;(S260-R260-10)&amp;" "&amp;"ngày",""),IF((NETWORKDAYS(R260,S260,'Danh sách ngày nghỉ lễ'!$B$5:$B$25)-VLOOKUP(P260,'Thời hạn'!$A$17:$B$23,2,0))&gt;1,"Quá hạn"&amp;" "&amp;(NETWORKDAYS(R260,S260,'Danh sách ngày nghỉ lễ'!$B$5:$B$25)-1-VLOOKUP(P260,'Thời hạn'!$A$17:$B$23,2,0))&amp;" "&amp;"ngày","")))))</f>
        <v/>
      </c>
      <c r="Z260" s="23">
        <v>1</v>
      </c>
    </row>
    <row r="261" spans="2:26" x14ac:dyDescent="0.3">
      <c r="B261" s="78"/>
      <c r="C261" s="33"/>
      <c r="D261" s="79"/>
      <c r="E261" s="79"/>
      <c r="F261" s="80"/>
      <c r="G261" s="80"/>
      <c r="H261" s="79"/>
      <c r="I261" s="70" t="str">
        <f>IF(C261="Trả lại đơn vụ","",IF(C261="Trả lại đơn việc","",IF(C261="Hòa giải thành","",IF(F261=0,"",EDATE(F261,VLOOKUP(C261,'Thời hạn'!$D$1:$E$10,2,0))+H261))))</f>
        <v/>
      </c>
      <c r="J261" s="59" t="str">
        <f t="shared" ca="1" si="4"/>
        <v/>
      </c>
      <c r="K261" s="79"/>
      <c r="L261" s="135"/>
      <c r="M261" s="136"/>
      <c r="N261" s="81"/>
      <c r="O261" s="80"/>
      <c r="P261" s="25"/>
      <c r="Q261" s="79"/>
      <c r="R261" s="80"/>
      <c r="S261" s="80"/>
      <c r="T261" s="138"/>
      <c r="U261" s="138"/>
      <c r="V261" s="82"/>
      <c r="W261" s="37"/>
      <c r="X261" s="71" t="str">
        <f>IF(C261="Trả lại đơn vụ","",IF(C261="Trả lại đơn việc","",IF((NETWORKDAYS(F261,G261,'Danh sách ngày nghỉ lễ'!$B$5:$B$25)-1-3)&gt;0,"Quá hạn"&amp;" "&amp;(NETWORKDAYS(F261,G261,'Danh sách ngày nghỉ lễ'!$B$5:$B$25)-1-3)&amp;" "&amp;"ngày","")))</f>
        <v/>
      </c>
      <c r="Y261" s="72" t="str">
        <f>IF(S261=0,"",IF(P261="Chuyển","",IF(P261="Nhập vào vụ khác","",IF(P261="BA",IF((S261-R261)&gt;10,"Quá hạn"&amp;" "&amp;(S261-R261-10)&amp;" "&amp;"ngày",""),IF((NETWORKDAYS(R261,S261,'Danh sách ngày nghỉ lễ'!$B$5:$B$25)-VLOOKUP(P261,'Thời hạn'!$A$17:$B$23,2,0))&gt;1,"Quá hạn"&amp;" "&amp;(NETWORKDAYS(R261,S261,'Danh sách ngày nghỉ lễ'!$B$5:$B$25)-1-VLOOKUP(P261,'Thời hạn'!$A$17:$B$23,2,0))&amp;" "&amp;"ngày","")))))</f>
        <v/>
      </c>
      <c r="Z261" s="23">
        <v>1</v>
      </c>
    </row>
    <row r="262" spans="2:26" x14ac:dyDescent="0.3">
      <c r="B262" s="78"/>
      <c r="C262" s="33"/>
      <c r="D262" s="79"/>
      <c r="E262" s="79"/>
      <c r="F262" s="80"/>
      <c r="G262" s="80"/>
      <c r="H262" s="79"/>
      <c r="I262" s="70" t="str">
        <f>IF(C262="Trả lại đơn vụ","",IF(C262="Trả lại đơn việc","",IF(C262="Hòa giải thành","",IF(F262=0,"",EDATE(F262,VLOOKUP(C262,'Thời hạn'!$D$1:$E$10,2,0))+H262))))</f>
        <v/>
      </c>
      <c r="J262" s="59" t="str">
        <f t="shared" ca="1" si="4"/>
        <v/>
      </c>
      <c r="K262" s="79"/>
      <c r="L262" s="135"/>
      <c r="M262" s="136"/>
      <c r="N262" s="81"/>
      <c r="O262" s="80"/>
      <c r="P262" s="25"/>
      <c r="Q262" s="79"/>
      <c r="R262" s="80"/>
      <c r="S262" s="80"/>
      <c r="T262" s="138"/>
      <c r="U262" s="138"/>
      <c r="V262" s="82"/>
      <c r="W262" s="37"/>
      <c r="X262" s="71" t="str">
        <f>IF(C262="Trả lại đơn vụ","",IF(C262="Trả lại đơn việc","",IF((NETWORKDAYS(F262,G262,'Danh sách ngày nghỉ lễ'!$B$5:$B$25)-1-3)&gt;0,"Quá hạn"&amp;" "&amp;(NETWORKDAYS(F262,G262,'Danh sách ngày nghỉ lễ'!$B$5:$B$25)-1-3)&amp;" "&amp;"ngày","")))</f>
        <v/>
      </c>
      <c r="Y262" s="72" t="str">
        <f>IF(S262=0,"",IF(P262="Chuyển","",IF(P262="Nhập vào vụ khác","",IF(P262="BA",IF((S262-R262)&gt;10,"Quá hạn"&amp;" "&amp;(S262-R262-10)&amp;" "&amp;"ngày",""),IF((NETWORKDAYS(R262,S262,'Danh sách ngày nghỉ lễ'!$B$5:$B$25)-VLOOKUP(P262,'Thời hạn'!$A$17:$B$23,2,0))&gt;1,"Quá hạn"&amp;" "&amp;(NETWORKDAYS(R262,S262,'Danh sách ngày nghỉ lễ'!$B$5:$B$25)-1-VLOOKUP(P262,'Thời hạn'!$A$17:$B$23,2,0))&amp;" "&amp;"ngày","")))))</f>
        <v/>
      </c>
      <c r="Z262" s="23">
        <v>1</v>
      </c>
    </row>
  </sheetData>
  <sheetProtection algorithmName="SHA-512" hashValue="DoHxpJ015pb0K1GhBgHOf8xb5r9s/N+4QK+meDKIReQwcMiSTPQUBWwcd2M+ZD60oxq4Y+yXBQ5lJRVaE8/rmw==" saltValue="AjJqwDlL0YALAebQDhebmg==" spinCount="100000" sheet="1" objects="1" scenarios="1" autoFilter="0"/>
  <autoFilter ref="B9:W9" xr:uid="{1E5BF65F-E232-4267-A3B1-2480D341F750}"/>
  <mergeCells count="12">
    <mergeCell ref="X8:Y8"/>
    <mergeCell ref="S7:T7"/>
    <mergeCell ref="V7:W7"/>
    <mergeCell ref="B8:M8"/>
    <mergeCell ref="N8:W8"/>
    <mergeCell ref="B2:K2"/>
    <mergeCell ref="X4:Y4"/>
    <mergeCell ref="O4:O6"/>
    <mergeCell ref="P4:R4"/>
    <mergeCell ref="S4:V4"/>
    <mergeCell ref="L4:M4"/>
    <mergeCell ref="L6:M6"/>
  </mergeCells>
  <conditionalFormatting sqref="C10:C262">
    <cfRule type="expression" dxfId="616" priority="7">
      <formula>"$P7:$P13=""Phục hồi"""</formula>
    </cfRule>
    <cfRule type="expression" dxfId="615" priority="8">
      <formula>"$P7:$P13=""Phục hồi"""</formula>
    </cfRule>
  </conditionalFormatting>
  <conditionalFormatting sqref="D11:D187">
    <cfRule type="expression" dxfId="614" priority="9">
      <formula>$P11:$P230&lt;&gt;0</formula>
    </cfRule>
  </conditionalFormatting>
  <conditionalFormatting sqref="C10:C262">
    <cfRule type="expression" dxfId="613" priority="11">
      <formula>$P10:$P211&lt;&gt;0</formula>
    </cfRule>
  </conditionalFormatting>
  <conditionalFormatting sqref="D10">
    <cfRule type="expression" dxfId="612" priority="3">
      <formula>"$P7:$P13=""Phục hồi"""</formula>
    </cfRule>
    <cfRule type="expression" dxfId="611" priority="4">
      <formula>"$P7:$P13=""Phục hồi"""</formula>
    </cfRule>
  </conditionalFormatting>
  <conditionalFormatting sqref="D10">
    <cfRule type="expression" dxfId="610" priority="5">
      <formula>$P10:$P213&lt;&gt;0</formula>
    </cfRule>
  </conditionalFormatting>
  <conditionalFormatting sqref="J10:J262">
    <cfRule type="cellIs" dxfId="609" priority="2" operator="lessThan">
      <formula>10</formula>
    </cfRule>
  </conditionalFormatting>
  <conditionalFormatting sqref="J10:J262">
    <cfRule type="cellIs" dxfId="608" priority="1" operator="lessThan">
      <formula>10</formula>
    </cfRule>
  </conditionalFormatting>
  <dataValidations count="5">
    <dataValidation type="list" allowBlank="1" showInputMessage="1" showErrorMessage="1" sqref="K10:K262" xr:uid="{1EBD55C6-8B6E-4A30-BB99-EF6607C856FF}">
      <formula1>"VD Ninh, N Dũng,T Dũng,Doan,Hợp,Uy,M Dung,Lành,Hồng,Đức,Việt,P Huyền,Đ Huyền,Chinh,Quý,V Anh,Hà"</formula1>
    </dataValidation>
    <dataValidation type="list" allowBlank="1" showInputMessage="1" showErrorMessage="1" sqref="V10:V262" xr:uid="{945F4F91-3798-4247-B42A-582A06954F4E}">
      <formula1>"Đã ĐK,Đã XX"</formula1>
    </dataValidation>
    <dataValidation type="list" allowBlank="1" showInputMessage="1" showErrorMessage="1" sqref="W10:W262" xr:uid="{FED0EBD7-84F9-45D1-9E40-AED66BF5C61A}">
      <formula1>"đang TĐC,ĐC do rút đơn"</formula1>
    </dataValidation>
    <dataValidation type="list" allowBlank="1" showInputMessage="1" showErrorMessage="1" sqref="P10:P262" xr:uid="{52AE77B8-3F5C-42BD-A023-1C5A52A47153}">
      <formula1>"CNTT,ĐC,TĐC,BA,QĐ giải quyết việc,CN tại tòa,ĐC tại tòa,Chuyển,Nhập vào vụ khác"</formula1>
    </dataValidation>
    <dataValidation type="list" allowBlank="1" showInputMessage="1" showErrorMessage="1" sqref="C10:C262" xr:uid="{1AB30902-3BE2-4E17-B28B-36B0E08D0321}">
      <formula1>"Vụ cũ,Việc cũ,Vụ,Việc,Hòa giải thành,Phục hồi vụ TĐC kỳ trước,Trả lại đơn vụ,Trả lại đơn việc,Phục hồi,Chuyển đến vụ,Chuyển đến việc,TL phản tố,TL YC độc lập"</formula1>
    </dataValidation>
  </dataValidations>
  <pageMargins left="0.7" right="0.7" top="0.75" bottom="0.75" header="0.3" footer="0.3"/>
  <pageSetup paperSize="9" orientation="landscape" verticalDpi="0"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95A36-F7FE-41CC-8F94-B40AD9245503}">
  <sheetPr codeName="Sheet6"/>
  <dimension ref="A1:Z264"/>
  <sheetViews>
    <sheetView showGridLines="0" showRowColHeaders="0" topLeftCell="B1" zoomScale="70" zoomScaleNormal="70" workbookViewId="0">
      <pane xSplit="3" ySplit="9" topLeftCell="E10" activePane="bottomRight" state="frozen"/>
      <selection activeCell="B1" sqref="B1"/>
      <selection pane="topRight" activeCell="E1" sqref="E1"/>
      <selection pane="bottomLeft" activeCell="B10" sqref="B10"/>
      <selection pane="bottomRight" activeCell="B2" sqref="B2:K2"/>
    </sheetView>
  </sheetViews>
  <sheetFormatPr defaultColWidth="9.21875" defaultRowHeight="15.6" x14ac:dyDescent="0.3"/>
  <cols>
    <col min="1" max="1" width="3.21875" style="24" hidden="1" customWidth="1"/>
    <col min="2" max="2" width="9.21875" style="83" customWidth="1"/>
    <col min="3" max="3" width="15.44140625" style="24" customWidth="1"/>
    <col min="4" max="4" width="26.44140625" style="24" customWidth="1"/>
    <col min="5" max="5" width="7.21875" style="24" customWidth="1"/>
    <col min="6" max="6" width="16.5546875" style="84" customWidth="1"/>
    <col min="7" max="7" width="12.77734375" style="84" customWidth="1"/>
    <col min="8" max="8" width="19.5546875" style="24" customWidth="1"/>
    <col min="9" max="9" width="10.77734375" style="84" customWidth="1"/>
    <col min="10" max="10" width="14.21875" style="24" customWidth="1"/>
    <col min="11" max="11" width="11.77734375" style="24" customWidth="1"/>
    <col min="12" max="13" width="8" style="24" customWidth="1"/>
    <col min="14" max="14" width="11.21875" style="24" customWidth="1"/>
    <col min="15" max="15" width="11.21875" style="84" customWidth="1"/>
    <col min="16" max="16" width="11.21875" style="23" customWidth="1"/>
    <col min="17" max="17" width="7.77734375" style="24" customWidth="1"/>
    <col min="18" max="18" width="12.77734375" style="84" customWidth="1"/>
    <col min="19" max="19" width="11.21875" style="84" customWidth="1"/>
    <col min="20" max="20" width="12" style="24" customWidth="1"/>
    <col min="21" max="21" width="11.77734375" style="24" customWidth="1"/>
    <col min="22" max="22" width="7.5546875" style="24" customWidth="1"/>
    <col min="23" max="23" width="6.77734375" style="24" customWidth="1"/>
    <col min="24" max="24" width="20.21875" style="24" customWidth="1"/>
    <col min="25" max="25" width="17.77734375" style="24" customWidth="1"/>
    <col min="26" max="26" width="3.21875" style="24" hidden="1" customWidth="1"/>
    <col min="27" max="16384" width="9.21875" style="24"/>
  </cols>
  <sheetData>
    <row r="1" spans="1:26" ht="48.75" customHeight="1" x14ac:dyDescent="0.3">
      <c r="B1" s="106"/>
      <c r="C1" s="41"/>
      <c r="D1" s="41"/>
      <c r="E1" s="41"/>
      <c r="F1" s="107"/>
      <c r="G1" s="107"/>
      <c r="H1" s="41"/>
      <c r="I1" s="107"/>
      <c r="J1" s="41"/>
      <c r="K1" s="41"/>
      <c r="L1" s="41"/>
      <c r="M1" s="41"/>
      <c r="N1" s="41"/>
      <c r="O1" s="107"/>
      <c r="P1" s="40"/>
      <c r="Q1" s="41"/>
      <c r="R1" s="107"/>
      <c r="S1" s="107"/>
      <c r="T1" s="41"/>
      <c r="U1" s="41"/>
      <c r="V1" s="41"/>
      <c r="W1" s="41"/>
      <c r="X1" s="41"/>
      <c r="Y1" s="41"/>
    </row>
    <row r="2" spans="1:26" ht="48.75" customHeight="1" x14ac:dyDescent="0.3">
      <c r="B2" s="152" t="s">
        <v>120</v>
      </c>
      <c r="C2" s="152"/>
      <c r="D2" s="152"/>
      <c r="E2" s="152"/>
      <c r="F2" s="152"/>
      <c r="G2" s="152"/>
      <c r="H2" s="152"/>
      <c r="I2" s="152"/>
      <c r="J2" s="152"/>
      <c r="K2" s="152"/>
      <c r="L2" s="41"/>
      <c r="M2" s="41"/>
      <c r="N2" s="41"/>
      <c r="O2" s="107"/>
      <c r="P2" s="40"/>
      <c r="Q2" s="41"/>
      <c r="R2" s="107"/>
      <c r="S2" s="107"/>
      <c r="T2" s="41">
        <v>2</v>
      </c>
      <c r="U2" s="41"/>
      <c r="V2" s="41"/>
      <c r="W2" s="41"/>
      <c r="X2" s="41"/>
      <c r="Y2" s="41"/>
    </row>
    <row r="3" spans="1:26" ht="48.75" customHeight="1" thickBot="1" x14ac:dyDescent="0.35">
      <c r="B3" s="41"/>
      <c r="C3" s="42"/>
      <c r="D3" s="42"/>
      <c r="E3" s="42"/>
      <c r="F3" s="42"/>
      <c r="G3" s="42"/>
      <c r="H3" s="42"/>
      <c r="I3" s="42"/>
      <c r="J3" s="42"/>
      <c r="K3" s="42"/>
      <c r="L3" s="42"/>
      <c r="M3" s="42"/>
      <c r="N3" s="42"/>
      <c r="O3" s="42"/>
      <c r="P3" s="42"/>
      <c r="Q3" s="42"/>
      <c r="R3" s="42"/>
      <c r="S3" s="42"/>
      <c r="T3" s="42"/>
      <c r="U3" s="42"/>
      <c r="V3" s="42"/>
      <c r="W3" s="42"/>
      <c r="X3" s="41"/>
      <c r="Y3" s="41"/>
    </row>
    <row r="4" spans="1:26" ht="55.5" customHeight="1" x14ac:dyDescent="0.3">
      <c r="B4" s="43" t="s">
        <v>5</v>
      </c>
      <c r="C4" s="44">
        <f>COUNTIF(C10:C178,"Trả lại đơn")</f>
        <v>0</v>
      </c>
      <c r="D4" s="45" t="s">
        <v>60</v>
      </c>
      <c r="E4" s="44">
        <f>COUNTIF(C10:C234,"Vụ cũ loại a")</f>
        <v>0</v>
      </c>
      <c r="F4" s="111" t="s">
        <v>70</v>
      </c>
      <c r="G4" s="44">
        <f>COUNTIF(C10:C234,"Phục hồi vụ TĐC kỳ trước loại a")</f>
        <v>0</v>
      </c>
      <c r="H4" s="45" t="s">
        <v>17</v>
      </c>
      <c r="I4" s="46">
        <f>SUM(E4:E5)</f>
        <v>0</v>
      </c>
      <c r="J4" s="111" t="s">
        <v>82</v>
      </c>
      <c r="K4" s="47">
        <f>COUNTIF(P10:P251,"Chuyển")</f>
        <v>0</v>
      </c>
      <c r="L4" s="153" t="s">
        <v>23</v>
      </c>
      <c r="M4" s="153"/>
      <c r="N4" s="46">
        <f>SUM(P6:U6)</f>
        <v>0</v>
      </c>
      <c r="O4" s="155" t="s">
        <v>20</v>
      </c>
      <c r="P4" s="157" t="s">
        <v>37</v>
      </c>
      <c r="Q4" s="157"/>
      <c r="R4" s="157"/>
      <c r="S4" s="158" t="s">
        <v>36</v>
      </c>
      <c r="T4" s="158"/>
      <c r="U4" s="158"/>
      <c r="V4" s="177"/>
      <c r="W4" s="177"/>
      <c r="X4" s="177"/>
      <c r="Y4" s="112"/>
    </row>
    <row r="5" spans="1:26" ht="50.25" customHeight="1" x14ac:dyDescent="0.3">
      <c r="B5" s="48" t="s">
        <v>4</v>
      </c>
      <c r="C5" s="41">
        <f>COUNTIF(C10:C178,"Hòa giải thành")</f>
        <v>0</v>
      </c>
      <c r="D5" s="49" t="s">
        <v>61</v>
      </c>
      <c r="E5" s="41">
        <f>COUNTIF(C10:C234,"Vụ cũ loại b")</f>
        <v>0</v>
      </c>
      <c r="F5" s="113" t="s">
        <v>71</v>
      </c>
      <c r="G5" s="41">
        <f>COUNTIF(C10:C234,"Phục hồi vụ TĐC kỳ trước loại b")</f>
        <v>0</v>
      </c>
      <c r="H5" s="49" t="s">
        <v>18</v>
      </c>
      <c r="I5" s="50">
        <f>SUM(E6:E7)</f>
        <v>0</v>
      </c>
      <c r="J5" s="49" t="s">
        <v>113</v>
      </c>
      <c r="K5" s="51">
        <f>COUNTIF(C10:C234,"Chuyển đến loại a")</f>
        <v>0</v>
      </c>
      <c r="L5" s="51"/>
      <c r="M5" s="51" t="s">
        <v>22</v>
      </c>
      <c r="N5" s="52" t="e">
        <f>N4/K7</f>
        <v>#DIV/0!</v>
      </c>
      <c r="O5" s="156"/>
      <c r="P5" s="53" t="s">
        <v>110</v>
      </c>
      <c r="Q5" s="54" t="s">
        <v>11</v>
      </c>
      <c r="R5" s="54" t="s">
        <v>10</v>
      </c>
      <c r="S5" s="53" t="s">
        <v>2</v>
      </c>
      <c r="T5" s="55" t="s">
        <v>34</v>
      </c>
      <c r="U5" s="53" t="s">
        <v>33</v>
      </c>
      <c r="V5" s="50"/>
      <c r="W5" s="56"/>
      <c r="X5" s="41"/>
      <c r="Y5" s="61"/>
    </row>
    <row r="6" spans="1:26" ht="57" customHeight="1" x14ac:dyDescent="0.3">
      <c r="B6" s="114"/>
      <c r="C6" s="41"/>
      <c r="D6" s="49" t="s">
        <v>62</v>
      </c>
      <c r="E6" s="41">
        <f>COUNTIF(C10:C195,"Vụ loại a")</f>
        <v>0</v>
      </c>
      <c r="F6" s="113"/>
      <c r="G6" s="41"/>
      <c r="H6" s="49" t="s">
        <v>77</v>
      </c>
      <c r="I6" s="50">
        <f>SUM(G4:G5)</f>
        <v>0</v>
      </c>
      <c r="J6" s="49" t="s">
        <v>116</v>
      </c>
      <c r="K6" s="51">
        <f>COUNTIF(C10:C234,"Chuyển đến loại b")</f>
        <v>0</v>
      </c>
      <c r="L6" s="159" t="s">
        <v>21</v>
      </c>
      <c r="M6" s="159"/>
      <c r="N6" s="50">
        <f>K7-N4</f>
        <v>0</v>
      </c>
      <c r="O6" s="156"/>
      <c r="P6" s="58">
        <f>COUNTIF(P10:P237,"CN đối thoại")</f>
        <v>0</v>
      </c>
      <c r="Q6" s="59">
        <f>COUNTIF(P10:P237,"ĐC")</f>
        <v>0</v>
      </c>
      <c r="R6" s="59">
        <f>COUNTIF(P10:P237,"TĐC")-COUNTIF(C10:C220,"Phục hồi")</f>
        <v>0</v>
      </c>
      <c r="S6" s="58">
        <f>COUNTIF(P10:P237,"BA")</f>
        <v>0</v>
      </c>
      <c r="T6" s="60">
        <f>COUNTIF(P10:P237,"CN tại tòa")</f>
        <v>0</v>
      </c>
      <c r="U6" s="58">
        <f>COUNTIF(P10:P237,"ĐC tại tòa")</f>
        <v>0</v>
      </c>
      <c r="V6" s="50"/>
      <c r="W6" s="56"/>
      <c r="X6" s="41"/>
      <c r="Y6" s="61"/>
    </row>
    <row r="7" spans="1:26" ht="44.25" customHeight="1" thickBot="1" x14ac:dyDescent="0.35">
      <c r="B7" s="62"/>
      <c r="C7" s="63"/>
      <c r="D7" s="64" t="s">
        <v>63</v>
      </c>
      <c r="E7" s="63">
        <f>COUNTIF(C10:C195,"Vụ loại b")</f>
        <v>0</v>
      </c>
      <c r="F7" s="115"/>
      <c r="G7" s="63"/>
      <c r="H7" s="115" t="s">
        <v>83</v>
      </c>
      <c r="I7" s="65">
        <f>COUNTIF(P10:P251,"Nhập vào vụ khác")</f>
        <v>0</v>
      </c>
      <c r="J7" s="64" t="s">
        <v>24</v>
      </c>
      <c r="K7" s="66">
        <f>SUM(I4:I6)-I7-K4+SUM(K5:K6)</f>
        <v>0</v>
      </c>
      <c r="L7" s="66"/>
      <c r="M7" s="66" t="s">
        <v>22</v>
      </c>
      <c r="N7" s="67" t="e">
        <f>100%-N5</f>
        <v>#DIV/0!</v>
      </c>
      <c r="O7" s="68"/>
      <c r="P7" s="68"/>
      <c r="Q7" s="63"/>
      <c r="R7" s="63"/>
      <c r="S7" s="162" t="s">
        <v>35</v>
      </c>
      <c r="T7" s="162"/>
      <c r="U7" s="65">
        <f>SUM(S6:U6)</f>
        <v>0</v>
      </c>
      <c r="V7" s="162"/>
      <c r="W7" s="162"/>
      <c r="X7" s="63"/>
      <c r="Y7" s="69"/>
    </row>
    <row r="8" spans="1:26" ht="30" customHeight="1" thickBot="1" x14ac:dyDescent="0.35">
      <c r="B8" s="171" t="s">
        <v>13</v>
      </c>
      <c r="C8" s="172"/>
      <c r="D8" s="172"/>
      <c r="E8" s="172"/>
      <c r="F8" s="172"/>
      <c r="G8" s="172"/>
      <c r="H8" s="172"/>
      <c r="I8" s="172"/>
      <c r="J8" s="172"/>
      <c r="K8" s="172"/>
      <c r="L8" s="172"/>
      <c r="M8" s="173"/>
      <c r="N8" s="174" t="s">
        <v>7</v>
      </c>
      <c r="O8" s="175"/>
      <c r="P8" s="175"/>
      <c r="Q8" s="175"/>
      <c r="R8" s="175"/>
      <c r="S8" s="175"/>
      <c r="T8" s="175"/>
      <c r="U8" s="175"/>
      <c r="V8" s="175"/>
      <c r="W8" s="176"/>
      <c r="X8" s="178" t="s">
        <v>74</v>
      </c>
      <c r="Y8" s="179"/>
    </row>
    <row r="9" spans="1:26" ht="47.25" customHeight="1" x14ac:dyDescent="0.3">
      <c r="A9" s="24" t="s">
        <v>88</v>
      </c>
      <c r="B9" s="88" t="s">
        <v>67</v>
      </c>
      <c r="C9" s="89" t="s">
        <v>0</v>
      </c>
      <c r="D9" s="89" t="s">
        <v>6</v>
      </c>
      <c r="E9" s="89" t="s">
        <v>3</v>
      </c>
      <c r="F9" s="90" t="s">
        <v>29</v>
      </c>
      <c r="G9" s="90" t="s">
        <v>30</v>
      </c>
      <c r="H9" s="89" t="s">
        <v>39</v>
      </c>
      <c r="I9" s="90" t="s">
        <v>15</v>
      </c>
      <c r="J9" s="89" t="s">
        <v>14</v>
      </c>
      <c r="K9" s="89" t="s">
        <v>12</v>
      </c>
      <c r="L9" s="89" t="s">
        <v>31</v>
      </c>
      <c r="M9" s="91" t="s">
        <v>32</v>
      </c>
      <c r="N9" s="108" t="s">
        <v>46</v>
      </c>
      <c r="O9" s="90" t="s">
        <v>19</v>
      </c>
      <c r="P9" s="89" t="s">
        <v>16</v>
      </c>
      <c r="Q9" s="89" t="s">
        <v>3</v>
      </c>
      <c r="R9" s="90" t="s">
        <v>29</v>
      </c>
      <c r="S9" s="90" t="s">
        <v>30</v>
      </c>
      <c r="T9" s="89" t="s">
        <v>31</v>
      </c>
      <c r="U9" s="89" t="s">
        <v>32</v>
      </c>
      <c r="V9" s="89" t="s">
        <v>43</v>
      </c>
      <c r="W9" s="91" t="s">
        <v>9</v>
      </c>
      <c r="X9" s="109" t="s">
        <v>75</v>
      </c>
      <c r="Y9" s="110" t="s">
        <v>76</v>
      </c>
      <c r="Z9" s="24" t="s">
        <v>88</v>
      </c>
    </row>
    <row r="10" spans="1:26" x14ac:dyDescent="0.3">
      <c r="A10" s="24">
        <v>1</v>
      </c>
      <c r="B10" s="78"/>
      <c r="C10" s="33"/>
      <c r="D10" s="33"/>
      <c r="E10" s="25"/>
      <c r="F10" s="34"/>
      <c r="G10" s="34"/>
      <c r="H10" s="25"/>
      <c r="I10" s="70" t="str">
        <f>IF(C10="Trả lại đơn","",IF(C10="Hòa giải thành","",IF(F10=0,"",EDATE(F10,VLOOKUP(C10,'Thời hạn'!$G$1:$H$12,2,0))+H10)))</f>
        <v/>
      </c>
      <c r="J10" s="59" t="str">
        <f ca="1">IF(C10="Trả lại đơn","",IF(C10="Hòa giải thành","",IF(N10=0,IF(P10=0,IF(F10=0,"",I10-TODAY()+1),""),"")))</f>
        <v/>
      </c>
      <c r="K10" s="25"/>
      <c r="L10" s="129"/>
      <c r="M10" s="130"/>
      <c r="N10" s="35"/>
      <c r="O10" s="34"/>
      <c r="P10" s="25"/>
      <c r="Q10" s="25"/>
      <c r="R10" s="34"/>
      <c r="S10" s="34"/>
      <c r="T10" s="137"/>
      <c r="U10" s="137"/>
      <c r="V10" s="36"/>
      <c r="W10" s="37"/>
      <c r="X10" s="71" t="str">
        <f>IF(C10="Trả lại đơn","",IF((NETWORKDAYS(F10,G10,'Danh sách ngày nghỉ lễ'!$B$5:$B$25)-1-3)&gt;0,"Quá hạn"&amp;" "&amp;(NETWORKDAYS(F10,G10,'Danh sách ngày nghỉ lễ'!$B$5:$B$25)-1-3)&amp;" "&amp;"ngày",""))</f>
        <v/>
      </c>
      <c r="Y10" s="72" t="str">
        <f>IF(S10=0,"",IF(P10="Chuyển","",IF(P10="Nhập vào vụ khác","",IF(P10="CN đối thoại","",IF(P10="CN tại tòa","",IF(P10="BA",IF((S10-R10)&gt;7,"Quá hạn"&amp;" "&amp;(S10-R10-7)&amp;" "&amp;"ngày",""),IF((NETWORKDAYS(R10,S10,'Danh sách ngày nghỉ lễ'!$B$5:$B$25)-VLOOKUP(P10,'Thời hạn'!$D$17:$E$20,2,0))&gt;1,"Quá hạn"&amp;" "&amp;(NETWORKDAYS(R10,S10,'Danh sách ngày nghỉ lễ'!$B$5:$B$25)-1-VLOOKUP(P10,'Thời hạn'!$D$17:$E$20,2,0))&amp;" "&amp;"ngày","")))))))</f>
        <v/>
      </c>
      <c r="Z10" s="23">
        <v>1</v>
      </c>
    </row>
    <row r="11" spans="1:26" x14ac:dyDescent="0.3">
      <c r="A11" s="24">
        <v>1</v>
      </c>
      <c r="B11" s="39"/>
      <c r="C11" s="33"/>
      <c r="D11" s="25"/>
      <c r="E11" s="25"/>
      <c r="F11" s="34"/>
      <c r="G11" s="34"/>
      <c r="H11" s="25"/>
      <c r="I11" s="70" t="str">
        <f>IF(C11="Trả lại đơn","",IF(C11="Hòa giải thành","",IF(F11=0,"",EDATE(F11,VLOOKUP(C11,'Thời hạn'!$G$1:$H$12,2,0))+H11)))</f>
        <v/>
      </c>
      <c r="J11" s="59" t="str">
        <f t="shared" ref="J11:J74" ca="1" si="0">IF(C11="Trả lại đơn","",IF(C11="Hòa giải thành","",IF(N11=0,IF(P11=0,IF(F11=0,"",I11-TODAY()+1),""),"")))</f>
        <v/>
      </c>
      <c r="K11" s="25"/>
      <c r="L11" s="129"/>
      <c r="M11" s="130"/>
      <c r="N11" s="35"/>
      <c r="O11" s="34"/>
      <c r="P11" s="25"/>
      <c r="Q11" s="25"/>
      <c r="R11" s="34"/>
      <c r="S11" s="34"/>
      <c r="T11" s="137"/>
      <c r="U11" s="137"/>
      <c r="V11" s="36"/>
      <c r="W11" s="37"/>
      <c r="X11" s="71" t="str">
        <f>IF(C11="Trả lại đơn","",IF((NETWORKDAYS(F11,G11,'Danh sách ngày nghỉ lễ'!$B$5:$B$25)-1-3)&gt;0,"Quá hạn"&amp;" "&amp;(NETWORKDAYS(F11,G11,'Danh sách ngày nghỉ lễ'!$B$5:$B$25)-1-3)&amp;" "&amp;"ngày",""))</f>
        <v/>
      </c>
      <c r="Y11" s="72" t="str">
        <f>IF(S11=0,"",IF(P11="Chuyển","",IF(P11="Nhập vào vụ khác","",IF(P11="CN đối thoại","",IF(P11="CN tại tòa","",IF(P11="BA",IF((S11-R11)&gt;7,"Quá hạn"&amp;" "&amp;(S11-R11-7)&amp;" "&amp;"ngày",""),IF((NETWORKDAYS(R11,S11,'Danh sách ngày nghỉ lễ'!$B$5:$B$25)-VLOOKUP(P11,'Thời hạn'!$D$17:$E$20,2,0))&gt;1,"Quá hạn"&amp;" "&amp;(NETWORKDAYS(R11,S11,'Danh sách ngày nghỉ lễ'!$B$5:$B$25)-1-VLOOKUP(P11,'Thời hạn'!$D$17:$E$20,2,0))&amp;" "&amp;"ngày","")))))))</f>
        <v/>
      </c>
      <c r="Z11" s="23">
        <v>1</v>
      </c>
    </row>
    <row r="12" spans="1:26" x14ac:dyDescent="0.3">
      <c r="A12" s="24">
        <v>1</v>
      </c>
      <c r="B12" s="39"/>
      <c r="C12" s="33"/>
      <c r="D12" s="25"/>
      <c r="E12" s="25"/>
      <c r="F12" s="34"/>
      <c r="G12" s="34"/>
      <c r="H12" s="25"/>
      <c r="I12" s="70" t="str">
        <f>IF(C12="Trả lại đơn","",IF(C12="Hòa giải thành","",IF(F12=0,"",EDATE(F12,VLOOKUP(C12,'Thời hạn'!$G$1:$H$12,2,0))+H12)))</f>
        <v/>
      </c>
      <c r="J12" s="59" t="str">
        <f t="shared" ca="1" si="0"/>
        <v/>
      </c>
      <c r="K12" s="25"/>
      <c r="L12" s="129"/>
      <c r="M12" s="130"/>
      <c r="N12" s="35"/>
      <c r="O12" s="34"/>
      <c r="P12" s="25"/>
      <c r="Q12" s="25"/>
      <c r="R12" s="34"/>
      <c r="S12" s="34"/>
      <c r="T12" s="137"/>
      <c r="U12" s="137"/>
      <c r="V12" s="36"/>
      <c r="W12" s="37"/>
      <c r="X12" s="71" t="str">
        <f>IF(C12="Trả lại đơn","",IF((NETWORKDAYS(F12,G12,'Danh sách ngày nghỉ lễ'!$B$5:$B$25)-1-3)&gt;0,"Quá hạn"&amp;" "&amp;(NETWORKDAYS(F12,G12,'Danh sách ngày nghỉ lễ'!$B$5:$B$25)-1-3)&amp;" "&amp;"ngày",""))</f>
        <v/>
      </c>
      <c r="Y12" s="72" t="str">
        <f>IF(S12=0,"",IF(P12="Chuyển","",IF(P12="Nhập vào vụ khác","",IF(P12="CN đối thoại","",IF(P12="CN tại tòa","",IF(P12="BA",IF((S12-R12)&gt;7,"Quá hạn"&amp;" "&amp;(S12-R12-7)&amp;" "&amp;"ngày",""),IF((NETWORKDAYS(R12,S12,'Danh sách ngày nghỉ lễ'!$B$5:$B$25)-VLOOKUP(P12,'Thời hạn'!$D$17:$E$20,2,0))&gt;1,"Quá hạn"&amp;" "&amp;(NETWORKDAYS(R12,S12,'Danh sách ngày nghỉ lễ'!$B$5:$B$25)-1-VLOOKUP(P12,'Thời hạn'!$D$17:$E$20,2,0))&amp;" "&amp;"ngày","")))))))</f>
        <v/>
      </c>
      <c r="Z12" s="23">
        <v>1</v>
      </c>
    </row>
    <row r="13" spans="1:26" x14ac:dyDescent="0.3">
      <c r="A13" s="24">
        <v>1</v>
      </c>
      <c r="B13" s="39"/>
      <c r="C13" s="33"/>
      <c r="D13" s="25"/>
      <c r="E13" s="25"/>
      <c r="F13" s="34"/>
      <c r="G13" s="34"/>
      <c r="H13" s="25"/>
      <c r="I13" s="70" t="str">
        <f>IF(C13="Trả lại đơn","",IF(C13="Hòa giải thành","",IF(F13=0,"",EDATE(F13,VLOOKUP(C13,'Thời hạn'!$G$1:$H$12,2,0))+H13)))</f>
        <v/>
      </c>
      <c r="J13" s="59" t="str">
        <f t="shared" ca="1" si="0"/>
        <v/>
      </c>
      <c r="K13" s="25"/>
      <c r="L13" s="129"/>
      <c r="M13" s="130"/>
      <c r="N13" s="35"/>
      <c r="O13" s="34"/>
      <c r="P13" s="25"/>
      <c r="Q13" s="25"/>
      <c r="R13" s="34"/>
      <c r="S13" s="34"/>
      <c r="T13" s="137"/>
      <c r="U13" s="137"/>
      <c r="V13" s="36"/>
      <c r="W13" s="37"/>
      <c r="X13" s="71" t="str">
        <f>IF(C13="Trả lại đơn","",IF((NETWORKDAYS(F13,G13,'Danh sách ngày nghỉ lễ'!$B$5:$B$25)-1-3)&gt;0,"Quá hạn"&amp;" "&amp;(NETWORKDAYS(F13,G13,'Danh sách ngày nghỉ lễ'!$B$5:$B$25)-1-3)&amp;" "&amp;"ngày",""))</f>
        <v/>
      </c>
      <c r="Y13" s="72" t="str">
        <f>IF(S13=0,"",IF(P13="Chuyển","",IF(P13="Nhập vào vụ khác","",IF(P13="CN đối thoại","",IF(P13="CN tại tòa","",IF(P13="BA",IF((S13-R13)&gt;7,"Quá hạn"&amp;" "&amp;(S13-R13-7)&amp;" "&amp;"ngày",""),IF((NETWORKDAYS(R13,S13,'Danh sách ngày nghỉ lễ'!$B$5:$B$25)-VLOOKUP(P13,'Thời hạn'!$D$17:$E$20,2,0))&gt;1,"Quá hạn"&amp;" "&amp;(NETWORKDAYS(R13,S13,'Danh sách ngày nghỉ lễ'!$B$5:$B$25)-1-VLOOKUP(P13,'Thời hạn'!$D$17:$E$20,2,0))&amp;" "&amp;"ngày","")))))))</f>
        <v/>
      </c>
      <c r="Z13" s="23">
        <v>1</v>
      </c>
    </row>
    <row r="14" spans="1:26" x14ac:dyDescent="0.3">
      <c r="A14" s="24">
        <v>1</v>
      </c>
      <c r="B14" s="39"/>
      <c r="C14" s="33"/>
      <c r="D14" s="25"/>
      <c r="E14" s="25"/>
      <c r="F14" s="34"/>
      <c r="G14" s="34"/>
      <c r="H14" s="25"/>
      <c r="I14" s="70" t="str">
        <f>IF(C14="Trả lại đơn","",IF(C14="Hòa giải thành","",IF(F14=0,"",EDATE(F14,VLOOKUP(C14,'Thời hạn'!$G$1:$H$12,2,0))+H14)))</f>
        <v/>
      </c>
      <c r="J14" s="59" t="str">
        <f t="shared" ca="1" si="0"/>
        <v/>
      </c>
      <c r="K14" s="25"/>
      <c r="L14" s="129"/>
      <c r="M14" s="130"/>
      <c r="N14" s="35"/>
      <c r="O14" s="34"/>
      <c r="P14" s="25"/>
      <c r="Q14" s="25"/>
      <c r="R14" s="34"/>
      <c r="S14" s="34"/>
      <c r="T14" s="137"/>
      <c r="U14" s="137"/>
      <c r="V14" s="36"/>
      <c r="W14" s="37"/>
      <c r="X14" s="71" t="str">
        <f>IF(C14="Trả lại đơn","",IF((NETWORKDAYS(F14,G14,'Danh sách ngày nghỉ lễ'!$B$5:$B$25)-1-3)&gt;0,"Quá hạn"&amp;" "&amp;(NETWORKDAYS(F14,G14,'Danh sách ngày nghỉ lễ'!$B$5:$B$25)-1-3)&amp;" "&amp;"ngày",""))</f>
        <v/>
      </c>
      <c r="Y14" s="72" t="str">
        <f>IF(S14=0,"",IF(P14="Chuyển","",IF(P14="Nhập vào vụ khác","",IF(P14="CN đối thoại","",IF(P14="CN tại tòa","",IF(P14="BA",IF((S14-R14)&gt;7,"Quá hạn"&amp;" "&amp;(S14-R14-7)&amp;" "&amp;"ngày",""),IF((NETWORKDAYS(R14,S14,'Danh sách ngày nghỉ lễ'!$B$5:$B$25)-VLOOKUP(P14,'Thời hạn'!$D$17:$E$20,2,0))&gt;1,"Quá hạn"&amp;" "&amp;(NETWORKDAYS(R14,S14,'Danh sách ngày nghỉ lễ'!$B$5:$B$25)-1-VLOOKUP(P14,'Thời hạn'!$D$17:$E$20,2,0))&amp;" "&amp;"ngày","")))))))</f>
        <v/>
      </c>
      <c r="Z14" s="23">
        <v>1</v>
      </c>
    </row>
    <row r="15" spans="1:26" x14ac:dyDescent="0.3">
      <c r="A15" s="24">
        <v>1</v>
      </c>
      <c r="B15" s="39"/>
      <c r="C15" s="33"/>
      <c r="D15" s="25"/>
      <c r="E15" s="25"/>
      <c r="F15" s="34"/>
      <c r="G15" s="34"/>
      <c r="H15" s="25"/>
      <c r="I15" s="70" t="str">
        <f>IF(C15="Trả lại đơn","",IF(C15="Hòa giải thành","",IF(F15=0,"",EDATE(F15,VLOOKUP(C15,'Thời hạn'!$G$1:$H$12,2,0))+H15)))</f>
        <v/>
      </c>
      <c r="J15" s="59" t="str">
        <f t="shared" ca="1" si="0"/>
        <v/>
      </c>
      <c r="K15" s="25"/>
      <c r="L15" s="129"/>
      <c r="M15" s="130"/>
      <c r="N15" s="35"/>
      <c r="O15" s="34"/>
      <c r="P15" s="25"/>
      <c r="Q15" s="25"/>
      <c r="R15" s="34"/>
      <c r="S15" s="34"/>
      <c r="T15" s="137"/>
      <c r="U15" s="137"/>
      <c r="V15" s="36"/>
      <c r="W15" s="37"/>
      <c r="X15" s="71" t="str">
        <f>IF(C15="Trả lại đơn","",IF((NETWORKDAYS(F15,G15,'Danh sách ngày nghỉ lễ'!$B$5:$B$25)-1-3)&gt;0,"Quá hạn"&amp;" "&amp;(NETWORKDAYS(F15,G15,'Danh sách ngày nghỉ lễ'!$B$5:$B$25)-1-3)&amp;" "&amp;"ngày",""))</f>
        <v/>
      </c>
      <c r="Y15" s="72" t="str">
        <f>IF(S15=0,"",IF(P15="Chuyển","",IF(P15="Nhập vào vụ khác","",IF(P15="CN đối thoại","",IF(P15="CN tại tòa","",IF(P15="BA",IF((S15-R15)&gt;7,"Quá hạn"&amp;" "&amp;(S15-R15-7)&amp;" "&amp;"ngày",""),IF((NETWORKDAYS(R15,S15,'Danh sách ngày nghỉ lễ'!$B$5:$B$25)-VLOOKUP(P15,'Thời hạn'!$D$17:$E$20,2,0))&gt;1,"Quá hạn"&amp;" "&amp;(NETWORKDAYS(R15,S15,'Danh sách ngày nghỉ lễ'!$B$5:$B$25)-1-VLOOKUP(P15,'Thời hạn'!$D$17:$E$20,2,0))&amp;" "&amp;"ngày","")))))))</f>
        <v/>
      </c>
      <c r="Z15" s="23">
        <v>1</v>
      </c>
    </row>
    <row r="16" spans="1:26" x14ac:dyDescent="0.3">
      <c r="A16" s="24">
        <v>1</v>
      </c>
      <c r="B16" s="39"/>
      <c r="C16" s="33"/>
      <c r="D16" s="25"/>
      <c r="E16" s="25"/>
      <c r="F16" s="34"/>
      <c r="G16" s="34"/>
      <c r="H16" s="25"/>
      <c r="I16" s="70" t="str">
        <f>IF(C16="Trả lại đơn","",IF(C16="Hòa giải thành","",IF(F16=0,"",EDATE(F16,VLOOKUP(C16,'Thời hạn'!$G$1:$H$12,2,0))+H16)))</f>
        <v/>
      </c>
      <c r="J16" s="59" t="str">
        <f t="shared" ca="1" si="0"/>
        <v/>
      </c>
      <c r="K16" s="25"/>
      <c r="L16" s="129"/>
      <c r="M16" s="130"/>
      <c r="N16" s="35"/>
      <c r="O16" s="34"/>
      <c r="P16" s="25"/>
      <c r="Q16" s="25"/>
      <c r="R16" s="34"/>
      <c r="S16" s="34"/>
      <c r="T16" s="137"/>
      <c r="U16" s="137"/>
      <c r="V16" s="36"/>
      <c r="W16" s="37"/>
      <c r="X16" s="71" t="str">
        <f>IF(C16="Trả lại đơn","",IF((NETWORKDAYS(F16,G16,'Danh sách ngày nghỉ lễ'!$B$5:$B$25)-1-3)&gt;0,"Quá hạn"&amp;" "&amp;(NETWORKDAYS(F16,G16,'Danh sách ngày nghỉ lễ'!$B$5:$B$25)-1-3)&amp;" "&amp;"ngày",""))</f>
        <v/>
      </c>
      <c r="Y16" s="72" t="str">
        <f>IF(S16=0,"",IF(P16="Chuyển","",IF(P16="Nhập vào vụ khác","",IF(P16="CN đối thoại","",IF(P16="CN tại tòa","",IF(P16="BA",IF((S16-R16)&gt;7,"Quá hạn"&amp;" "&amp;(S16-R16-7)&amp;" "&amp;"ngày",""),IF((NETWORKDAYS(R16,S16,'Danh sách ngày nghỉ lễ'!$B$5:$B$25)-VLOOKUP(P16,'Thời hạn'!$D$17:$E$20,2,0))&gt;1,"Quá hạn"&amp;" "&amp;(NETWORKDAYS(R16,S16,'Danh sách ngày nghỉ lễ'!$B$5:$B$25)-1-VLOOKUP(P16,'Thời hạn'!$D$17:$E$20,2,0))&amp;" "&amp;"ngày","")))))))</f>
        <v/>
      </c>
      <c r="Z16" s="23">
        <v>1</v>
      </c>
    </row>
    <row r="17" spans="1:26" x14ac:dyDescent="0.3">
      <c r="A17" s="24">
        <v>1</v>
      </c>
      <c r="B17" s="39"/>
      <c r="C17" s="33"/>
      <c r="D17" s="25"/>
      <c r="E17" s="25"/>
      <c r="F17" s="34"/>
      <c r="G17" s="34"/>
      <c r="H17" s="25"/>
      <c r="I17" s="70" t="str">
        <f>IF(C17="Trả lại đơn","",IF(C17="Hòa giải thành","",IF(F17=0,"",EDATE(F17,VLOOKUP(C17,'Thời hạn'!$G$1:$H$12,2,0))+H17)))</f>
        <v/>
      </c>
      <c r="J17" s="59" t="str">
        <f t="shared" ca="1" si="0"/>
        <v/>
      </c>
      <c r="K17" s="25"/>
      <c r="L17" s="129"/>
      <c r="M17" s="130"/>
      <c r="N17" s="35"/>
      <c r="O17" s="34"/>
      <c r="P17" s="25"/>
      <c r="Q17" s="25"/>
      <c r="R17" s="34"/>
      <c r="S17" s="34"/>
      <c r="T17" s="137"/>
      <c r="U17" s="137"/>
      <c r="V17" s="36"/>
      <c r="W17" s="37"/>
      <c r="X17" s="71" t="str">
        <f>IF(C17="Trả lại đơn","",IF((NETWORKDAYS(F17,G17,'Danh sách ngày nghỉ lễ'!$B$5:$B$25)-1-3)&gt;0,"Quá hạn"&amp;" "&amp;(NETWORKDAYS(F17,G17,'Danh sách ngày nghỉ lễ'!$B$5:$B$25)-1-3)&amp;" "&amp;"ngày",""))</f>
        <v/>
      </c>
      <c r="Y17" s="72" t="str">
        <f>IF(S17=0,"",IF(P17="Chuyển","",IF(P17="Nhập vào vụ khác","",IF(P17="CN đối thoại","",IF(P17="CN tại tòa","",IF(P17="BA",IF((S17-R17)&gt;7,"Quá hạn"&amp;" "&amp;(S17-R17-7)&amp;" "&amp;"ngày",""),IF((NETWORKDAYS(R17,S17,'Danh sách ngày nghỉ lễ'!$B$5:$B$25)-VLOOKUP(P17,'Thời hạn'!$D$17:$E$20,2,0))&gt;1,"Quá hạn"&amp;" "&amp;(NETWORKDAYS(R17,S17,'Danh sách ngày nghỉ lễ'!$B$5:$B$25)-1-VLOOKUP(P17,'Thời hạn'!$D$17:$E$20,2,0))&amp;" "&amp;"ngày","")))))))</f>
        <v/>
      </c>
      <c r="Z17" s="23">
        <v>1</v>
      </c>
    </row>
    <row r="18" spans="1:26" x14ac:dyDescent="0.3">
      <c r="A18" s="24">
        <v>1</v>
      </c>
      <c r="B18" s="39"/>
      <c r="C18" s="33"/>
      <c r="D18" s="25"/>
      <c r="E18" s="25"/>
      <c r="F18" s="34"/>
      <c r="G18" s="34"/>
      <c r="H18" s="25"/>
      <c r="I18" s="70" t="str">
        <f>IF(C18="Trả lại đơn","",IF(C18="Hòa giải thành","",IF(F18=0,"",EDATE(F18,VLOOKUP(C18,'Thời hạn'!$G$1:$H$12,2,0))+H18)))</f>
        <v/>
      </c>
      <c r="J18" s="59" t="str">
        <f t="shared" ca="1" si="0"/>
        <v/>
      </c>
      <c r="K18" s="25"/>
      <c r="L18" s="129"/>
      <c r="M18" s="130"/>
      <c r="N18" s="35"/>
      <c r="O18" s="34"/>
      <c r="P18" s="25"/>
      <c r="Q18" s="25"/>
      <c r="R18" s="34"/>
      <c r="S18" s="34"/>
      <c r="T18" s="137"/>
      <c r="U18" s="137"/>
      <c r="V18" s="36"/>
      <c r="W18" s="37"/>
      <c r="X18" s="71" t="str">
        <f>IF(C18="Trả lại đơn","",IF((NETWORKDAYS(F18,G18,'Danh sách ngày nghỉ lễ'!$B$5:$B$25)-1-3)&gt;0,"Quá hạn"&amp;" "&amp;(NETWORKDAYS(F18,G18,'Danh sách ngày nghỉ lễ'!$B$5:$B$25)-1-3)&amp;" "&amp;"ngày",""))</f>
        <v/>
      </c>
      <c r="Y18" s="72" t="str">
        <f>IF(S18=0,"",IF(P18="Chuyển","",IF(P18="Nhập vào vụ khác","",IF(P18="CN đối thoại","",IF(P18="CN tại tòa","",IF(P18="BA",IF((S18-R18)&gt;7,"Quá hạn"&amp;" "&amp;(S18-R18-7)&amp;" "&amp;"ngày",""),IF((NETWORKDAYS(R18,S18,'Danh sách ngày nghỉ lễ'!$B$5:$B$25)-VLOOKUP(P18,'Thời hạn'!$D$17:$E$20,2,0))&gt;1,"Quá hạn"&amp;" "&amp;(NETWORKDAYS(R18,S18,'Danh sách ngày nghỉ lễ'!$B$5:$B$25)-1-VLOOKUP(P18,'Thời hạn'!$D$17:$E$20,2,0))&amp;" "&amp;"ngày","")))))))</f>
        <v/>
      </c>
      <c r="Z18" s="23">
        <v>1</v>
      </c>
    </row>
    <row r="19" spans="1:26" x14ac:dyDescent="0.3">
      <c r="A19" s="24">
        <v>1</v>
      </c>
      <c r="B19" s="39"/>
      <c r="C19" s="33"/>
      <c r="D19" s="25"/>
      <c r="E19" s="25"/>
      <c r="F19" s="34"/>
      <c r="G19" s="34"/>
      <c r="H19" s="25"/>
      <c r="I19" s="70" t="str">
        <f>IF(C19="Trả lại đơn","",IF(C19="Hòa giải thành","",IF(F19=0,"",EDATE(F19,VLOOKUP(C19,'Thời hạn'!$G$1:$H$12,2,0))+H19)))</f>
        <v/>
      </c>
      <c r="J19" s="59" t="str">
        <f t="shared" ca="1" si="0"/>
        <v/>
      </c>
      <c r="K19" s="25"/>
      <c r="L19" s="129"/>
      <c r="M19" s="130"/>
      <c r="N19" s="35"/>
      <c r="O19" s="34"/>
      <c r="P19" s="25"/>
      <c r="Q19" s="25"/>
      <c r="R19" s="34"/>
      <c r="S19" s="34"/>
      <c r="T19" s="137"/>
      <c r="U19" s="137"/>
      <c r="V19" s="36"/>
      <c r="W19" s="37"/>
      <c r="X19" s="71" t="str">
        <f>IF(C19="Trả lại đơn","",IF((NETWORKDAYS(F19,G19,'Danh sách ngày nghỉ lễ'!$B$5:$B$25)-1-3)&gt;0,"Quá hạn"&amp;" "&amp;(NETWORKDAYS(F19,G19,'Danh sách ngày nghỉ lễ'!$B$5:$B$25)-1-3)&amp;" "&amp;"ngày",""))</f>
        <v/>
      </c>
      <c r="Y19" s="72" t="str">
        <f>IF(S19=0,"",IF(P19="Chuyển","",IF(P19="Nhập vào vụ khác","",IF(P19="CN đối thoại","",IF(P19="CN tại tòa","",IF(P19="BA",IF((S19-R19)&gt;7,"Quá hạn"&amp;" "&amp;(S19-R19-7)&amp;" "&amp;"ngày",""),IF((NETWORKDAYS(R19,S19,'Danh sách ngày nghỉ lễ'!$B$5:$B$25)-VLOOKUP(P19,'Thời hạn'!$D$17:$E$20,2,0))&gt;1,"Quá hạn"&amp;" "&amp;(NETWORKDAYS(R19,S19,'Danh sách ngày nghỉ lễ'!$B$5:$B$25)-1-VLOOKUP(P19,'Thời hạn'!$D$17:$E$20,2,0))&amp;" "&amp;"ngày","")))))))</f>
        <v/>
      </c>
      <c r="Z19" s="23">
        <v>1</v>
      </c>
    </row>
    <row r="20" spans="1:26" x14ac:dyDescent="0.3">
      <c r="A20" s="24">
        <v>1</v>
      </c>
      <c r="B20" s="39"/>
      <c r="C20" s="33"/>
      <c r="D20" s="25"/>
      <c r="E20" s="25"/>
      <c r="F20" s="34"/>
      <c r="G20" s="34"/>
      <c r="H20" s="25"/>
      <c r="I20" s="70" t="str">
        <f>IF(C20="Trả lại đơn","",IF(C20="Hòa giải thành","",IF(F20=0,"",EDATE(F20,VLOOKUP(C20,'Thời hạn'!$G$1:$H$12,2,0))+H20)))</f>
        <v/>
      </c>
      <c r="J20" s="59" t="str">
        <f t="shared" ca="1" si="0"/>
        <v/>
      </c>
      <c r="K20" s="25"/>
      <c r="L20" s="129"/>
      <c r="M20" s="130"/>
      <c r="N20" s="35"/>
      <c r="O20" s="34"/>
      <c r="P20" s="25"/>
      <c r="Q20" s="25"/>
      <c r="R20" s="34"/>
      <c r="S20" s="34"/>
      <c r="T20" s="137"/>
      <c r="U20" s="137"/>
      <c r="V20" s="36"/>
      <c r="W20" s="37"/>
      <c r="X20" s="71" t="str">
        <f>IF(C20="Trả lại đơn","",IF((NETWORKDAYS(F20,G20,'Danh sách ngày nghỉ lễ'!$B$5:$B$25)-1-3)&gt;0,"Quá hạn"&amp;" "&amp;(NETWORKDAYS(F20,G20,'Danh sách ngày nghỉ lễ'!$B$5:$B$25)-1-3)&amp;" "&amp;"ngày",""))</f>
        <v/>
      </c>
      <c r="Y20" s="72" t="str">
        <f>IF(S20=0,"",IF(P20="Chuyển","",IF(P20="Nhập vào vụ khác","",IF(P20="CN đối thoại","",IF(P20="CN tại tòa","",IF(P20="BA",IF((S20-R20)&gt;7,"Quá hạn"&amp;" "&amp;(S20-R20-7)&amp;" "&amp;"ngày",""),IF((NETWORKDAYS(R20,S20,'Danh sách ngày nghỉ lễ'!$B$5:$B$25)-VLOOKUP(P20,'Thời hạn'!$D$17:$E$20,2,0))&gt;1,"Quá hạn"&amp;" "&amp;(NETWORKDAYS(R20,S20,'Danh sách ngày nghỉ lễ'!$B$5:$B$25)-1-VLOOKUP(P20,'Thời hạn'!$D$17:$E$20,2,0))&amp;" "&amp;"ngày","")))))))</f>
        <v/>
      </c>
      <c r="Z20" s="23">
        <v>1</v>
      </c>
    </row>
    <row r="21" spans="1:26" x14ac:dyDescent="0.3">
      <c r="A21" s="24">
        <v>1</v>
      </c>
      <c r="B21" s="39"/>
      <c r="C21" s="33"/>
      <c r="D21" s="25"/>
      <c r="E21" s="25"/>
      <c r="F21" s="34"/>
      <c r="G21" s="34"/>
      <c r="H21" s="25"/>
      <c r="I21" s="70" t="str">
        <f>IF(C21="Trả lại đơn","",IF(C21="Hòa giải thành","",IF(F21=0,"",EDATE(F21,VLOOKUP(C21,'Thời hạn'!$G$1:$H$12,2,0))+H21)))</f>
        <v/>
      </c>
      <c r="J21" s="59" t="str">
        <f t="shared" ca="1" si="0"/>
        <v/>
      </c>
      <c r="K21" s="25"/>
      <c r="L21" s="129"/>
      <c r="M21" s="130"/>
      <c r="N21" s="35"/>
      <c r="O21" s="34"/>
      <c r="P21" s="25"/>
      <c r="Q21" s="25"/>
      <c r="R21" s="34"/>
      <c r="S21" s="34"/>
      <c r="T21" s="137"/>
      <c r="U21" s="137"/>
      <c r="V21" s="36"/>
      <c r="W21" s="37"/>
      <c r="X21" s="71" t="str">
        <f>IF(C21="Trả lại đơn","",IF((NETWORKDAYS(F21,G21,'Danh sách ngày nghỉ lễ'!$B$5:$B$25)-1-3)&gt;0,"Quá hạn"&amp;" "&amp;(NETWORKDAYS(F21,G21,'Danh sách ngày nghỉ lễ'!$B$5:$B$25)-1-3)&amp;" "&amp;"ngày",""))</f>
        <v/>
      </c>
      <c r="Y21" s="72" t="str">
        <f>IF(S21=0,"",IF(P21="Chuyển","",IF(P21="Nhập vào vụ khác","",IF(P21="CN đối thoại","",IF(P21="CN tại tòa","",IF(P21="BA",IF((S21-R21)&gt;7,"Quá hạn"&amp;" "&amp;(S21-R21-7)&amp;" "&amp;"ngày",""),IF((NETWORKDAYS(R21,S21,'Danh sách ngày nghỉ lễ'!$B$5:$B$25)-VLOOKUP(P21,'Thời hạn'!$D$17:$E$20,2,0))&gt;1,"Quá hạn"&amp;" "&amp;(NETWORKDAYS(R21,S21,'Danh sách ngày nghỉ lễ'!$B$5:$B$25)-1-VLOOKUP(P21,'Thời hạn'!$D$17:$E$20,2,0))&amp;" "&amp;"ngày","")))))))</f>
        <v/>
      </c>
      <c r="Z21" s="23">
        <v>1</v>
      </c>
    </row>
    <row r="22" spans="1:26" x14ac:dyDescent="0.3">
      <c r="A22" s="24">
        <v>1</v>
      </c>
      <c r="B22" s="39"/>
      <c r="C22" s="33"/>
      <c r="D22" s="25"/>
      <c r="E22" s="25"/>
      <c r="F22" s="34"/>
      <c r="G22" s="34"/>
      <c r="H22" s="25"/>
      <c r="I22" s="70" t="str">
        <f>IF(C22="Trả lại đơn","",IF(C22="Hòa giải thành","",IF(F22=0,"",EDATE(F22,VLOOKUP(C22,'Thời hạn'!$G$1:$H$12,2,0))+H22)))</f>
        <v/>
      </c>
      <c r="J22" s="59" t="str">
        <f t="shared" ca="1" si="0"/>
        <v/>
      </c>
      <c r="K22" s="25"/>
      <c r="L22" s="129"/>
      <c r="M22" s="130"/>
      <c r="N22" s="35"/>
      <c r="O22" s="34"/>
      <c r="P22" s="25"/>
      <c r="Q22" s="25"/>
      <c r="R22" s="34"/>
      <c r="S22" s="34"/>
      <c r="T22" s="137"/>
      <c r="U22" s="137"/>
      <c r="V22" s="36"/>
      <c r="W22" s="37"/>
      <c r="X22" s="71" t="str">
        <f>IF(C22="Trả lại đơn","",IF((NETWORKDAYS(F22,G22,'Danh sách ngày nghỉ lễ'!$B$5:$B$25)-1-3)&gt;0,"Quá hạn"&amp;" "&amp;(NETWORKDAYS(F22,G22,'Danh sách ngày nghỉ lễ'!$B$5:$B$25)-1-3)&amp;" "&amp;"ngày",""))</f>
        <v/>
      </c>
      <c r="Y22" s="72" t="str">
        <f>IF(S22=0,"",IF(P22="Chuyển","",IF(P22="Nhập vào vụ khác","",IF(P22="CN đối thoại","",IF(P22="CN tại tòa","",IF(P22="BA",IF((S22-R22)&gt;7,"Quá hạn"&amp;" "&amp;(S22-R22-7)&amp;" "&amp;"ngày",""),IF((NETWORKDAYS(R22,S22,'Danh sách ngày nghỉ lễ'!$B$5:$B$25)-VLOOKUP(P22,'Thời hạn'!$D$17:$E$20,2,0))&gt;1,"Quá hạn"&amp;" "&amp;(NETWORKDAYS(R22,S22,'Danh sách ngày nghỉ lễ'!$B$5:$B$25)-1-VLOOKUP(P22,'Thời hạn'!$D$17:$E$20,2,0))&amp;" "&amp;"ngày","")))))))</f>
        <v/>
      </c>
      <c r="Z22" s="23">
        <v>1</v>
      </c>
    </row>
    <row r="23" spans="1:26" x14ac:dyDescent="0.3">
      <c r="A23" s="24">
        <v>1</v>
      </c>
      <c r="B23" s="39"/>
      <c r="C23" s="33"/>
      <c r="D23" s="25"/>
      <c r="E23" s="25"/>
      <c r="F23" s="34"/>
      <c r="G23" s="34"/>
      <c r="H23" s="25"/>
      <c r="I23" s="70" t="str">
        <f>IF(C23="Trả lại đơn","",IF(C23="Hòa giải thành","",IF(F23=0,"",EDATE(F23,VLOOKUP(C23,'Thời hạn'!$G$1:$H$12,2,0))+H23)))</f>
        <v/>
      </c>
      <c r="J23" s="59" t="str">
        <f t="shared" ca="1" si="0"/>
        <v/>
      </c>
      <c r="K23" s="25"/>
      <c r="L23" s="129"/>
      <c r="M23" s="130"/>
      <c r="N23" s="35"/>
      <c r="O23" s="34"/>
      <c r="P23" s="25"/>
      <c r="Q23" s="25"/>
      <c r="R23" s="34"/>
      <c r="S23" s="34"/>
      <c r="T23" s="137"/>
      <c r="U23" s="137"/>
      <c r="V23" s="36"/>
      <c r="W23" s="37"/>
      <c r="X23" s="71" t="str">
        <f>IF(C23="Trả lại đơn","",IF((NETWORKDAYS(F23,G23,'Danh sách ngày nghỉ lễ'!$B$5:$B$25)-1-3)&gt;0,"Quá hạn"&amp;" "&amp;(NETWORKDAYS(F23,G23,'Danh sách ngày nghỉ lễ'!$B$5:$B$25)-1-3)&amp;" "&amp;"ngày",""))</f>
        <v/>
      </c>
      <c r="Y23" s="72" t="str">
        <f>IF(S23=0,"",IF(P23="Chuyển","",IF(P23="Nhập vào vụ khác","",IF(P23="CN đối thoại","",IF(P23="CN tại tòa","",IF(P23="BA",IF((S23-R23)&gt;7,"Quá hạn"&amp;" "&amp;(S23-R23-7)&amp;" "&amp;"ngày",""),IF((NETWORKDAYS(R23,S23,'Danh sách ngày nghỉ lễ'!$B$5:$B$25)-VLOOKUP(P23,'Thời hạn'!$D$17:$E$20,2,0))&gt;1,"Quá hạn"&amp;" "&amp;(NETWORKDAYS(R23,S23,'Danh sách ngày nghỉ lễ'!$B$5:$B$25)-1-VLOOKUP(P23,'Thời hạn'!$D$17:$E$20,2,0))&amp;" "&amp;"ngày","")))))))</f>
        <v/>
      </c>
      <c r="Z23" s="23">
        <v>1</v>
      </c>
    </row>
    <row r="24" spans="1:26" x14ac:dyDescent="0.3">
      <c r="A24" s="24">
        <v>1</v>
      </c>
      <c r="B24" s="39"/>
      <c r="C24" s="33"/>
      <c r="D24" s="25"/>
      <c r="E24" s="25"/>
      <c r="F24" s="34"/>
      <c r="G24" s="34"/>
      <c r="H24" s="25"/>
      <c r="I24" s="70" t="str">
        <f>IF(C24="Trả lại đơn","",IF(C24="Hòa giải thành","",IF(F24=0,"",EDATE(F24,VLOOKUP(C24,'Thời hạn'!$G$1:$H$12,2,0))+H24)))</f>
        <v/>
      </c>
      <c r="J24" s="59" t="str">
        <f t="shared" ca="1" si="0"/>
        <v/>
      </c>
      <c r="K24" s="25"/>
      <c r="L24" s="129"/>
      <c r="M24" s="130"/>
      <c r="N24" s="35"/>
      <c r="O24" s="34"/>
      <c r="P24" s="25"/>
      <c r="Q24" s="25"/>
      <c r="R24" s="34"/>
      <c r="S24" s="34"/>
      <c r="T24" s="137"/>
      <c r="U24" s="137"/>
      <c r="V24" s="36"/>
      <c r="W24" s="37"/>
      <c r="X24" s="71" t="str">
        <f>IF(C24="Trả lại đơn","",IF((NETWORKDAYS(F24,G24,'Danh sách ngày nghỉ lễ'!$B$5:$B$25)-1-3)&gt;0,"Quá hạn"&amp;" "&amp;(NETWORKDAYS(F24,G24,'Danh sách ngày nghỉ lễ'!$B$5:$B$25)-1-3)&amp;" "&amp;"ngày",""))</f>
        <v/>
      </c>
      <c r="Y24" s="72" t="str">
        <f>IF(S24=0,"",IF(P24="Chuyển","",IF(P24="Nhập vào vụ khác","",IF(P24="CN đối thoại","",IF(P24="CN tại tòa","",IF(P24="BA",IF((S24-R24)&gt;7,"Quá hạn"&amp;" "&amp;(S24-R24-7)&amp;" "&amp;"ngày",""),IF((NETWORKDAYS(R24,S24,'Danh sách ngày nghỉ lễ'!$B$5:$B$25)-VLOOKUP(P24,'Thời hạn'!$D$17:$E$20,2,0))&gt;1,"Quá hạn"&amp;" "&amp;(NETWORKDAYS(R24,S24,'Danh sách ngày nghỉ lễ'!$B$5:$B$25)-1-VLOOKUP(P24,'Thời hạn'!$D$17:$E$20,2,0))&amp;" "&amp;"ngày","")))))))</f>
        <v/>
      </c>
      <c r="Z24" s="23">
        <v>1</v>
      </c>
    </row>
    <row r="25" spans="1:26" x14ac:dyDescent="0.3">
      <c r="A25" s="24">
        <v>1</v>
      </c>
      <c r="B25" s="39"/>
      <c r="C25" s="33"/>
      <c r="D25" s="25"/>
      <c r="E25" s="25"/>
      <c r="F25" s="34"/>
      <c r="G25" s="34"/>
      <c r="H25" s="25"/>
      <c r="I25" s="70" t="str">
        <f>IF(C25="Trả lại đơn","",IF(C25="Hòa giải thành","",IF(F25=0,"",EDATE(F25,VLOOKUP(C25,'Thời hạn'!$G$1:$H$12,2,0))+H25)))</f>
        <v/>
      </c>
      <c r="J25" s="59" t="str">
        <f t="shared" ca="1" si="0"/>
        <v/>
      </c>
      <c r="K25" s="25"/>
      <c r="L25" s="129"/>
      <c r="M25" s="130"/>
      <c r="N25" s="35"/>
      <c r="O25" s="34"/>
      <c r="P25" s="25"/>
      <c r="Q25" s="25"/>
      <c r="R25" s="34"/>
      <c r="S25" s="34"/>
      <c r="T25" s="137"/>
      <c r="U25" s="137"/>
      <c r="V25" s="36"/>
      <c r="W25" s="37"/>
      <c r="X25" s="71" t="str">
        <f>IF(C25="Trả lại đơn","",IF((NETWORKDAYS(F25,G25,'Danh sách ngày nghỉ lễ'!$B$5:$B$25)-1-3)&gt;0,"Quá hạn"&amp;" "&amp;(NETWORKDAYS(F25,G25,'Danh sách ngày nghỉ lễ'!$B$5:$B$25)-1-3)&amp;" "&amp;"ngày",""))</f>
        <v/>
      </c>
      <c r="Y25" s="72" t="str">
        <f>IF(S25=0,"",IF(P25="Chuyển","",IF(P25="Nhập vào vụ khác","",IF(P25="CN đối thoại","",IF(P25="CN tại tòa","",IF(P25="BA",IF((S25-R25)&gt;7,"Quá hạn"&amp;" "&amp;(S25-R25-7)&amp;" "&amp;"ngày",""),IF((NETWORKDAYS(R25,S25,'Danh sách ngày nghỉ lễ'!$B$5:$B$25)-VLOOKUP(P25,'Thời hạn'!$D$17:$E$20,2,0))&gt;1,"Quá hạn"&amp;" "&amp;(NETWORKDAYS(R25,S25,'Danh sách ngày nghỉ lễ'!$B$5:$B$25)-1-VLOOKUP(P25,'Thời hạn'!$D$17:$E$20,2,0))&amp;" "&amp;"ngày","")))))))</f>
        <v/>
      </c>
      <c r="Z25" s="23">
        <v>1</v>
      </c>
    </row>
    <row r="26" spans="1:26" x14ac:dyDescent="0.3">
      <c r="A26" s="24">
        <v>1</v>
      </c>
      <c r="B26" s="39"/>
      <c r="C26" s="33"/>
      <c r="D26" s="25"/>
      <c r="E26" s="25"/>
      <c r="F26" s="34"/>
      <c r="G26" s="34"/>
      <c r="H26" s="25"/>
      <c r="I26" s="70" t="str">
        <f>IF(C26="Trả lại đơn","",IF(C26="Hòa giải thành","",IF(F26=0,"",EDATE(F26,VLOOKUP(C26,'Thời hạn'!$G$1:$H$12,2,0))+H26)))</f>
        <v/>
      </c>
      <c r="J26" s="59" t="str">
        <f t="shared" ca="1" si="0"/>
        <v/>
      </c>
      <c r="K26" s="25"/>
      <c r="L26" s="129"/>
      <c r="M26" s="130"/>
      <c r="N26" s="35"/>
      <c r="O26" s="34"/>
      <c r="P26" s="25"/>
      <c r="Q26" s="25"/>
      <c r="R26" s="34"/>
      <c r="S26" s="34"/>
      <c r="T26" s="137"/>
      <c r="U26" s="137"/>
      <c r="V26" s="36"/>
      <c r="W26" s="37"/>
      <c r="X26" s="71" t="str">
        <f>IF(C26="Trả lại đơn","",IF((NETWORKDAYS(F26,G26,'Danh sách ngày nghỉ lễ'!$B$5:$B$25)-1-3)&gt;0,"Quá hạn"&amp;" "&amp;(NETWORKDAYS(F26,G26,'Danh sách ngày nghỉ lễ'!$B$5:$B$25)-1-3)&amp;" "&amp;"ngày",""))</f>
        <v/>
      </c>
      <c r="Y26" s="72" t="str">
        <f>IF(S26=0,"",IF(P26="Chuyển","",IF(P26="Nhập vào vụ khác","",IF(P26="CN đối thoại","",IF(P26="CN tại tòa","",IF(P26="BA",IF((S26-R26)&gt;7,"Quá hạn"&amp;" "&amp;(S26-R26-7)&amp;" "&amp;"ngày",""),IF((NETWORKDAYS(R26,S26,'Danh sách ngày nghỉ lễ'!$B$5:$B$25)-VLOOKUP(P26,'Thời hạn'!$D$17:$E$20,2,0))&gt;1,"Quá hạn"&amp;" "&amp;(NETWORKDAYS(R26,S26,'Danh sách ngày nghỉ lễ'!$B$5:$B$25)-1-VLOOKUP(P26,'Thời hạn'!$D$17:$E$20,2,0))&amp;" "&amp;"ngày","")))))))</f>
        <v/>
      </c>
      <c r="Z26" s="23">
        <v>1</v>
      </c>
    </row>
    <row r="27" spans="1:26" x14ac:dyDescent="0.3">
      <c r="A27" s="24">
        <v>1</v>
      </c>
      <c r="B27" s="39"/>
      <c r="C27" s="33"/>
      <c r="D27" s="25"/>
      <c r="E27" s="25"/>
      <c r="F27" s="34"/>
      <c r="G27" s="34"/>
      <c r="H27" s="25"/>
      <c r="I27" s="70" t="str">
        <f>IF(C27="Trả lại đơn","",IF(C27="Hòa giải thành","",IF(F27=0,"",EDATE(F27,VLOOKUP(C27,'Thời hạn'!$G$1:$H$12,2,0))+H27)))</f>
        <v/>
      </c>
      <c r="J27" s="59" t="str">
        <f t="shared" ca="1" si="0"/>
        <v/>
      </c>
      <c r="K27" s="25"/>
      <c r="L27" s="129"/>
      <c r="M27" s="130"/>
      <c r="N27" s="35"/>
      <c r="O27" s="34"/>
      <c r="P27" s="25"/>
      <c r="Q27" s="25"/>
      <c r="R27" s="34"/>
      <c r="S27" s="34"/>
      <c r="T27" s="137"/>
      <c r="U27" s="137"/>
      <c r="V27" s="36"/>
      <c r="W27" s="37"/>
      <c r="X27" s="71" t="str">
        <f>IF(C27="Trả lại đơn","",IF((NETWORKDAYS(F27,G27,'Danh sách ngày nghỉ lễ'!$B$5:$B$25)-1-3)&gt;0,"Quá hạn"&amp;" "&amp;(NETWORKDAYS(F27,G27,'Danh sách ngày nghỉ lễ'!$B$5:$B$25)-1-3)&amp;" "&amp;"ngày",""))</f>
        <v/>
      </c>
      <c r="Y27" s="72" t="str">
        <f>IF(S27=0,"",IF(P27="Chuyển","",IF(P27="Nhập vào vụ khác","",IF(P27="CN đối thoại","",IF(P27="CN tại tòa","",IF(P27="BA",IF((S27-R27)&gt;7,"Quá hạn"&amp;" "&amp;(S27-R27-7)&amp;" "&amp;"ngày",""),IF((NETWORKDAYS(R27,S27,'Danh sách ngày nghỉ lễ'!$B$5:$B$25)-VLOOKUP(P27,'Thời hạn'!$D$17:$E$20,2,0))&gt;1,"Quá hạn"&amp;" "&amp;(NETWORKDAYS(R27,S27,'Danh sách ngày nghỉ lễ'!$B$5:$B$25)-1-VLOOKUP(P27,'Thời hạn'!$D$17:$E$20,2,0))&amp;" "&amp;"ngày","")))))))</f>
        <v/>
      </c>
      <c r="Z27" s="23">
        <v>1</v>
      </c>
    </row>
    <row r="28" spans="1:26" x14ac:dyDescent="0.3">
      <c r="A28" s="24">
        <v>1</v>
      </c>
      <c r="B28" s="39"/>
      <c r="C28" s="33"/>
      <c r="D28" s="25"/>
      <c r="E28" s="25"/>
      <c r="F28" s="34"/>
      <c r="G28" s="34"/>
      <c r="H28" s="25"/>
      <c r="I28" s="70" t="str">
        <f>IF(C28="Trả lại đơn","",IF(C28="Hòa giải thành","",IF(F28=0,"",EDATE(F28,VLOOKUP(C28,'Thời hạn'!$G$1:$H$12,2,0))+H28)))</f>
        <v/>
      </c>
      <c r="J28" s="59" t="str">
        <f t="shared" ca="1" si="0"/>
        <v/>
      </c>
      <c r="K28" s="25"/>
      <c r="L28" s="129"/>
      <c r="M28" s="130"/>
      <c r="N28" s="35"/>
      <c r="O28" s="34"/>
      <c r="P28" s="25"/>
      <c r="Q28" s="25"/>
      <c r="R28" s="34"/>
      <c r="S28" s="34"/>
      <c r="T28" s="137"/>
      <c r="U28" s="137"/>
      <c r="V28" s="36"/>
      <c r="W28" s="37"/>
      <c r="X28" s="71" t="str">
        <f>IF(C28="Trả lại đơn","",IF((NETWORKDAYS(F28,G28,'Danh sách ngày nghỉ lễ'!$B$5:$B$25)-1-3)&gt;0,"Quá hạn"&amp;" "&amp;(NETWORKDAYS(F28,G28,'Danh sách ngày nghỉ lễ'!$B$5:$B$25)-1-3)&amp;" "&amp;"ngày",""))</f>
        <v/>
      </c>
      <c r="Y28" s="72" t="str">
        <f>IF(S28=0,"",IF(P28="Chuyển","",IF(P28="Nhập vào vụ khác","",IF(P28="CN đối thoại","",IF(P28="CN tại tòa","",IF(P28="BA",IF((S28-R28)&gt;7,"Quá hạn"&amp;" "&amp;(S28-R28-7)&amp;" "&amp;"ngày",""),IF((NETWORKDAYS(R28,S28,'Danh sách ngày nghỉ lễ'!$B$5:$B$25)-VLOOKUP(P28,'Thời hạn'!$D$17:$E$20,2,0))&gt;1,"Quá hạn"&amp;" "&amp;(NETWORKDAYS(R28,S28,'Danh sách ngày nghỉ lễ'!$B$5:$B$25)-1-VLOOKUP(P28,'Thời hạn'!$D$17:$E$20,2,0))&amp;" "&amp;"ngày","")))))))</f>
        <v/>
      </c>
      <c r="Z28" s="23">
        <v>1</v>
      </c>
    </row>
    <row r="29" spans="1:26" x14ac:dyDescent="0.3">
      <c r="A29" s="24">
        <v>1</v>
      </c>
      <c r="B29" s="39"/>
      <c r="C29" s="33"/>
      <c r="D29" s="25"/>
      <c r="E29" s="25"/>
      <c r="F29" s="34"/>
      <c r="G29" s="34"/>
      <c r="H29" s="25"/>
      <c r="I29" s="70" t="str">
        <f>IF(C29="Trả lại đơn","",IF(C29="Hòa giải thành","",IF(F29=0,"",EDATE(F29,VLOOKUP(C29,'Thời hạn'!$G$1:$H$12,2,0))+H29)))</f>
        <v/>
      </c>
      <c r="J29" s="59" t="str">
        <f t="shared" ca="1" si="0"/>
        <v/>
      </c>
      <c r="K29" s="25"/>
      <c r="L29" s="129"/>
      <c r="M29" s="130"/>
      <c r="N29" s="35"/>
      <c r="O29" s="34"/>
      <c r="P29" s="25"/>
      <c r="Q29" s="25"/>
      <c r="R29" s="34"/>
      <c r="S29" s="34"/>
      <c r="T29" s="137"/>
      <c r="U29" s="137"/>
      <c r="V29" s="36"/>
      <c r="W29" s="37"/>
      <c r="X29" s="71" t="str">
        <f>IF(C29="Trả lại đơn","",IF((NETWORKDAYS(F29,G29,'Danh sách ngày nghỉ lễ'!$B$5:$B$25)-1-3)&gt;0,"Quá hạn"&amp;" "&amp;(NETWORKDAYS(F29,G29,'Danh sách ngày nghỉ lễ'!$B$5:$B$25)-1-3)&amp;" "&amp;"ngày",""))</f>
        <v/>
      </c>
      <c r="Y29" s="72" t="str">
        <f>IF(S29=0,"",IF(P29="Chuyển","",IF(P29="Nhập vào vụ khác","",IF(P29="CN đối thoại","",IF(P29="CN tại tòa","",IF(P29="BA",IF((S29-R29)&gt;7,"Quá hạn"&amp;" "&amp;(S29-R29-7)&amp;" "&amp;"ngày",""),IF((NETWORKDAYS(R29,S29,'Danh sách ngày nghỉ lễ'!$B$5:$B$25)-VLOOKUP(P29,'Thời hạn'!$D$17:$E$20,2,0))&gt;1,"Quá hạn"&amp;" "&amp;(NETWORKDAYS(R29,S29,'Danh sách ngày nghỉ lễ'!$B$5:$B$25)-1-VLOOKUP(P29,'Thời hạn'!$D$17:$E$20,2,0))&amp;" "&amp;"ngày","")))))))</f>
        <v/>
      </c>
      <c r="Z29" s="23">
        <v>1</v>
      </c>
    </row>
    <row r="30" spans="1:26" x14ac:dyDescent="0.3">
      <c r="A30" s="24">
        <v>1</v>
      </c>
      <c r="B30" s="39"/>
      <c r="C30" s="33"/>
      <c r="D30" s="25"/>
      <c r="E30" s="25"/>
      <c r="F30" s="34"/>
      <c r="G30" s="34"/>
      <c r="H30" s="25"/>
      <c r="I30" s="70" t="str">
        <f>IF(C30="Trả lại đơn","",IF(C30="Hòa giải thành","",IF(F30=0,"",EDATE(F30,VLOOKUP(C30,'Thời hạn'!$G$1:$H$12,2,0))+H30)))</f>
        <v/>
      </c>
      <c r="J30" s="59" t="str">
        <f t="shared" ca="1" si="0"/>
        <v/>
      </c>
      <c r="K30" s="25"/>
      <c r="L30" s="129"/>
      <c r="M30" s="130"/>
      <c r="N30" s="35"/>
      <c r="O30" s="34"/>
      <c r="P30" s="25"/>
      <c r="Q30" s="25"/>
      <c r="R30" s="34"/>
      <c r="S30" s="34"/>
      <c r="T30" s="137"/>
      <c r="U30" s="137"/>
      <c r="V30" s="36"/>
      <c r="W30" s="37"/>
      <c r="X30" s="71" t="str">
        <f>IF(C30="Trả lại đơn","",IF((NETWORKDAYS(F30,G30,'Danh sách ngày nghỉ lễ'!$B$5:$B$25)-1-3)&gt;0,"Quá hạn"&amp;" "&amp;(NETWORKDAYS(F30,G30,'Danh sách ngày nghỉ lễ'!$B$5:$B$25)-1-3)&amp;" "&amp;"ngày",""))</f>
        <v/>
      </c>
      <c r="Y30" s="72" t="str">
        <f>IF(S30=0,"",IF(P30="Chuyển","",IF(P30="Nhập vào vụ khác","",IF(P30="CN đối thoại","",IF(P30="CN tại tòa","",IF(P30="BA",IF((S30-R30)&gt;7,"Quá hạn"&amp;" "&amp;(S30-R30-7)&amp;" "&amp;"ngày",""),IF((NETWORKDAYS(R30,S30,'Danh sách ngày nghỉ lễ'!$B$5:$B$25)-VLOOKUP(P30,'Thời hạn'!$D$17:$E$20,2,0))&gt;1,"Quá hạn"&amp;" "&amp;(NETWORKDAYS(R30,S30,'Danh sách ngày nghỉ lễ'!$B$5:$B$25)-1-VLOOKUP(P30,'Thời hạn'!$D$17:$E$20,2,0))&amp;" "&amp;"ngày","")))))))</f>
        <v/>
      </c>
      <c r="Z30" s="23">
        <v>1</v>
      </c>
    </row>
    <row r="31" spans="1:26" x14ac:dyDescent="0.3">
      <c r="A31" s="24">
        <v>1</v>
      </c>
      <c r="B31" s="39"/>
      <c r="C31" s="33"/>
      <c r="D31" s="25"/>
      <c r="E31" s="25"/>
      <c r="F31" s="34"/>
      <c r="G31" s="34"/>
      <c r="H31" s="25"/>
      <c r="I31" s="70" t="str">
        <f>IF(C31="Trả lại đơn","",IF(C31="Hòa giải thành","",IF(F31=0,"",EDATE(F31,VLOOKUP(C31,'Thời hạn'!$G$1:$H$12,2,0))+H31)))</f>
        <v/>
      </c>
      <c r="J31" s="59" t="str">
        <f t="shared" ca="1" si="0"/>
        <v/>
      </c>
      <c r="K31" s="25"/>
      <c r="L31" s="129"/>
      <c r="M31" s="130"/>
      <c r="N31" s="35"/>
      <c r="O31" s="34"/>
      <c r="P31" s="25"/>
      <c r="Q31" s="25"/>
      <c r="R31" s="34"/>
      <c r="S31" s="34"/>
      <c r="T31" s="137"/>
      <c r="U31" s="137"/>
      <c r="V31" s="36"/>
      <c r="W31" s="37"/>
      <c r="X31" s="71" t="str">
        <f>IF(C31="Trả lại đơn","",IF((NETWORKDAYS(F31,G31,'Danh sách ngày nghỉ lễ'!$B$5:$B$25)-1-3)&gt;0,"Quá hạn"&amp;" "&amp;(NETWORKDAYS(F31,G31,'Danh sách ngày nghỉ lễ'!$B$5:$B$25)-1-3)&amp;" "&amp;"ngày",""))</f>
        <v/>
      </c>
      <c r="Y31" s="72" t="str">
        <f>IF(S31=0,"",IF(P31="Chuyển","",IF(P31="Nhập vào vụ khác","",IF(P31="CN đối thoại","",IF(P31="CN tại tòa","",IF(P31="BA",IF((S31-R31)&gt;7,"Quá hạn"&amp;" "&amp;(S31-R31-7)&amp;" "&amp;"ngày",""),IF((NETWORKDAYS(R31,S31,'Danh sách ngày nghỉ lễ'!$B$5:$B$25)-VLOOKUP(P31,'Thời hạn'!$D$17:$E$20,2,0))&gt;1,"Quá hạn"&amp;" "&amp;(NETWORKDAYS(R31,S31,'Danh sách ngày nghỉ lễ'!$B$5:$B$25)-1-VLOOKUP(P31,'Thời hạn'!$D$17:$E$20,2,0))&amp;" "&amp;"ngày","")))))))</f>
        <v/>
      </c>
      <c r="Z31" s="23">
        <v>1</v>
      </c>
    </row>
    <row r="32" spans="1:26" x14ac:dyDescent="0.3">
      <c r="A32" s="24">
        <v>1</v>
      </c>
      <c r="B32" s="39"/>
      <c r="C32" s="33"/>
      <c r="D32" s="25"/>
      <c r="E32" s="25"/>
      <c r="F32" s="34"/>
      <c r="G32" s="34"/>
      <c r="H32" s="25"/>
      <c r="I32" s="70" t="str">
        <f>IF(C32="Trả lại đơn","",IF(C32="Hòa giải thành","",IF(F32=0,"",EDATE(F32,VLOOKUP(C32,'Thời hạn'!$G$1:$H$12,2,0))+H32)))</f>
        <v/>
      </c>
      <c r="J32" s="59" t="str">
        <f t="shared" ca="1" si="0"/>
        <v/>
      </c>
      <c r="K32" s="25"/>
      <c r="L32" s="129"/>
      <c r="M32" s="130"/>
      <c r="N32" s="35"/>
      <c r="O32" s="34"/>
      <c r="P32" s="25"/>
      <c r="Q32" s="25"/>
      <c r="R32" s="34"/>
      <c r="S32" s="34"/>
      <c r="T32" s="137"/>
      <c r="U32" s="137"/>
      <c r="V32" s="36"/>
      <c r="W32" s="37"/>
      <c r="X32" s="71" t="str">
        <f>IF(C32="Trả lại đơn","",IF((NETWORKDAYS(F32,G32,'Danh sách ngày nghỉ lễ'!$B$5:$B$25)-1-3)&gt;0,"Quá hạn"&amp;" "&amp;(NETWORKDAYS(F32,G32,'Danh sách ngày nghỉ lễ'!$B$5:$B$25)-1-3)&amp;" "&amp;"ngày",""))</f>
        <v/>
      </c>
      <c r="Y32" s="72" t="str">
        <f>IF(S32=0,"",IF(P32="Chuyển","",IF(P32="Nhập vào vụ khác","",IF(P32="CN đối thoại","",IF(P32="CN tại tòa","",IF(P32="BA",IF((S32-R32)&gt;7,"Quá hạn"&amp;" "&amp;(S32-R32-7)&amp;" "&amp;"ngày",""),IF((NETWORKDAYS(R32,S32,'Danh sách ngày nghỉ lễ'!$B$5:$B$25)-VLOOKUP(P32,'Thời hạn'!$D$17:$E$20,2,0))&gt;1,"Quá hạn"&amp;" "&amp;(NETWORKDAYS(R32,S32,'Danh sách ngày nghỉ lễ'!$B$5:$B$25)-1-VLOOKUP(P32,'Thời hạn'!$D$17:$E$20,2,0))&amp;" "&amp;"ngày","")))))))</f>
        <v/>
      </c>
      <c r="Z32" s="23">
        <v>1</v>
      </c>
    </row>
    <row r="33" spans="1:26" x14ac:dyDescent="0.3">
      <c r="A33" s="24">
        <v>1</v>
      </c>
      <c r="B33" s="39"/>
      <c r="C33" s="33"/>
      <c r="D33" s="25"/>
      <c r="E33" s="25"/>
      <c r="F33" s="34"/>
      <c r="G33" s="34"/>
      <c r="H33" s="25"/>
      <c r="I33" s="70" t="str">
        <f>IF(C33="Trả lại đơn","",IF(C33="Hòa giải thành","",IF(F33=0,"",EDATE(F33,VLOOKUP(C33,'Thời hạn'!$G$1:$H$12,2,0))+H33)))</f>
        <v/>
      </c>
      <c r="J33" s="59" t="str">
        <f t="shared" ca="1" si="0"/>
        <v/>
      </c>
      <c r="K33" s="25"/>
      <c r="L33" s="129"/>
      <c r="M33" s="130"/>
      <c r="N33" s="35"/>
      <c r="O33" s="34"/>
      <c r="P33" s="25"/>
      <c r="Q33" s="25"/>
      <c r="R33" s="34"/>
      <c r="S33" s="34"/>
      <c r="T33" s="137"/>
      <c r="U33" s="137"/>
      <c r="V33" s="36"/>
      <c r="W33" s="37"/>
      <c r="X33" s="71" t="str">
        <f>IF(C33="Trả lại đơn","",IF((NETWORKDAYS(F33,G33,'Danh sách ngày nghỉ lễ'!$B$5:$B$25)-1-3)&gt;0,"Quá hạn"&amp;" "&amp;(NETWORKDAYS(F33,G33,'Danh sách ngày nghỉ lễ'!$B$5:$B$25)-1-3)&amp;" "&amp;"ngày",""))</f>
        <v/>
      </c>
      <c r="Y33" s="72" t="str">
        <f>IF(S33=0,"",IF(P33="Chuyển","",IF(P33="Nhập vào vụ khác","",IF(P33="CN đối thoại","",IF(P33="CN tại tòa","",IF(P33="BA",IF((S33-R33)&gt;7,"Quá hạn"&amp;" "&amp;(S33-R33-7)&amp;" "&amp;"ngày",""),IF((NETWORKDAYS(R33,S33,'Danh sách ngày nghỉ lễ'!$B$5:$B$25)-VLOOKUP(P33,'Thời hạn'!$D$17:$E$20,2,0))&gt;1,"Quá hạn"&amp;" "&amp;(NETWORKDAYS(R33,S33,'Danh sách ngày nghỉ lễ'!$B$5:$B$25)-1-VLOOKUP(P33,'Thời hạn'!$D$17:$E$20,2,0))&amp;" "&amp;"ngày","")))))))</f>
        <v/>
      </c>
      <c r="Z33" s="23">
        <v>1</v>
      </c>
    </row>
    <row r="34" spans="1:26" x14ac:dyDescent="0.3">
      <c r="A34" s="24">
        <v>1</v>
      </c>
      <c r="B34" s="39"/>
      <c r="C34" s="33"/>
      <c r="D34" s="25"/>
      <c r="E34" s="25"/>
      <c r="F34" s="34"/>
      <c r="G34" s="34"/>
      <c r="H34" s="25"/>
      <c r="I34" s="70" t="str">
        <f>IF(C34="Trả lại đơn","",IF(C34="Hòa giải thành","",IF(F34=0,"",EDATE(F34,VLOOKUP(C34,'Thời hạn'!$G$1:$H$12,2,0))+H34)))</f>
        <v/>
      </c>
      <c r="J34" s="59" t="str">
        <f t="shared" ca="1" si="0"/>
        <v/>
      </c>
      <c r="K34" s="25"/>
      <c r="L34" s="129"/>
      <c r="M34" s="130"/>
      <c r="N34" s="35"/>
      <c r="O34" s="34"/>
      <c r="P34" s="25"/>
      <c r="Q34" s="25"/>
      <c r="R34" s="34"/>
      <c r="S34" s="34"/>
      <c r="T34" s="137"/>
      <c r="U34" s="137"/>
      <c r="V34" s="36"/>
      <c r="W34" s="37"/>
      <c r="X34" s="71" t="str">
        <f>IF(C34="Trả lại đơn","",IF((NETWORKDAYS(F34,G34,'Danh sách ngày nghỉ lễ'!$B$5:$B$25)-1-3)&gt;0,"Quá hạn"&amp;" "&amp;(NETWORKDAYS(F34,G34,'Danh sách ngày nghỉ lễ'!$B$5:$B$25)-1-3)&amp;" "&amp;"ngày",""))</f>
        <v/>
      </c>
      <c r="Y34" s="72" t="str">
        <f>IF(S34=0,"",IF(P34="Chuyển","",IF(P34="Nhập vào vụ khác","",IF(P34="CN đối thoại","",IF(P34="CN tại tòa","",IF(P34="BA",IF((S34-R34)&gt;7,"Quá hạn"&amp;" "&amp;(S34-R34-7)&amp;" "&amp;"ngày",""),IF((NETWORKDAYS(R34,S34,'Danh sách ngày nghỉ lễ'!$B$5:$B$25)-VLOOKUP(P34,'Thời hạn'!$D$17:$E$20,2,0))&gt;1,"Quá hạn"&amp;" "&amp;(NETWORKDAYS(R34,S34,'Danh sách ngày nghỉ lễ'!$B$5:$B$25)-1-VLOOKUP(P34,'Thời hạn'!$D$17:$E$20,2,0))&amp;" "&amp;"ngày","")))))))</f>
        <v/>
      </c>
      <c r="Z34" s="23">
        <v>1</v>
      </c>
    </row>
    <row r="35" spans="1:26" x14ac:dyDescent="0.3">
      <c r="A35" s="24">
        <v>1</v>
      </c>
      <c r="B35" s="39"/>
      <c r="C35" s="33"/>
      <c r="D35" s="25"/>
      <c r="E35" s="25"/>
      <c r="F35" s="34"/>
      <c r="G35" s="34"/>
      <c r="H35" s="25"/>
      <c r="I35" s="70" t="str">
        <f>IF(C35="Trả lại đơn","",IF(C35="Hòa giải thành","",IF(F35=0,"",EDATE(F35,VLOOKUP(C35,'Thời hạn'!$G$1:$H$12,2,0))+H35)))</f>
        <v/>
      </c>
      <c r="J35" s="59" t="str">
        <f t="shared" ca="1" si="0"/>
        <v/>
      </c>
      <c r="K35" s="25"/>
      <c r="L35" s="129"/>
      <c r="M35" s="130"/>
      <c r="N35" s="35"/>
      <c r="O35" s="34"/>
      <c r="P35" s="25"/>
      <c r="Q35" s="25"/>
      <c r="R35" s="34"/>
      <c r="S35" s="34"/>
      <c r="T35" s="137"/>
      <c r="U35" s="137"/>
      <c r="V35" s="36"/>
      <c r="W35" s="37"/>
      <c r="X35" s="71" t="str">
        <f>IF(C35="Trả lại đơn","",IF((NETWORKDAYS(F35,G35,'Danh sách ngày nghỉ lễ'!$B$5:$B$25)-1-3)&gt;0,"Quá hạn"&amp;" "&amp;(NETWORKDAYS(F35,G35,'Danh sách ngày nghỉ lễ'!$B$5:$B$25)-1-3)&amp;" "&amp;"ngày",""))</f>
        <v/>
      </c>
      <c r="Y35" s="72" t="str">
        <f>IF(S35=0,"",IF(P35="Chuyển","",IF(P35="Nhập vào vụ khác","",IF(P35="CN đối thoại","",IF(P35="CN tại tòa","",IF(P35="BA",IF((S35-R35)&gt;7,"Quá hạn"&amp;" "&amp;(S35-R35-7)&amp;" "&amp;"ngày",""),IF((NETWORKDAYS(R35,S35,'Danh sách ngày nghỉ lễ'!$B$5:$B$25)-VLOOKUP(P35,'Thời hạn'!$D$17:$E$20,2,0))&gt;1,"Quá hạn"&amp;" "&amp;(NETWORKDAYS(R35,S35,'Danh sách ngày nghỉ lễ'!$B$5:$B$25)-1-VLOOKUP(P35,'Thời hạn'!$D$17:$E$20,2,0))&amp;" "&amp;"ngày","")))))))</f>
        <v/>
      </c>
      <c r="Z35" s="23">
        <v>1</v>
      </c>
    </row>
    <row r="36" spans="1:26" x14ac:dyDescent="0.3">
      <c r="A36" s="24">
        <v>1</v>
      </c>
      <c r="B36" s="39"/>
      <c r="C36" s="33"/>
      <c r="D36" s="25"/>
      <c r="E36" s="25"/>
      <c r="F36" s="34"/>
      <c r="G36" s="34"/>
      <c r="H36" s="25"/>
      <c r="I36" s="70" t="str">
        <f>IF(C36="Trả lại đơn","",IF(C36="Hòa giải thành","",IF(F36=0,"",EDATE(F36,VLOOKUP(C36,'Thời hạn'!$G$1:$H$12,2,0))+H36)))</f>
        <v/>
      </c>
      <c r="J36" s="59" t="str">
        <f t="shared" ca="1" si="0"/>
        <v/>
      </c>
      <c r="K36" s="25"/>
      <c r="L36" s="129"/>
      <c r="M36" s="130"/>
      <c r="N36" s="35"/>
      <c r="O36" s="34"/>
      <c r="P36" s="25"/>
      <c r="Q36" s="25"/>
      <c r="R36" s="34"/>
      <c r="S36" s="34"/>
      <c r="T36" s="137"/>
      <c r="U36" s="137"/>
      <c r="V36" s="36"/>
      <c r="W36" s="37"/>
      <c r="X36" s="71" t="str">
        <f>IF(C36="Trả lại đơn","",IF((NETWORKDAYS(F36,G36,'Danh sách ngày nghỉ lễ'!$B$5:$B$25)-1-3)&gt;0,"Quá hạn"&amp;" "&amp;(NETWORKDAYS(F36,G36,'Danh sách ngày nghỉ lễ'!$B$5:$B$25)-1-3)&amp;" "&amp;"ngày",""))</f>
        <v/>
      </c>
      <c r="Y36" s="72" t="str">
        <f>IF(S36=0,"",IF(P36="Chuyển","",IF(P36="Nhập vào vụ khác","",IF(P36="CN đối thoại","",IF(P36="CN tại tòa","",IF(P36="BA",IF((S36-R36)&gt;7,"Quá hạn"&amp;" "&amp;(S36-R36-7)&amp;" "&amp;"ngày",""),IF((NETWORKDAYS(R36,S36,'Danh sách ngày nghỉ lễ'!$B$5:$B$25)-VLOOKUP(P36,'Thời hạn'!$D$17:$E$20,2,0))&gt;1,"Quá hạn"&amp;" "&amp;(NETWORKDAYS(R36,S36,'Danh sách ngày nghỉ lễ'!$B$5:$B$25)-1-VLOOKUP(P36,'Thời hạn'!$D$17:$E$20,2,0))&amp;" "&amp;"ngày","")))))))</f>
        <v/>
      </c>
      <c r="Z36" s="23">
        <v>1</v>
      </c>
    </row>
    <row r="37" spans="1:26" x14ac:dyDescent="0.3">
      <c r="A37" s="24">
        <v>1</v>
      </c>
      <c r="B37" s="39"/>
      <c r="C37" s="33"/>
      <c r="D37" s="25"/>
      <c r="E37" s="25"/>
      <c r="F37" s="34"/>
      <c r="G37" s="34"/>
      <c r="H37" s="25"/>
      <c r="I37" s="70" t="str">
        <f>IF(C37="Trả lại đơn","",IF(C37="Hòa giải thành","",IF(F37=0,"",EDATE(F37,VLOOKUP(C37,'Thời hạn'!$G$1:$H$12,2,0))+H37)))</f>
        <v/>
      </c>
      <c r="J37" s="59" t="str">
        <f t="shared" ca="1" si="0"/>
        <v/>
      </c>
      <c r="K37" s="25"/>
      <c r="L37" s="129"/>
      <c r="M37" s="130"/>
      <c r="N37" s="35"/>
      <c r="O37" s="34"/>
      <c r="P37" s="25"/>
      <c r="Q37" s="25"/>
      <c r="R37" s="34"/>
      <c r="S37" s="34"/>
      <c r="T37" s="137"/>
      <c r="U37" s="137"/>
      <c r="V37" s="36"/>
      <c r="W37" s="37"/>
      <c r="X37" s="71" t="str">
        <f>IF(C37="Trả lại đơn","",IF((NETWORKDAYS(F37,G37,'Danh sách ngày nghỉ lễ'!$B$5:$B$25)-1-3)&gt;0,"Quá hạn"&amp;" "&amp;(NETWORKDAYS(F37,G37,'Danh sách ngày nghỉ lễ'!$B$5:$B$25)-1-3)&amp;" "&amp;"ngày",""))</f>
        <v/>
      </c>
      <c r="Y37" s="72" t="str">
        <f>IF(S37=0,"",IF(P37="Chuyển","",IF(P37="Nhập vào vụ khác","",IF(P37="CN đối thoại","",IF(P37="CN tại tòa","",IF(P37="BA",IF((S37-R37)&gt;7,"Quá hạn"&amp;" "&amp;(S37-R37-7)&amp;" "&amp;"ngày",""),IF((NETWORKDAYS(R37,S37,'Danh sách ngày nghỉ lễ'!$B$5:$B$25)-VLOOKUP(P37,'Thời hạn'!$D$17:$E$20,2,0))&gt;1,"Quá hạn"&amp;" "&amp;(NETWORKDAYS(R37,S37,'Danh sách ngày nghỉ lễ'!$B$5:$B$25)-1-VLOOKUP(P37,'Thời hạn'!$D$17:$E$20,2,0))&amp;" "&amp;"ngày","")))))))</f>
        <v/>
      </c>
      <c r="Z37" s="23">
        <v>1</v>
      </c>
    </row>
    <row r="38" spans="1:26" x14ac:dyDescent="0.3">
      <c r="A38" s="24">
        <v>1</v>
      </c>
      <c r="B38" s="39"/>
      <c r="C38" s="33"/>
      <c r="D38" s="25"/>
      <c r="E38" s="25"/>
      <c r="F38" s="34"/>
      <c r="G38" s="34"/>
      <c r="H38" s="25"/>
      <c r="I38" s="70" t="str">
        <f>IF(C38="Trả lại đơn","",IF(C38="Hòa giải thành","",IF(F38=0,"",EDATE(F38,VLOOKUP(C38,'Thời hạn'!$G$1:$H$12,2,0))+H38)))</f>
        <v/>
      </c>
      <c r="J38" s="59" t="str">
        <f t="shared" ca="1" si="0"/>
        <v/>
      </c>
      <c r="K38" s="25"/>
      <c r="L38" s="129"/>
      <c r="M38" s="130"/>
      <c r="N38" s="35"/>
      <c r="O38" s="34"/>
      <c r="P38" s="25"/>
      <c r="Q38" s="25"/>
      <c r="R38" s="34"/>
      <c r="S38" s="34"/>
      <c r="T38" s="137"/>
      <c r="U38" s="137"/>
      <c r="V38" s="36"/>
      <c r="W38" s="37"/>
      <c r="X38" s="71" t="str">
        <f>IF(C38="Trả lại đơn","",IF((NETWORKDAYS(F38,G38,'Danh sách ngày nghỉ lễ'!$B$5:$B$25)-1-3)&gt;0,"Quá hạn"&amp;" "&amp;(NETWORKDAYS(F38,G38,'Danh sách ngày nghỉ lễ'!$B$5:$B$25)-1-3)&amp;" "&amp;"ngày",""))</f>
        <v/>
      </c>
      <c r="Y38" s="72" t="str">
        <f>IF(S38=0,"",IF(P38="Chuyển","",IF(P38="Nhập vào vụ khác","",IF(P38="CN đối thoại","",IF(P38="CN tại tòa","",IF(P38="BA",IF((S38-R38)&gt;7,"Quá hạn"&amp;" "&amp;(S38-R38-7)&amp;" "&amp;"ngày",""),IF((NETWORKDAYS(R38,S38,'Danh sách ngày nghỉ lễ'!$B$5:$B$25)-VLOOKUP(P38,'Thời hạn'!$D$17:$E$20,2,0))&gt;1,"Quá hạn"&amp;" "&amp;(NETWORKDAYS(R38,S38,'Danh sách ngày nghỉ lễ'!$B$5:$B$25)-1-VLOOKUP(P38,'Thời hạn'!$D$17:$E$20,2,0))&amp;" "&amp;"ngày","")))))))</f>
        <v/>
      </c>
      <c r="Z38" s="23">
        <v>1</v>
      </c>
    </row>
    <row r="39" spans="1:26" x14ac:dyDescent="0.3">
      <c r="A39" s="24">
        <v>1</v>
      </c>
      <c r="B39" s="39"/>
      <c r="C39" s="33"/>
      <c r="D39" s="25"/>
      <c r="E39" s="25"/>
      <c r="F39" s="34"/>
      <c r="G39" s="34"/>
      <c r="H39" s="25"/>
      <c r="I39" s="70" t="str">
        <f>IF(C39="Trả lại đơn","",IF(C39="Hòa giải thành","",IF(F39=0,"",EDATE(F39,VLOOKUP(C39,'Thời hạn'!$G$1:$H$12,2,0))+H39)))</f>
        <v/>
      </c>
      <c r="J39" s="59" t="str">
        <f t="shared" ca="1" si="0"/>
        <v/>
      </c>
      <c r="K39" s="25"/>
      <c r="L39" s="129"/>
      <c r="M39" s="130"/>
      <c r="N39" s="35"/>
      <c r="O39" s="34"/>
      <c r="P39" s="25"/>
      <c r="Q39" s="25"/>
      <c r="R39" s="34"/>
      <c r="S39" s="34"/>
      <c r="T39" s="137"/>
      <c r="U39" s="137"/>
      <c r="V39" s="36"/>
      <c r="W39" s="37"/>
      <c r="X39" s="71" t="str">
        <f>IF(C39="Trả lại đơn","",IF((NETWORKDAYS(F39,G39,'Danh sách ngày nghỉ lễ'!$B$5:$B$25)-1-3)&gt;0,"Quá hạn"&amp;" "&amp;(NETWORKDAYS(F39,G39,'Danh sách ngày nghỉ lễ'!$B$5:$B$25)-1-3)&amp;" "&amp;"ngày",""))</f>
        <v/>
      </c>
      <c r="Y39" s="72" t="str">
        <f>IF(S39=0,"",IF(P39="Chuyển","",IF(P39="Nhập vào vụ khác","",IF(P39="CN đối thoại","",IF(P39="CN tại tòa","",IF(P39="BA",IF((S39-R39)&gt;7,"Quá hạn"&amp;" "&amp;(S39-R39-7)&amp;" "&amp;"ngày",""),IF((NETWORKDAYS(R39,S39,'Danh sách ngày nghỉ lễ'!$B$5:$B$25)-VLOOKUP(P39,'Thời hạn'!$D$17:$E$20,2,0))&gt;1,"Quá hạn"&amp;" "&amp;(NETWORKDAYS(R39,S39,'Danh sách ngày nghỉ lễ'!$B$5:$B$25)-1-VLOOKUP(P39,'Thời hạn'!$D$17:$E$20,2,0))&amp;" "&amp;"ngày","")))))))</f>
        <v/>
      </c>
      <c r="Z39" s="23">
        <v>1</v>
      </c>
    </row>
    <row r="40" spans="1:26" x14ac:dyDescent="0.3">
      <c r="A40" s="24">
        <v>1</v>
      </c>
      <c r="B40" s="39"/>
      <c r="C40" s="33"/>
      <c r="D40" s="25"/>
      <c r="E40" s="25"/>
      <c r="F40" s="34"/>
      <c r="G40" s="34"/>
      <c r="H40" s="25"/>
      <c r="I40" s="70" t="str">
        <f>IF(C40="Trả lại đơn","",IF(C40="Hòa giải thành","",IF(F40=0,"",EDATE(F40,VLOOKUP(C40,'Thời hạn'!$G$1:$H$12,2,0))+H40)))</f>
        <v/>
      </c>
      <c r="J40" s="59" t="str">
        <f t="shared" ca="1" si="0"/>
        <v/>
      </c>
      <c r="K40" s="25"/>
      <c r="L40" s="129"/>
      <c r="M40" s="130"/>
      <c r="N40" s="35"/>
      <c r="O40" s="34"/>
      <c r="P40" s="25"/>
      <c r="Q40" s="25"/>
      <c r="R40" s="34"/>
      <c r="S40" s="34"/>
      <c r="T40" s="137"/>
      <c r="U40" s="137"/>
      <c r="V40" s="36"/>
      <c r="W40" s="37"/>
      <c r="X40" s="71" t="str">
        <f>IF(C40="Trả lại đơn","",IF((NETWORKDAYS(F40,G40,'Danh sách ngày nghỉ lễ'!$B$5:$B$25)-1-3)&gt;0,"Quá hạn"&amp;" "&amp;(NETWORKDAYS(F40,G40,'Danh sách ngày nghỉ lễ'!$B$5:$B$25)-1-3)&amp;" "&amp;"ngày",""))</f>
        <v/>
      </c>
      <c r="Y40" s="72" t="str">
        <f>IF(S40=0,"",IF(P40="Chuyển","",IF(P40="Nhập vào vụ khác","",IF(P40="CN đối thoại","",IF(P40="CN tại tòa","",IF(P40="BA",IF((S40-R40)&gt;7,"Quá hạn"&amp;" "&amp;(S40-R40-7)&amp;" "&amp;"ngày",""),IF((NETWORKDAYS(R40,S40,'Danh sách ngày nghỉ lễ'!$B$5:$B$25)-VLOOKUP(P40,'Thời hạn'!$D$17:$E$20,2,0))&gt;1,"Quá hạn"&amp;" "&amp;(NETWORKDAYS(R40,S40,'Danh sách ngày nghỉ lễ'!$B$5:$B$25)-1-VLOOKUP(P40,'Thời hạn'!$D$17:$E$20,2,0))&amp;" "&amp;"ngày","")))))))</f>
        <v/>
      </c>
      <c r="Z40" s="23">
        <v>1</v>
      </c>
    </row>
    <row r="41" spans="1:26" x14ac:dyDescent="0.3">
      <c r="A41" s="24">
        <v>1</v>
      </c>
      <c r="B41" s="39"/>
      <c r="C41" s="33"/>
      <c r="D41" s="25"/>
      <c r="E41" s="25"/>
      <c r="F41" s="34"/>
      <c r="G41" s="34"/>
      <c r="H41" s="25"/>
      <c r="I41" s="70" t="str">
        <f>IF(C41="Trả lại đơn","",IF(C41="Hòa giải thành","",IF(F41=0,"",EDATE(F41,VLOOKUP(C41,'Thời hạn'!$G$1:$H$12,2,0))+H41)))</f>
        <v/>
      </c>
      <c r="J41" s="59" t="str">
        <f t="shared" ca="1" si="0"/>
        <v/>
      </c>
      <c r="K41" s="25"/>
      <c r="L41" s="129"/>
      <c r="M41" s="130"/>
      <c r="N41" s="35"/>
      <c r="O41" s="34"/>
      <c r="P41" s="25"/>
      <c r="Q41" s="25"/>
      <c r="R41" s="34"/>
      <c r="S41" s="34"/>
      <c r="T41" s="137"/>
      <c r="U41" s="137"/>
      <c r="V41" s="36"/>
      <c r="W41" s="37"/>
      <c r="X41" s="71" t="str">
        <f>IF(C41="Trả lại đơn","",IF((NETWORKDAYS(F41,G41,'Danh sách ngày nghỉ lễ'!$B$5:$B$25)-1-3)&gt;0,"Quá hạn"&amp;" "&amp;(NETWORKDAYS(F41,G41,'Danh sách ngày nghỉ lễ'!$B$5:$B$25)-1-3)&amp;" "&amp;"ngày",""))</f>
        <v/>
      </c>
      <c r="Y41" s="72" t="str">
        <f>IF(S41=0,"",IF(P41="Chuyển","",IF(P41="Nhập vào vụ khác","",IF(P41="CN đối thoại","",IF(P41="CN tại tòa","",IF(P41="BA",IF((S41-R41)&gt;7,"Quá hạn"&amp;" "&amp;(S41-R41-7)&amp;" "&amp;"ngày",""),IF((NETWORKDAYS(R41,S41,'Danh sách ngày nghỉ lễ'!$B$5:$B$25)-VLOOKUP(P41,'Thời hạn'!$D$17:$E$20,2,0))&gt;1,"Quá hạn"&amp;" "&amp;(NETWORKDAYS(R41,S41,'Danh sách ngày nghỉ lễ'!$B$5:$B$25)-1-VLOOKUP(P41,'Thời hạn'!$D$17:$E$20,2,0))&amp;" "&amp;"ngày","")))))))</f>
        <v/>
      </c>
      <c r="Z41" s="23">
        <v>1</v>
      </c>
    </row>
    <row r="42" spans="1:26" x14ac:dyDescent="0.3">
      <c r="A42" s="24">
        <v>1</v>
      </c>
      <c r="B42" s="39"/>
      <c r="C42" s="33"/>
      <c r="D42" s="25"/>
      <c r="E42" s="25"/>
      <c r="F42" s="34"/>
      <c r="G42" s="34"/>
      <c r="H42" s="25"/>
      <c r="I42" s="70" t="str">
        <f>IF(C42="Trả lại đơn","",IF(C42="Hòa giải thành","",IF(F42=0,"",EDATE(F42,VLOOKUP(C42,'Thời hạn'!$G$1:$H$12,2,0))+H42)))</f>
        <v/>
      </c>
      <c r="J42" s="59" t="str">
        <f t="shared" ca="1" si="0"/>
        <v/>
      </c>
      <c r="K42" s="25"/>
      <c r="L42" s="129"/>
      <c r="M42" s="130"/>
      <c r="N42" s="35"/>
      <c r="O42" s="34"/>
      <c r="P42" s="25"/>
      <c r="Q42" s="25"/>
      <c r="R42" s="34"/>
      <c r="S42" s="34"/>
      <c r="T42" s="137"/>
      <c r="U42" s="137"/>
      <c r="V42" s="36"/>
      <c r="W42" s="37"/>
      <c r="X42" s="71" t="str">
        <f>IF(C42="Trả lại đơn","",IF((NETWORKDAYS(F42,G42,'Danh sách ngày nghỉ lễ'!$B$5:$B$25)-1-3)&gt;0,"Quá hạn"&amp;" "&amp;(NETWORKDAYS(F42,G42,'Danh sách ngày nghỉ lễ'!$B$5:$B$25)-1-3)&amp;" "&amp;"ngày",""))</f>
        <v/>
      </c>
      <c r="Y42" s="72" t="str">
        <f>IF(S42=0,"",IF(P42="Chuyển","",IF(P42="Nhập vào vụ khác","",IF(P42="CN đối thoại","",IF(P42="CN tại tòa","",IF(P42="BA",IF((S42-R42)&gt;7,"Quá hạn"&amp;" "&amp;(S42-R42-7)&amp;" "&amp;"ngày",""),IF((NETWORKDAYS(R42,S42,'Danh sách ngày nghỉ lễ'!$B$5:$B$25)-VLOOKUP(P42,'Thời hạn'!$D$17:$E$20,2,0))&gt;1,"Quá hạn"&amp;" "&amp;(NETWORKDAYS(R42,S42,'Danh sách ngày nghỉ lễ'!$B$5:$B$25)-1-VLOOKUP(P42,'Thời hạn'!$D$17:$E$20,2,0))&amp;" "&amp;"ngày","")))))))</f>
        <v/>
      </c>
      <c r="Z42" s="23">
        <v>1</v>
      </c>
    </row>
    <row r="43" spans="1:26" x14ac:dyDescent="0.3">
      <c r="A43" s="24">
        <v>1</v>
      </c>
      <c r="B43" s="39"/>
      <c r="C43" s="33"/>
      <c r="D43" s="25"/>
      <c r="E43" s="25"/>
      <c r="F43" s="34"/>
      <c r="G43" s="34"/>
      <c r="H43" s="25"/>
      <c r="I43" s="70" t="str">
        <f>IF(C43="Trả lại đơn","",IF(C43="Hòa giải thành","",IF(F43=0,"",EDATE(F43,VLOOKUP(C43,'Thời hạn'!$G$1:$H$12,2,0))+H43)))</f>
        <v/>
      </c>
      <c r="J43" s="59" t="str">
        <f t="shared" ca="1" si="0"/>
        <v/>
      </c>
      <c r="K43" s="25"/>
      <c r="L43" s="129"/>
      <c r="M43" s="130"/>
      <c r="N43" s="35"/>
      <c r="O43" s="34"/>
      <c r="P43" s="25"/>
      <c r="Q43" s="25"/>
      <c r="R43" s="34"/>
      <c r="S43" s="34"/>
      <c r="T43" s="137"/>
      <c r="U43" s="137"/>
      <c r="V43" s="36"/>
      <c r="W43" s="37"/>
      <c r="X43" s="71" t="str">
        <f>IF(C43="Trả lại đơn","",IF((NETWORKDAYS(F43,G43,'Danh sách ngày nghỉ lễ'!$B$5:$B$25)-1-3)&gt;0,"Quá hạn"&amp;" "&amp;(NETWORKDAYS(F43,G43,'Danh sách ngày nghỉ lễ'!$B$5:$B$25)-1-3)&amp;" "&amp;"ngày",""))</f>
        <v/>
      </c>
      <c r="Y43" s="72" t="str">
        <f>IF(S43=0,"",IF(P43="Chuyển","",IF(P43="Nhập vào vụ khác","",IF(P43="CN đối thoại","",IF(P43="CN tại tòa","",IF(P43="BA",IF((S43-R43)&gt;7,"Quá hạn"&amp;" "&amp;(S43-R43-7)&amp;" "&amp;"ngày",""),IF((NETWORKDAYS(R43,S43,'Danh sách ngày nghỉ lễ'!$B$5:$B$25)-VLOOKUP(P43,'Thời hạn'!$D$17:$E$20,2,0))&gt;1,"Quá hạn"&amp;" "&amp;(NETWORKDAYS(R43,S43,'Danh sách ngày nghỉ lễ'!$B$5:$B$25)-1-VLOOKUP(P43,'Thời hạn'!$D$17:$E$20,2,0))&amp;" "&amp;"ngày","")))))))</f>
        <v/>
      </c>
      <c r="Z43" s="23">
        <v>1</v>
      </c>
    </row>
    <row r="44" spans="1:26" x14ac:dyDescent="0.3">
      <c r="A44" s="24">
        <v>1</v>
      </c>
      <c r="B44" s="39"/>
      <c r="C44" s="33"/>
      <c r="D44" s="25"/>
      <c r="E44" s="25"/>
      <c r="F44" s="34"/>
      <c r="G44" s="34"/>
      <c r="H44" s="25"/>
      <c r="I44" s="70" t="str">
        <f>IF(C44="Trả lại đơn","",IF(C44="Hòa giải thành","",IF(F44=0,"",EDATE(F44,VLOOKUP(C44,'Thời hạn'!$G$1:$H$12,2,0))+H44)))</f>
        <v/>
      </c>
      <c r="J44" s="59" t="str">
        <f t="shared" ca="1" si="0"/>
        <v/>
      </c>
      <c r="K44" s="25"/>
      <c r="L44" s="129"/>
      <c r="M44" s="130"/>
      <c r="N44" s="35"/>
      <c r="O44" s="34"/>
      <c r="P44" s="25"/>
      <c r="Q44" s="25"/>
      <c r="R44" s="34"/>
      <c r="S44" s="34"/>
      <c r="T44" s="137"/>
      <c r="U44" s="137"/>
      <c r="V44" s="36"/>
      <c r="W44" s="37"/>
      <c r="X44" s="71" t="str">
        <f>IF(C44="Trả lại đơn","",IF((NETWORKDAYS(F44,G44,'Danh sách ngày nghỉ lễ'!$B$5:$B$25)-1-3)&gt;0,"Quá hạn"&amp;" "&amp;(NETWORKDAYS(F44,G44,'Danh sách ngày nghỉ lễ'!$B$5:$B$25)-1-3)&amp;" "&amp;"ngày",""))</f>
        <v/>
      </c>
      <c r="Y44" s="72" t="str">
        <f>IF(S44=0,"",IF(P44="Chuyển","",IF(P44="Nhập vào vụ khác","",IF(P44="CN đối thoại","",IF(P44="CN tại tòa","",IF(P44="BA",IF((S44-R44)&gt;7,"Quá hạn"&amp;" "&amp;(S44-R44-7)&amp;" "&amp;"ngày",""),IF((NETWORKDAYS(R44,S44,'Danh sách ngày nghỉ lễ'!$B$5:$B$25)-VLOOKUP(P44,'Thời hạn'!$D$17:$E$20,2,0))&gt;1,"Quá hạn"&amp;" "&amp;(NETWORKDAYS(R44,S44,'Danh sách ngày nghỉ lễ'!$B$5:$B$25)-1-VLOOKUP(P44,'Thời hạn'!$D$17:$E$20,2,0))&amp;" "&amp;"ngày","")))))))</f>
        <v/>
      </c>
      <c r="Z44" s="23">
        <v>1</v>
      </c>
    </row>
    <row r="45" spans="1:26" x14ac:dyDescent="0.3">
      <c r="A45" s="24">
        <v>1</v>
      </c>
      <c r="B45" s="39"/>
      <c r="C45" s="33"/>
      <c r="D45" s="25"/>
      <c r="E45" s="25"/>
      <c r="F45" s="34"/>
      <c r="G45" s="34"/>
      <c r="H45" s="25"/>
      <c r="I45" s="70" t="str">
        <f>IF(C45="Trả lại đơn","",IF(C45="Hòa giải thành","",IF(F45=0,"",EDATE(F45,VLOOKUP(C45,'Thời hạn'!$G$1:$H$12,2,0))+H45)))</f>
        <v/>
      </c>
      <c r="J45" s="59" t="str">
        <f t="shared" ca="1" si="0"/>
        <v/>
      </c>
      <c r="K45" s="25"/>
      <c r="L45" s="129"/>
      <c r="M45" s="130"/>
      <c r="N45" s="35"/>
      <c r="O45" s="34"/>
      <c r="P45" s="25"/>
      <c r="Q45" s="25"/>
      <c r="R45" s="34"/>
      <c r="S45" s="34"/>
      <c r="T45" s="137"/>
      <c r="U45" s="137"/>
      <c r="V45" s="36"/>
      <c r="W45" s="37"/>
      <c r="X45" s="71" t="str">
        <f>IF(C45="Trả lại đơn","",IF((NETWORKDAYS(F45,G45,'Danh sách ngày nghỉ lễ'!$B$5:$B$25)-1-3)&gt;0,"Quá hạn"&amp;" "&amp;(NETWORKDAYS(F45,G45,'Danh sách ngày nghỉ lễ'!$B$5:$B$25)-1-3)&amp;" "&amp;"ngày",""))</f>
        <v/>
      </c>
      <c r="Y45" s="72" t="str">
        <f>IF(S45=0,"",IF(P45="Chuyển","",IF(P45="Nhập vào vụ khác","",IF(P45="CN đối thoại","",IF(P45="CN tại tòa","",IF(P45="BA",IF((S45-R45)&gt;7,"Quá hạn"&amp;" "&amp;(S45-R45-7)&amp;" "&amp;"ngày",""),IF((NETWORKDAYS(R45,S45,'Danh sách ngày nghỉ lễ'!$B$5:$B$25)-VLOOKUP(P45,'Thời hạn'!$D$17:$E$20,2,0))&gt;1,"Quá hạn"&amp;" "&amp;(NETWORKDAYS(R45,S45,'Danh sách ngày nghỉ lễ'!$B$5:$B$25)-1-VLOOKUP(P45,'Thời hạn'!$D$17:$E$20,2,0))&amp;" "&amp;"ngày","")))))))</f>
        <v/>
      </c>
      <c r="Z45" s="23">
        <v>1</v>
      </c>
    </row>
    <row r="46" spans="1:26" x14ac:dyDescent="0.3">
      <c r="A46" s="24">
        <v>1</v>
      </c>
      <c r="B46" s="39"/>
      <c r="C46" s="33"/>
      <c r="D46" s="25"/>
      <c r="E46" s="25"/>
      <c r="F46" s="34"/>
      <c r="G46" s="34"/>
      <c r="H46" s="25"/>
      <c r="I46" s="70" t="str">
        <f>IF(C46="Trả lại đơn","",IF(C46="Hòa giải thành","",IF(F46=0,"",EDATE(F46,VLOOKUP(C46,'Thời hạn'!$G$1:$H$12,2,0))+H46)))</f>
        <v/>
      </c>
      <c r="J46" s="59" t="str">
        <f t="shared" ca="1" si="0"/>
        <v/>
      </c>
      <c r="K46" s="25"/>
      <c r="L46" s="129"/>
      <c r="M46" s="130"/>
      <c r="N46" s="35"/>
      <c r="O46" s="34"/>
      <c r="P46" s="25"/>
      <c r="Q46" s="25"/>
      <c r="R46" s="34"/>
      <c r="S46" s="34"/>
      <c r="T46" s="137"/>
      <c r="U46" s="137"/>
      <c r="V46" s="36"/>
      <c r="W46" s="37"/>
      <c r="X46" s="71" t="str">
        <f>IF(C46="Trả lại đơn","",IF((NETWORKDAYS(F46,G46,'Danh sách ngày nghỉ lễ'!$B$5:$B$25)-1-3)&gt;0,"Quá hạn"&amp;" "&amp;(NETWORKDAYS(F46,G46,'Danh sách ngày nghỉ lễ'!$B$5:$B$25)-1-3)&amp;" "&amp;"ngày",""))</f>
        <v/>
      </c>
      <c r="Y46" s="72" t="str">
        <f>IF(S46=0,"",IF(P46="Chuyển","",IF(P46="Nhập vào vụ khác","",IF(P46="CN đối thoại","",IF(P46="CN tại tòa","",IF(P46="BA",IF((S46-R46)&gt;7,"Quá hạn"&amp;" "&amp;(S46-R46-7)&amp;" "&amp;"ngày",""),IF((NETWORKDAYS(R46,S46,'Danh sách ngày nghỉ lễ'!$B$5:$B$25)-VLOOKUP(P46,'Thời hạn'!$D$17:$E$20,2,0))&gt;1,"Quá hạn"&amp;" "&amp;(NETWORKDAYS(R46,S46,'Danh sách ngày nghỉ lễ'!$B$5:$B$25)-1-VLOOKUP(P46,'Thời hạn'!$D$17:$E$20,2,0))&amp;" "&amp;"ngày","")))))))</f>
        <v/>
      </c>
      <c r="Z46" s="23">
        <v>1</v>
      </c>
    </row>
    <row r="47" spans="1:26" x14ac:dyDescent="0.3">
      <c r="A47" s="24">
        <v>1</v>
      </c>
      <c r="B47" s="39"/>
      <c r="C47" s="33"/>
      <c r="D47" s="25"/>
      <c r="E47" s="25"/>
      <c r="F47" s="34"/>
      <c r="G47" s="34"/>
      <c r="H47" s="25"/>
      <c r="I47" s="70" t="str">
        <f>IF(C47="Trả lại đơn","",IF(C47="Hòa giải thành","",IF(F47=0,"",EDATE(F47,VLOOKUP(C47,'Thời hạn'!$G$1:$H$12,2,0))+H47)))</f>
        <v/>
      </c>
      <c r="J47" s="59" t="str">
        <f t="shared" ca="1" si="0"/>
        <v/>
      </c>
      <c r="K47" s="25"/>
      <c r="L47" s="129"/>
      <c r="M47" s="130"/>
      <c r="N47" s="35"/>
      <c r="O47" s="34"/>
      <c r="P47" s="25"/>
      <c r="Q47" s="25"/>
      <c r="R47" s="34"/>
      <c r="S47" s="34"/>
      <c r="T47" s="137"/>
      <c r="U47" s="137"/>
      <c r="V47" s="36"/>
      <c r="W47" s="37"/>
      <c r="X47" s="71" t="str">
        <f>IF(C47="Trả lại đơn","",IF((NETWORKDAYS(F47,G47,'Danh sách ngày nghỉ lễ'!$B$5:$B$25)-1-3)&gt;0,"Quá hạn"&amp;" "&amp;(NETWORKDAYS(F47,G47,'Danh sách ngày nghỉ lễ'!$B$5:$B$25)-1-3)&amp;" "&amp;"ngày",""))</f>
        <v/>
      </c>
      <c r="Y47" s="72" t="str">
        <f>IF(S47=0,"",IF(P47="Chuyển","",IF(P47="Nhập vào vụ khác","",IF(P47="CN đối thoại","",IF(P47="CN tại tòa","",IF(P47="BA",IF((S47-R47)&gt;7,"Quá hạn"&amp;" "&amp;(S47-R47-7)&amp;" "&amp;"ngày",""),IF((NETWORKDAYS(R47,S47,'Danh sách ngày nghỉ lễ'!$B$5:$B$25)-VLOOKUP(P47,'Thời hạn'!$D$17:$E$20,2,0))&gt;1,"Quá hạn"&amp;" "&amp;(NETWORKDAYS(R47,S47,'Danh sách ngày nghỉ lễ'!$B$5:$B$25)-1-VLOOKUP(P47,'Thời hạn'!$D$17:$E$20,2,0))&amp;" "&amp;"ngày","")))))))</f>
        <v/>
      </c>
      <c r="Z47" s="23">
        <v>1</v>
      </c>
    </row>
    <row r="48" spans="1:26" x14ac:dyDescent="0.3">
      <c r="A48" s="24">
        <v>1</v>
      </c>
      <c r="B48" s="39"/>
      <c r="C48" s="33"/>
      <c r="D48" s="25"/>
      <c r="E48" s="25"/>
      <c r="F48" s="34"/>
      <c r="G48" s="34"/>
      <c r="H48" s="25"/>
      <c r="I48" s="70" t="str">
        <f>IF(C48="Trả lại đơn","",IF(C48="Hòa giải thành","",IF(F48=0,"",EDATE(F48,VLOOKUP(C48,'Thời hạn'!$G$1:$H$12,2,0))+H48)))</f>
        <v/>
      </c>
      <c r="J48" s="59" t="str">
        <f t="shared" ca="1" si="0"/>
        <v/>
      </c>
      <c r="K48" s="25"/>
      <c r="L48" s="129"/>
      <c r="M48" s="130"/>
      <c r="N48" s="35"/>
      <c r="O48" s="34"/>
      <c r="P48" s="25"/>
      <c r="Q48" s="25"/>
      <c r="R48" s="34"/>
      <c r="S48" s="34"/>
      <c r="T48" s="137"/>
      <c r="U48" s="137"/>
      <c r="V48" s="36"/>
      <c r="W48" s="37"/>
      <c r="X48" s="71" t="str">
        <f>IF(C48="Trả lại đơn","",IF((NETWORKDAYS(F48,G48,'Danh sách ngày nghỉ lễ'!$B$5:$B$25)-1-3)&gt;0,"Quá hạn"&amp;" "&amp;(NETWORKDAYS(F48,G48,'Danh sách ngày nghỉ lễ'!$B$5:$B$25)-1-3)&amp;" "&amp;"ngày",""))</f>
        <v/>
      </c>
      <c r="Y48" s="72" t="str">
        <f>IF(S48=0,"",IF(P48="Chuyển","",IF(P48="Nhập vào vụ khác","",IF(P48="CN đối thoại","",IF(P48="CN tại tòa","",IF(P48="BA",IF((S48-R48)&gt;7,"Quá hạn"&amp;" "&amp;(S48-R48-7)&amp;" "&amp;"ngày",""),IF((NETWORKDAYS(R48,S48,'Danh sách ngày nghỉ lễ'!$B$5:$B$25)-VLOOKUP(P48,'Thời hạn'!$D$17:$E$20,2,0))&gt;1,"Quá hạn"&amp;" "&amp;(NETWORKDAYS(R48,S48,'Danh sách ngày nghỉ lễ'!$B$5:$B$25)-1-VLOOKUP(P48,'Thời hạn'!$D$17:$E$20,2,0))&amp;" "&amp;"ngày","")))))))</f>
        <v/>
      </c>
      <c r="Z48" s="23">
        <v>1</v>
      </c>
    </row>
    <row r="49" spans="1:26" x14ac:dyDescent="0.3">
      <c r="A49" s="24">
        <v>1</v>
      </c>
      <c r="B49" s="39"/>
      <c r="C49" s="33"/>
      <c r="D49" s="25"/>
      <c r="E49" s="25"/>
      <c r="F49" s="34"/>
      <c r="G49" s="34"/>
      <c r="H49" s="25"/>
      <c r="I49" s="70" t="str">
        <f>IF(C49="Trả lại đơn","",IF(C49="Hòa giải thành","",IF(F49=0,"",EDATE(F49,VLOOKUP(C49,'Thời hạn'!$G$1:$H$12,2,0))+H49)))</f>
        <v/>
      </c>
      <c r="J49" s="59" t="str">
        <f t="shared" ca="1" si="0"/>
        <v/>
      </c>
      <c r="K49" s="25"/>
      <c r="L49" s="129"/>
      <c r="M49" s="130"/>
      <c r="N49" s="35"/>
      <c r="O49" s="34"/>
      <c r="P49" s="25"/>
      <c r="Q49" s="25"/>
      <c r="R49" s="34"/>
      <c r="S49" s="34"/>
      <c r="T49" s="137"/>
      <c r="U49" s="137"/>
      <c r="V49" s="36"/>
      <c r="W49" s="37"/>
      <c r="X49" s="71" t="str">
        <f>IF(C49="Trả lại đơn","",IF((NETWORKDAYS(F49,G49,'Danh sách ngày nghỉ lễ'!$B$5:$B$25)-1-3)&gt;0,"Quá hạn"&amp;" "&amp;(NETWORKDAYS(F49,G49,'Danh sách ngày nghỉ lễ'!$B$5:$B$25)-1-3)&amp;" "&amp;"ngày",""))</f>
        <v/>
      </c>
      <c r="Y49" s="72" t="str">
        <f>IF(S49=0,"",IF(P49="Chuyển","",IF(P49="Nhập vào vụ khác","",IF(P49="CN đối thoại","",IF(P49="CN tại tòa","",IF(P49="BA",IF((S49-R49)&gt;7,"Quá hạn"&amp;" "&amp;(S49-R49-7)&amp;" "&amp;"ngày",""),IF((NETWORKDAYS(R49,S49,'Danh sách ngày nghỉ lễ'!$B$5:$B$25)-VLOOKUP(P49,'Thời hạn'!$D$17:$E$20,2,0))&gt;1,"Quá hạn"&amp;" "&amp;(NETWORKDAYS(R49,S49,'Danh sách ngày nghỉ lễ'!$B$5:$B$25)-1-VLOOKUP(P49,'Thời hạn'!$D$17:$E$20,2,0))&amp;" "&amp;"ngày","")))))))</f>
        <v/>
      </c>
      <c r="Z49" s="23">
        <v>1</v>
      </c>
    </row>
    <row r="50" spans="1:26" x14ac:dyDescent="0.3">
      <c r="A50" s="24">
        <v>1</v>
      </c>
      <c r="B50" s="39"/>
      <c r="C50" s="33"/>
      <c r="D50" s="25"/>
      <c r="E50" s="25"/>
      <c r="F50" s="34"/>
      <c r="G50" s="34"/>
      <c r="H50" s="25"/>
      <c r="I50" s="70" t="str">
        <f>IF(C50="Trả lại đơn","",IF(C50="Hòa giải thành","",IF(F50=0,"",EDATE(F50,VLOOKUP(C50,'Thời hạn'!$G$1:$H$12,2,0))+H50)))</f>
        <v/>
      </c>
      <c r="J50" s="59" t="str">
        <f t="shared" ca="1" si="0"/>
        <v/>
      </c>
      <c r="K50" s="25"/>
      <c r="L50" s="129"/>
      <c r="M50" s="130"/>
      <c r="N50" s="35"/>
      <c r="O50" s="34"/>
      <c r="P50" s="25"/>
      <c r="Q50" s="25"/>
      <c r="R50" s="34"/>
      <c r="S50" s="34"/>
      <c r="T50" s="137"/>
      <c r="U50" s="137"/>
      <c r="V50" s="36"/>
      <c r="W50" s="37"/>
      <c r="X50" s="71" t="str">
        <f>IF(C50="Trả lại đơn","",IF((NETWORKDAYS(F50,G50,'Danh sách ngày nghỉ lễ'!$B$5:$B$25)-1-3)&gt;0,"Quá hạn"&amp;" "&amp;(NETWORKDAYS(F50,G50,'Danh sách ngày nghỉ lễ'!$B$5:$B$25)-1-3)&amp;" "&amp;"ngày",""))</f>
        <v/>
      </c>
      <c r="Y50" s="72" t="str">
        <f>IF(S50=0,"",IF(P50="Chuyển","",IF(P50="Nhập vào vụ khác","",IF(P50="CN đối thoại","",IF(P50="CN tại tòa","",IF(P50="BA",IF((S50-R50)&gt;7,"Quá hạn"&amp;" "&amp;(S50-R50-7)&amp;" "&amp;"ngày",""),IF((NETWORKDAYS(R50,S50,'Danh sách ngày nghỉ lễ'!$B$5:$B$25)-VLOOKUP(P50,'Thời hạn'!$D$17:$E$20,2,0))&gt;1,"Quá hạn"&amp;" "&amp;(NETWORKDAYS(R50,S50,'Danh sách ngày nghỉ lễ'!$B$5:$B$25)-1-VLOOKUP(P50,'Thời hạn'!$D$17:$E$20,2,0))&amp;" "&amp;"ngày","")))))))</f>
        <v/>
      </c>
      <c r="Z50" s="23">
        <v>1</v>
      </c>
    </row>
    <row r="51" spans="1:26" x14ac:dyDescent="0.3">
      <c r="A51" s="24">
        <v>1</v>
      </c>
      <c r="B51" s="39"/>
      <c r="C51" s="33"/>
      <c r="D51" s="25"/>
      <c r="E51" s="25"/>
      <c r="F51" s="34"/>
      <c r="G51" s="34"/>
      <c r="H51" s="25"/>
      <c r="I51" s="70" t="str">
        <f>IF(C51="Trả lại đơn","",IF(C51="Hòa giải thành","",IF(F51=0,"",EDATE(F51,VLOOKUP(C51,'Thời hạn'!$G$1:$H$12,2,0))+H51)))</f>
        <v/>
      </c>
      <c r="J51" s="59" t="str">
        <f t="shared" ca="1" si="0"/>
        <v/>
      </c>
      <c r="K51" s="25"/>
      <c r="L51" s="129"/>
      <c r="M51" s="130"/>
      <c r="N51" s="35"/>
      <c r="O51" s="34"/>
      <c r="P51" s="25"/>
      <c r="Q51" s="25"/>
      <c r="R51" s="34"/>
      <c r="S51" s="34"/>
      <c r="T51" s="137"/>
      <c r="U51" s="137"/>
      <c r="V51" s="36"/>
      <c r="W51" s="37"/>
      <c r="X51" s="71" t="str">
        <f>IF(C51="Trả lại đơn","",IF((NETWORKDAYS(F51,G51,'Danh sách ngày nghỉ lễ'!$B$5:$B$25)-1-3)&gt;0,"Quá hạn"&amp;" "&amp;(NETWORKDAYS(F51,G51,'Danh sách ngày nghỉ lễ'!$B$5:$B$25)-1-3)&amp;" "&amp;"ngày",""))</f>
        <v/>
      </c>
      <c r="Y51" s="72" t="str">
        <f>IF(S51=0,"",IF(P51="Chuyển","",IF(P51="Nhập vào vụ khác","",IF(P51="CN đối thoại","",IF(P51="CN tại tòa","",IF(P51="BA",IF((S51-R51)&gt;7,"Quá hạn"&amp;" "&amp;(S51-R51-7)&amp;" "&amp;"ngày",""),IF((NETWORKDAYS(R51,S51,'Danh sách ngày nghỉ lễ'!$B$5:$B$25)-VLOOKUP(P51,'Thời hạn'!$D$17:$E$20,2,0))&gt;1,"Quá hạn"&amp;" "&amp;(NETWORKDAYS(R51,S51,'Danh sách ngày nghỉ lễ'!$B$5:$B$25)-1-VLOOKUP(P51,'Thời hạn'!$D$17:$E$20,2,0))&amp;" "&amp;"ngày","")))))))</f>
        <v/>
      </c>
      <c r="Z51" s="23">
        <v>1</v>
      </c>
    </row>
    <row r="52" spans="1:26" x14ac:dyDescent="0.3">
      <c r="A52" s="24">
        <v>1</v>
      </c>
      <c r="B52" s="39"/>
      <c r="C52" s="33"/>
      <c r="D52" s="25"/>
      <c r="E52" s="25"/>
      <c r="F52" s="34"/>
      <c r="G52" s="34"/>
      <c r="H52" s="25"/>
      <c r="I52" s="70" t="str">
        <f>IF(C52="Trả lại đơn","",IF(C52="Hòa giải thành","",IF(F52=0,"",EDATE(F52,VLOOKUP(C52,'Thời hạn'!$G$1:$H$12,2,0))+H52)))</f>
        <v/>
      </c>
      <c r="J52" s="59" t="str">
        <f t="shared" ca="1" si="0"/>
        <v/>
      </c>
      <c r="K52" s="25"/>
      <c r="L52" s="129"/>
      <c r="M52" s="130"/>
      <c r="N52" s="35"/>
      <c r="O52" s="34"/>
      <c r="P52" s="25"/>
      <c r="Q52" s="25"/>
      <c r="R52" s="34"/>
      <c r="S52" s="34"/>
      <c r="T52" s="137"/>
      <c r="U52" s="137"/>
      <c r="V52" s="36"/>
      <c r="W52" s="37"/>
      <c r="X52" s="71" t="str">
        <f>IF(C52="Trả lại đơn","",IF((NETWORKDAYS(F52,G52,'Danh sách ngày nghỉ lễ'!$B$5:$B$25)-1-3)&gt;0,"Quá hạn"&amp;" "&amp;(NETWORKDAYS(F52,G52,'Danh sách ngày nghỉ lễ'!$B$5:$B$25)-1-3)&amp;" "&amp;"ngày",""))</f>
        <v/>
      </c>
      <c r="Y52" s="72" t="str">
        <f>IF(S52=0,"",IF(P52="Chuyển","",IF(P52="Nhập vào vụ khác","",IF(P52="CN đối thoại","",IF(P52="CN tại tòa","",IF(P52="BA",IF((S52-R52)&gt;7,"Quá hạn"&amp;" "&amp;(S52-R52-7)&amp;" "&amp;"ngày",""),IF((NETWORKDAYS(R52,S52,'Danh sách ngày nghỉ lễ'!$B$5:$B$25)-VLOOKUP(P52,'Thời hạn'!$D$17:$E$20,2,0))&gt;1,"Quá hạn"&amp;" "&amp;(NETWORKDAYS(R52,S52,'Danh sách ngày nghỉ lễ'!$B$5:$B$25)-1-VLOOKUP(P52,'Thời hạn'!$D$17:$E$20,2,0))&amp;" "&amp;"ngày","")))))))</f>
        <v/>
      </c>
      <c r="Z52" s="23">
        <v>1</v>
      </c>
    </row>
    <row r="53" spans="1:26" x14ac:dyDescent="0.3">
      <c r="A53" s="24">
        <v>1</v>
      </c>
      <c r="B53" s="39"/>
      <c r="C53" s="33"/>
      <c r="D53" s="25"/>
      <c r="E53" s="25"/>
      <c r="F53" s="34"/>
      <c r="G53" s="34"/>
      <c r="H53" s="25"/>
      <c r="I53" s="70" t="str">
        <f>IF(C53="Trả lại đơn","",IF(C53="Hòa giải thành","",IF(F53=0,"",EDATE(F53,VLOOKUP(C53,'Thời hạn'!$G$1:$H$12,2,0))+H53)))</f>
        <v/>
      </c>
      <c r="J53" s="59" t="str">
        <f t="shared" ca="1" si="0"/>
        <v/>
      </c>
      <c r="K53" s="25"/>
      <c r="L53" s="129"/>
      <c r="M53" s="130"/>
      <c r="N53" s="35"/>
      <c r="O53" s="34"/>
      <c r="P53" s="25"/>
      <c r="Q53" s="25"/>
      <c r="R53" s="34"/>
      <c r="S53" s="34"/>
      <c r="T53" s="137"/>
      <c r="U53" s="137"/>
      <c r="V53" s="36"/>
      <c r="W53" s="37"/>
      <c r="X53" s="71" t="str">
        <f>IF(C53="Trả lại đơn","",IF((NETWORKDAYS(F53,G53,'Danh sách ngày nghỉ lễ'!$B$5:$B$25)-1-3)&gt;0,"Quá hạn"&amp;" "&amp;(NETWORKDAYS(F53,G53,'Danh sách ngày nghỉ lễ'!$B$5:$B$25)-1-3)&amp;" "&amp;"ngày",""))</f>
        <v/>
      </c>
      <c r="Y53" s="72" t="str">
        <f>IF(S53=0,"",IF(P53="Chuyển","",IF(P53="Nhập vào vụ khác","",IF(P53="CN đối thoại","",IF(P53="CN tại tòa","",IF(P53="BA",IF((S53-R53)&gt;7,"Quá hạn"&amp;" "&amp;(S53-R53-7)&amp;" "&amp;"ngày",""),IF((NETWORKDAYS(R53,S53,'Danh sách ngày nghỉ lễ'!$B$5:$B$25)-VLOOKUP(P53,'Thời hạn'!$D$17:$E$20,2,0))&gt;1,"Quá hạn"&amp;" "&amp;(NETWORKDAYS(R53,S53,'Danh sách ngày nghỉ lễ'!$B$5:$B$25)-1-VLOOKUP(P53,'Thời hạn'!$D$17:$E$20,2,0))&amp;" "&amp;"ngày","")))))))</f>
        <v/>
      </c>
      <c r="Z53" s="23">
        <v>1</v>
      </c>
    </row>
    <row r="54" spans="1:26" x14ac:dyDescent="0.3">
      <c r="A54" s="24">
        <v>1</v>
      </c>
      <c r="B54" s="39"/>
      <c r="C54" s="33"/>
      <c r="D54" s="25"/>
      <c r="E54" s="25"/>
      <c r="F54" s="34"/>
      <c r="G54" s="34"/>
      <c r="H54" s="25"/>
      <c r="I54" s="70" t="str">
        <f>IF(C54="Trả lại đơn","",IF(C54="Hòa giải thành","",IF(F54=0,"",EDATE(F54,VLOOKUP(C54,'Thời hạn'!$G$1:$H$12,2,0))+H54)))</f>
        <v/>
      </c>
      <c r="J54" s="59" t="str">
        <f t="shared" ca="1" si="0"/>
        <v/>
      </c>
      <c r="K54" s="25"/>
      <c r="L54" s="129"/>
      <c r="M54" s="130"/>
      <c r="N54" s="35"/>
      <c r="O54" s="34"/>
      <c r="P54" s="25"/>
      <c r="Q54" s="25"/>
      <c r="R54" s="34"/>
      <c r="S54" s="34"/>
      <c r="T54" s="137"/>
      <c r="U54" s="137"/>
      <c r="V54" s="36"/>
      <c r="W54" s="37"/>
      <c r="X54" s="71" t="str">
        <f>IF(C54="Trả lại đơn","",IF((NETWORKDAYS(F54,G54,'Danh sách ngày nghỉ lễ'!$B$5:$B$25)-1-3)&gt;0,"Quá hạn"&amp;" "&amp;(NETWORKDAYS(F54,G54,'Danh sách ngày nghỉ lễ'!$B$5:$B$25)-1-3)&amp;" "&amp;"ngày",""))</f>
        <v/>
      </c>
      <c r="Y54" s="72" t="str">
        <f>IF(S54=0,"",IF(P54="Chuyển","",IF(P54="Nhập vào vụ khác","",IF(P54="CN đối thoại","",IF(P54="CN tại tòa","",IF(P54="BA",IF((S54-R54)&gt;7,"Quá hạn"&amp;" "&amp;(S54-R54-7)&amp;" "&amp;"ngày",""),IF((NETWORKDAYS(R54,S54,'Danh sách ngày nghỉ lễ'!$B$5:$B$25)-VLOOKUP(P54,'Thời hạn'!$D$17:$E$20,2,0))&gt;1,"Quá hạn"&amp;" "&amp;(NETWORKDAYS(R54,S54,'Danh sách ngày nghỉ lễ'!$B$5:$B$25)-1-VLOOKUP(P54,'Thời hạn'!$D$17:$E$20,2,0))&amp;" "&amp;"ngày","")))))))</f>
        <v/>
      </c>
      <c r="Z54" s="23">
        <v>1</v>
      </c>
    </row>
    <row r="55" spans="1:26" x14ac:dyDescent="0.3">
      <c r="A55" s="24">
        <v>1</v>
      </c>
      <c r="B55" s="39"/>
      <c r="C55" s="33"/>
      <c r="D55" s="25"/>
      <c r="E55" s="25"/>
      <c r="F55" s="34"/>
      <c r="G55" s="34"/>
      <c r="H55" s="25"/>
      <c r="I55" s="70" t="str">
        <f>IF(C55="Trả lại đơn","",IF(C55="Hòa giải thành","",IF(F55=0,"",EDATE(F55,VLOOKUP(C55,'Thời hạn'!$G$1:$H$12,2,0))+H55)))</f>
        <v/>
      </c>
      <c r="J55" s="59" t="str">
        <f t="shared" ca="1" si="0"/>
        <v/>
      </c>
      <c r="K55" s="25"/>
      <c r="L55" s="129"/>
      <c r="M55" s="130"/>
      <c r="N55" s="35"/>
      <c r="O55" s="34"/>
      <c r="P55" s="25"/>
      <c r="Q55" s="25"/>
      <c r="R55" s="34"/>
      <c r="S55" s="34"/>
      <c r="T55" s="137"/>
      <c r="U55" s="137"/>
      <c r="V55" s="36"/>
      <c r="W55" s="37"/>
      <c r="X55" s="71" t="str">
        <f>IF(C55="Trả lại đơn","",IF((NETWORKDAYS(F55,G55,'Danh sách ngày nghỉ lễ'!$B$5:$B$25)-1-3)&gt;0,"Quá hạn"&amp;" "&amp;(NETWORKDAYS(F55,G55,'Danh sách ngày nghỉ lễ'!$B$5:$B$25)-1-3)&amp;" "&amp;"ngày",""))</f>
        <v/>
      </c>
      <c r="Y55" s="72" t="str">
        <f>IF(S55=0,"",IF(P55="Chuyển","",IF(P55="Nhập vào vụ khác","",IF(P55="CN đối thoại","",IF(P55="CN tại tòa","",IF(P55="BA",IF((S55-R55)&gt;7,"Quá hạn"&amp;" "&amp;(S55-R55-7)&amp;" "&amp;"ngày",""),IF((NETWORKDAYS(R55,S55,'Danh sách ngày nghỉ lễ'!$B$5:$B$25)-VLOOKUP(P55,'Thời hạn'!$D$17:$E$20,2,0))&gt;1,"Quá hạn"&amp;" "&amp;(NETWORKDAYS(R55,S55,'Danh sách ngày nghỉ lễ'!$B$5:$B$25)-1-VLOOKUP(P55,'Thời hạn'!$D$17:$E$20,2,0))&amp;" "&amp;"ngày","")))))))</f>
        <v/>
      </c>
      <c r="Z55" s="23">
        <v>1</v>
      </c>
    </row>
    <row r="56" spans="1:26" x14ac:dyDescent="0.3">
      <c r="A56" s="24">
        <v>1</v>
      </c>
      <c r="B56" s="39"/>
      <c r="C56" s="33"/>
      <c r="D56" s="25"/>
      <c r="E56" s="25"/>
      <c r="F56" s="34"/>
      <c r="G56" s="34"/>
      <c r="H56" s="25"/>
      <c r="I56" s="70" t="str">
        <f>IF(C56="Trả lại đơn","",IF(C56="Hòa giải thành","",IF(F56=0,"",EDATE(F56,VLOOKUP(C56,'Thời hạn'!$G$1:$H$12,2,0))+H56)))</f>
        <v/>
      </c>
      <c r="J56" s="59" t="str">
        <f t="shared" ca="1" si="0"/>
        <v/>
      </c>
      <c r="K56" s="25"/>
      <c r="L56" s="129"/>
      <c r="M56" s="130"/>
      <c r="N56" s="35"/>
      <c r="O56" s="34"/>
      <c r="P56" s="25"/>
      <c r="Q56" s="25"/>
      <c r="R56" s="34"/>
      <c r="S56" s="34"/>
      <c r="T56" s="137"/>
      <c r="U56" s="137"/>
      <c r="V56" s="36"/>
      <c r="W56" s="37"/>
      <c r="X56" s="71" t="str">
        <f>IF(C56="Trả lại đơn","",IF((NETWORKDAYS(F56,G56,'Danh sách ngày nghỉ lễ'!$B$5:$B$25)-1-3)&gt;0,"Quá hạn"&amp;" "&amp;(NETWORKDAYS(F56,G56,'Danh sách ngày nghỉ lễ'!$B$5:$B$25)-1-3)&amp;" "&amp;"ngày",""))</f>
        <v/>
      </c>
      <c r="Y56" s="72" t="str">
        <f>IF(S56=0,"",IF(P56="Chuyển","",IF(P56="Nhập vào vụ khác","",IF(P56="CN đối thoại","",IF(P56="CN tại tòa","",IF(P56="BA",IF((S56-R56)&gt;7,"Quá hạn"&amp;" "&amp;(S56-R56-7)&amp;" "&amp;"ngày",""),IF((NETWORKDAYS(R56,S56,'Danh sách ngày nghỉ lễ'!$B$5:$B$25)-VLOOKUP(P56,'Thời hạn'!$D$17:$E$20,2,0))&gt;1,"Quá hạn"&amp;" "&amp;(NETWORKDAYS(R56,S56,'Danh sách ngày nghỉ lễ'!$B$5:$B$25)-1-VLOOKUP(P56,'Thời hạn'!$D$17:$E$20,2,0))&amp;" "&amp;"ngày","")))))))</f>
        <v/>
      </c>
      <c r="Z56" s="23">
        <v>1</v>
      </c>
    </row>
    <row r="57" spans="1:26" x14ac:dyDescent="0.3">
      <c r="A57" s="24">
        <v>1</v>
      </c>
      <c r="B57" s="39"/>
      <c r="C57" s="33"/>
      <c r="D57" s="25"/>
      <c r="E57" s="25"/>
      <c r="F57" s="34"/>
      <c r="G57" s="34"/>
      <c r="H57" s="25"/>
      <c r="I57" s="70" t="str">
        <f>IF(C57="Trả lại đơn","",IF(C57="Hòa giải thành","",IF(F57=0,"",EDATE(F57,VLOOKUP(C57,'Thời hạn'!$G$1:$H$12,2,0))+H57)))</f>
        <v/>
      </c>
      <c r="J57" s="59" t="str">
        <f t="shared" ca="1" si="0"/>
        <v/>
      </c>
      <c r="K57" s="25"/>
      <c r="L57" s="129"/>
      <c r="M57" s="130"/>
      <c r="N57" s="35"/>
      <c r="O57" s="34"/>
      <c r="P57" s="25"/>
      <c r="Q57" s="25"/>
      <c r="R57" s="34"/>
      <c r="S57" s="34"/>
      <c r="T57" s="137"/>
      <c r="U57" s="137"/>
      <c r="V57" s="36"/>
      <c r="W57" s="37"/>
      <c r="X57" s="71" t="str">
        <f>IF(C57="Trả lại đơn","",IF((NETWORKDAYS(F57,G57,'Danh sách ngày nghỉ lễ'!$B$5:$B$25)-1-3)&gt;0,"Quá hạn"&amp;" "&amp;(NETWORKDAYS(F57,G57,'Danh sách ngày nghỉ lễ'!$B$5:$B$25)-1-3)&amp;" "&amp;"ngày",""))</f>
        <v/>
      </c>
      <c r="Y57" s="72" t="str">
        <f>IF(S57=0,"",IF(P57="Chuyển","",IF(P57="Nhập vào vụ khác","",IF(P57="CN đối thoại","",IF(P57="CN tại tòa","",IF(P57="BA",IF((S57-R57)&gt;7,"Quá hạn"&amp;" "&amp;(S57-R57-7)&amp;" "&amp;"ngày",""),IF((NETWORKDAYS(R57,S57,'Danh sách ngày nghỉ lễ'!$B$5:$B$25)-VLOOKUP(P57,'Thời hạn'!$D$17:$E$20,2,0))&gt;1,"Quá hạn"&amp;" "&amp;(NETWORKDAYS(R57,S57,'Danh sách ngày nghỉ lễ'!$B$5:$B$25)-1-VLOOKUP(P57,'Thời hạn'!$D$17:$E$20,2,0))&amp;" "&amp;"ngày","")))))))</f>
        <v/>
      </c>
      <c r="Z57" s="23">
        <v>1</v>
      </c>
    </row>
    <row r="58" spans="1:26" x14ac:dyDescent="0.3">
      <c r="A58" s="24">
        <v>1</v>
      </c>
      <c r="B58" s="39"/>
      <c r="C58" s="33"/>
      <c r="D58" s="25"/>
      <c r="E58" s="25"/>
      <c r="F58" s="34"/>
      <c r="G58" s="34"/>
      <c r="H58" s="25"/>
      <c r="I58" s="70" t="str">
        <f>IF(C58="Trả lại đơn","",IF(C58="Hòa giải thành","",IF(F58=0,"",EDATE(F58,VLOOKUP(C58,'Thời hạn'!$G$1:$H$12,2,0))+H58)))</f>
        <v/>
      </c>
      <c r="J58" s="59" t="str">
        <f t="shared" ca="1" si="0"/>
        <v/>
      </c>
      <c r="K58" s="25"/>
      <c r="L58" s="129"/>
      <c r="M58" s="130"/>
      <c r="N58" s="35"/>
      <c r="O58" s="34"/>
      <c r="P58" s="25"/>
      <c r="Q58" s="25"/>
      <c r="R58" s="34"/>
      <c r="S58" s="34"/>
      <c r="T58" s="137"/>
      <c r="U58" s="137"/>
      <c r="V58" s="36"/>
      <c r="W58" s="37"/>
      <c r="X58" s="71" t="str">
        <f>IF(C58="Trả lại đơn","",IF((NETWORKDAYS(F58,G58,'Danh sách ngày nghỉ lễ'!$B$5:$B$25)-1-3)&gt;0,"Quá hạn"&amp;" "&amp;(NETWORKDAYS(F58,G58,'Danh sách ngày nghỉ lễ'!$B$5:$B$25)-1-3)&amp;" "&amp;"ngày",""))</f>
        <v/>
      </c>
      <c r="Y58" s="72" t="str">
        <f>IF(S58=0,"",IF(P58="Chuyển","",IF(P58="Nhập vào vụ khác","",IF(P58="CN đối thoại","",IF(P58="CN tại tòa","",IF(P58="BA",IF((S58-R58)&gt;7,"Quá hạn"&amp;" "&amp;(S58-R58-7)&amp;" "&amp;"ngày",""),IF((NETWORKDAYS(R58,S58,'Danh sách ngày nghỉ lễ'!$B$5:$B$25)-VLOOKUP(P58,'Thời hạn'!$D$17:$E$20,2,0))&gt;1,"Quá hạn"&amp;" "&amp;(NETWORKDAYS(R58,S58,'Danh sách ngày nghỉ lễ'!$B$5:$B$25)-1-VLOOKUP(P58,'Thời hạn'!$D$17:$E$20,2,0))&amp;" "&amp;"ngày","")))))))</f>
        <v/>
      </c>
      <c r="Z58" s="23">
        <v>1</v>
      </c>
    </row>
    <row r="59" spans="1:26" x14ac:dyDescent="0.3">
      <c r="A59" s="24">
        <v>1</v>
      </c>
      <c r="B59" s="39"/>
      <c r="C59" s="33"/>
      <c r="D59" s="25"/>
      <c r="E59" s="25"/>
      <c r="F59" s="34"/>
      <c r="G59" s="34"/>
      <c r="H59" s="25"/>
      <c r="I59" s="70" t="str">
        <f>IF(C59="Trả lại đơn","",IF(C59="Hòa giải thành","",IF(F59=0,"",EDATE(F59,VLOOKUP(C59,'Thời hạn'!$G$1:$H$12,2,0))+H59)))</f>
        <v/>
      </c>
      <c r="J59" s="59" t="str">
        <f t="shared" ca="1" si="0"/>
        <v/>
      </c>
      <c r="K59" s="25"/>
      <c r="L59" s="129"/>
      <c r="M59" s="130"/>
      <c r="N59" s="35"/>
      <c r="O59" s="34"/>
      <c r="P59" s="25"/>
      <c r="Q59" s="25"/>
      <c r="R59" s="34"/>
      <c r="S59" s="34"/>
      <c r="T59" s="137"/>
      <c r="U59" s="137"/>
      <c r="V59" s="36"/>
      <c r="W59" s="37"/>
      <c r="X59" s="71" t="str">
        <f>IF(C59="Trả lại đơn","",IF((NETWORKDAYS(F59,G59,'Danh sách ngày nghỉ lễ'!$B$5:$B$25)-1-3)&gt;0,"Quá hạn"&amp;" "&amp;(NETWORKDAYS(F59,G59,'Danh sách ngày nghỉ lễ'!$B$5:$B$25)-1-3)&amp;" "&amp;"ngày",""))</f>
        <v/>
      </c>
      <c r="Y59" s="72" t="str">
        <f>IF(S59=0,"",IF(P59="Chuyển","",IF(P59="Nhập vào vụ khác","",IF(P59="CN đối thoại","",IF(P59="CN tại tòa","",IF(P59="BA",IF((S59-R59)&gt;7,"Quá hạn"&amp;" "&amp;(S59-R59-7)&amp;" "&amp;"ngày",""),IF((NETWORKDAYS(R59,S59,'Danh sách ngày nghỉ lễ'!$B$5:$B$25)-VLOOKUP(P59,'Thời hạn'!$D$17:$E$20,2,0))&gt;1,"Quá hạn"&amp;" "&amp;(NETWORKDAYS(R59,S59,'Danh sách ngày nghỉ lễ'!$B$5:$B$25)-1-VLOOKUP(P59,'Thời hạn'!$D$17:$E$20,2,0))&amp;" "&amp;"ngày","")))))))</f>
        <v/>
      </c>
      <c r="Z59" s="23">
        <v>1</v>
      </c>
    </row>
    <row r="60" spans="1:26" x14ac:dyDescent="0.3">
      <c r="A60" s="24">
        <v>1</v>
      </c>
      <c r="B60" s="39"/>
      <c r="C60" s="33"/>
      <c r="D60" s="25"/>
      <c r="E60" s="25"/>
      <c r="F60" s="34"/>
      <c r="G60" s="34"/>
      <c r="H60" s="25"/>
      <c r="I60" s="70" t="str">
        <f>IF(C60="Trả lại đơn","",IF(C60="Hòa giải thành","",IF(F60=0,"",EDATE(F60,VLOOKUP(C60,'Thời hạn'!$G$1:$H$12,2,0))+H60)))</f>
        <v/>
      </c>
      <c r="J60" s="59" t="str">
        <f t="shared" ca="1" si="0"/>
        <v/>
      </c>
      <c r="K60" s="25"/>
      <c r="L60" s="129"/>
      <c r="M60" s="130"/>
      <c r="N60" s="35"/>
      <c r="O60" s="34"/>
      <c r="P60" s="25"/>
      <c r="Q60" s="25"/>
      <c r="R60" s="34"/>
      <c r="S60" s="34"/>
      <c r="T60" s="137"/>
      <c r="U60" s="137"/>
      <c r="V60" s="36"/>
      <c r="W60" s="37"/>
      <c r="X60" s="71" t="str">
        <f>IF(C60="Trả lại đơn","",IF((NETWORKDAYS(F60,G60,'Danh sách ngày nghỉ lễ'!$B$5:$B$25)-1-3)&gt;0,"Quá hạn"&amp;" "&amp;(NETWORKDAYS(F60,G60,'Danh sách ngày nghỉ lễ'!$B$5:$B$25)-1-3)&amp;" "&amp;"ngày",""))</f>
        <v/>
      </c>
      <c r="Y60" s="72" t="str">
        <f>IF(S60=0,"",IF(P60="Chuyển","",IF(P60="Nhập vào vụ khác","",IF(P60="CN đối thoại","",IF(P60="CN tại tòa","",IF(P60="BA",IF((S60-R60)&gt;7,"Quá hạn"&amp;" "&amp;(S60-R60-7)&amp;" "&amp;"ngày",""),IF((NETWORKDAYS(R60,S60,'Danh sách ngày nghỉ lễ'!$B$5:$B$25)-VLOOKUP(P60,'Thời hạn'!$D$17:$E$20,2,0))&gt;1,"Quá hạn"&amp;" "&amp;(NETWORKDAYS(R60,S60,'Danh sách ngày nghỉ lễ'!$B$5:$B$25)-1-VLOOKUP(P60,'Thời hạn'!$D$17:$E$20,2,0))&amp;" "&amp;"ngày","")))))))</f>
        <v/>
      </c>
      <c r="Z60" s="23">
        <v>1</v>
      </c>
    </row>
    <row r="61" spans="1:26" x14ac:dyDescent="0.3">
      <c r="A61" s="24">
        <v>1</v>
      </c>
      <c r="B61" s="39"/>
      <c r="C61" s="33"/>
      <c r="D61" s="25"/>
      <c r="E61" s="25"/>
      <c r="F61" s="34"/>
      <c r="G61" s="34"/>
      <c r="H61" s="25"/>
      <c r="I61" s="70" t="str">
        <f>IF(C61="Trả lại đơn","",IF(C61="Hòa giải thành","",IF(F61=0,"",EDATE(F61,VLOOKUP(C61,'Thời hạn'!$G$1:$H$12,2,0))+H61)))</f>
        <v/>
      </c>
      <c r="J61" s="59" t="str">
        <f t="shared" ca="1" si="0"/>
        <v/>
      </c>
      <c r="K61" s="25"/>
      <c r="L61" s="129"/>
      <c r="M61" s="130"/>
      <c r="N61" s="35"/>
      <c r="O61" s="34"/>
      <c r="P61" s="25"/>
      <c r="Q61" s="25"/>
      <c r="R61" s="34"/>
      <c r="S61" s="34"/>
      <c r="T61" s="137"/>
      <c r="U61" s="137"/>
      <c r="V61" s="36"/>
      <c r="W61" s="37"/>
      <c r="X61" s="71" t="str">
        <f>IF(C61="Trả lại đơn","",IF((NETWORKDAYS(F61,G61,'Danh sách ngày nghỉ lễ'!$B$5:$B$25)-1-3)&gt;0,"Quá hạn"&amp;" "&amp;(NETWORKDAYS(F61,G61,'Danh sách ngày nghỉ lễ'!$B$5:$B$25)-1-3)&amp;" "&amp;"ngày",""))</f>
        <v/>
      </c>
      <c r="Y61" s="72" t="str">
        <f>IF(S61=0,"",IF(P61="Chuyển","",IF(P61="Nhập vào vụ khác","",IF(P61="CN đối thoại","",IF(P61="CN tại tòa","",IF(P61="BA",IF((S61-R61)&gt;7,"Quá hạn"&amp;" "&amp;(S61-R61-7)&amp;" "&amp;"ngày",""),IF((NETWORKDAYS(R61,S61,'Danh sách ngày nghỉ lễ'!$B$5:$B$25)-VLOOKUP(P61,'Thời hạn'!$D$17:$E$20,2,0))&gt;1,"Quá hạn"&amp;" "&amp;(NETWORKDAYS(R61,S61,'Danh sách ngày nghỉ lễ'!$B$5:$B$25)-1-VLOOKUP(P61,'Thời hạn'!$D$17:$E$20,2,0))&amp;" "&amp;"ngày","")))))))</f>
        <v/>
      </c>
      <c r="Z61" s="23">
        <v>1</v>
      </c>
    </row>
    <row r="62" spans="1:26" x14ac:dyDescent="0.3">
      <c r="A62" s="24">
        <v>1</v>
      </c>
      <c r="B62" s="39"/>
      <c r="C62" s="33"/>
      <c r="D62" s="25"/>
      <c r="E62" s="25"/>
      <c r="F62" s="34"/>
      <c r="G62" s="34"/>
      <c r="H62" s="25"/>
      <c r="I62" s="70" t="str">
        <f>IF(C62="Trả lại đơn","",IF(C62="Hòa giải thành","",IF(F62=0,"",EDATE(F62,VLOOKUP(C62,'Thời hạn'!$G$1:$H$12,2,0))+H62)))</f>
        <v/>
      </c>
      <c r="J62" s="59" t="str">
        <f t="shared" ca="1" si="0"/>
        <v/>
      </c>
      <c r="K62" s="25"/>
      <c r="L62" s="129"/>
      <c r="M62" s="130"/>
      <c r="N62" s="35"/>
      <c r="O62" s="34"/>
      <c r="P62" s="25"/>
      <c r="Q62" s="25"/>
      <c r="R62" s="34"/>
      <c r="S62" s="34"/>
      <c r="T62" s="137"/>
      <c r="U62" s="137"/>
      <c r="V62" s="36"/>
      <c r="W62" s="37"/>
      <c r="X62" s="71" t="str">
        <f>IF(C62="Trả lại đơn","",IF((NETWORKDAYS(F62,G62,'Danh sách ngày nghỉ lễ'!$B$5:$B$25)-1-3)&gt;0,"Quá hạn"&amp;" "&amp;(NETWORKDAYS(F62,G62,'Danh sách ngày nghỉ lễ'!$B$5:$B$25)-1-3)&amp;" "&amp;"ngày",""))</f>
        <v/>
      </c>
      <c r="Y62" s="72" t="str">
        <f>IF(S62=0,"",IF(P62="Chuyển","",IF(P62="Nhập vào vụ khác","",IF(P62="CN đối thoại","",IF(P62="CN tại tòa","",IF(P62="BA",IF((S62-R62)&gt;7,"Quá hạn"&amp;" "&amp;(S62-R62-7)&amp;" "&amp;"ngày",""),IF((NETWORKDAYS(R62,S62,'Danh sách ngày nghỉ lễ'!$B$5:$B$25)-VLOOKUP(P62,'Thời hạn'!$D$17:$E$20,2,0))&gt;1,"Quá hạn"&amp;" "&amp;(NETWORKDAYS(R62,S62,'Danh sách ngày nghỉ lễ'!$B$5:$B$25)-1-VLOOKUP(P62,'Thời hạn'!$D$17:$E$20,2,0))&amp;" "&amp;"ngày","")))))))</f>
        <v/>
      </c>
      <c r="Z62" s="23">
        <v>1</v>
      </c>
    </row>
    <row r="63" spans="1:26" x14ac:dyDescent="0.3">
      <c r="A63" s="24">
        <v>1</v>
      </c>
      <c r="B63" s="39"/>
      <c r="C63" s="33"/>
      <c r="D63" s="25"/>
      <c r="E63" s="25"/>
      <c r="F63" s="34"/>
      <c r="G63" s="34"/>
      <c r="H63" s="25"/>
      <c r="I63" s="70" t="str">
        <f>IF(C63="Trả lại đơn","",IF(C63="Hòa giải thành","",IF(F63=0,"",EDATE(F63,VLOOKUP(C63,'Thời hạn'!$G$1:$H$12,2,0))+H63)))</f>
        <v/>
      </c>
      <c r="J63" s="59" t="str">
        <f t="shared" ca="1" si="0"/>
        <v/>
      </c>
      <c r="K63" s="25"/>
      <c r="L63" s="129"/>
      <c r="M63" s="130"/>
      <c r="N63" s="35"/>
      <c r="O63" s="34"/>
      <c r="P63" s="25"/>
      <c r="Q63" s="25"/>
      <c r="R63" s="34"/>
      <c r="S63" s="34"/>
      <c r="T63" s="137"/>
      <c r="U63" s="137"/>
      <c r="V63" s="36"/>
      <c r="W63" s="37"/>
      <c r="X63" s="71" t="str">
        <f>IF(C63="Trả lại đơn","",IF((NETWORKDAYS(F63,G63,'Danh sách ngày nghỉ lễ'!$B$5:$B$25)-1-3)&gt;0,"Quá hạn"&amp;" "&amp;(NETWORKDAYS(F63,G63,'Danh sách ngày nghỉ lễ'!$B$5:$B$25)-1-3)&amp;" "&amp;"ngày",""))</f>
        <v/>
      </c>
      <c r="Y63" s="72" t="str">
        <f>IF(S63=0,"",IF(P63="Chuyển","",IF(P63="Nhập vào vụ khác","",IF(P63="CN đối thoại","",IF(P63="CN tại tòa","",IF(P63="BA",IF((S63-R63)&gt;7,"Quá hạn"&amp;" "&amp;(S63-R63-7)&amp;" "&amp;"ngày",""),IF((NETWORKDAYS(R63,S63,'Danh sách ngày nghỉ lễ'!$B$5:$B$25)-VLOOKUP(P63,'Thời hạn'!$D$17:$E$20,2,0))&gt;1,"Quá hạn"&amp;" "&amp;(NETWORKDAYS(R63,S63,'Danh sách ngày nghỉ lễ'!$B$5:$B$25)-1-VLOOKUP(P63,'Thời hạn'!$D$17:$E$20,2,0))&amp;" "&amp;"ngày","")))))))</f>
        <v/>
      </c>
      <c r="Z63" s="23">
        <v>1</v>
      </c>
    </row>
    <row r="64" spans="1:26" x14ac:dyDescent="0.3">
      <c r="A64" s="24">
        <v>1</v>
      </c>
      <c r="B64" s="39"/>
      <c r="C64" s="33"/>
      <c r="D64" s="25"/>
      <c r="E64" s="25"/>
      <c r="F64" s="34"/>
      <c r="G64" s="34"/>
      <c r="H64" s="25"/>
      <c r="I64" s="70" t="str">
        <f>IF(C64="Trả lại đơn","",IF(C64="Hòa giải thành","",IF(F64=0,"",EDATE(F64,VLOOKUP(C64,'Thời hạn'!$G$1:$H$12,2,0))+H64)))</f>
        <v/>
      </c>
      <c r="J64" s="59" t="str">
        <f t="shared" ca="1" si="0"/>
        <v/>
      </c>
      <c r="K64" s="25"/>
      <c r="L64" s="129"/>
      <c r="M64" s="130"/>
      <c r="N64" s="35"/>
      <c r="O64" s="34"/>
      <c r="P64" s="25"/>
      <c r="Q64" s="25"/>
      <c r="R64" s="34"/>
      <c r="S64" s="34"/>
      <c r="T64" s="137"/>
      <c r="U64" s="137"/>
      <c r="V64" s="36"/>
      <c r="W64" s="37"/>
      <c r="X64" s="71" t="str">
        <f>IF(C64="Trả lại đơn","",IF((NETWORKDAYS(F64,G64,'Danh sách ngày nghỉ lễ'!$B$5:$B$25)-1-3)&gt;0,"Quá hạn"&amp;" "&amp;(NETWORKDAYS(F64,G64,'Danh sách ngày nghỉ lễ'!$B$5:$B$25)-1-3)&amp;" "&amp;"ngày",""))</f>
        <v/>
      </c>
      <c r="Y64" s="72" t="str">
        <f>IF(S64=0,"",IF(P64="Chuyển","",IF(P64="Nhập vào vụ khác","",IF(P64="CN đối thoại","",IF(P64="CN tại tòa","",IF(P64="BA",IF((S64-R64)&gt;7,"Quá hạn"&amp;" "&amp;(S64-R64-7)&amp;" "&amp;"ngày",""),IF((NETWORKDAYS(R64,S64,'Danh sách ngày nghỉ lễ'!$B$5:$B$25)-VLOOKUP(P64,'Thời hạn'!$D$17:$E$20,2,0))&gt;1,"Quá hạn"&amp;" "&amp;(NETWORKDAYS(R64,S64,'Danh sách ngày nghỉ lễ'!$B$5:$B$25)-1-VLOOKUP(P64,'Thời hạn'!$D$17:$E$20,2,0))&amp;" "&amp;"ngày","")))))))</f>
        <v/>
      </c>
      <c r="Z64" s="23">
        <v>1</v>
      </c>
    </row>
    <row r="65" spans="1:26" x14ac:dyDescent="0.3">
      <c r="A65" s="24">
        <v>1</v>
      </c>
      <c r="B65" s="39"/>
      <c r="C65" s="33"/>
      <c r="D65" s="25"/>
      <c r="E65" s="25"/>
      <c r="F65" s="34"/>
      <c r="G65" s="34"/>
      <c r="H65" s="25"/>
      <c r="I65" s="70" t="str">
        <f>IF(C65="Trả lại đơn","",IF(C65="Hòa giải thành","",IF(F65=0,"",EDATE(F65,VLOOKUP(C65,'Thời hạn'!$G$1:$H$12,2,0))+H65)))</f>
        <v/>
      </c>
      <c r="J65" s="59" t="str">
        <f t="shared" ca="1" si="0"/>
        <v/>
      </c>
      <c r="K65" s="25"/>
      <c r="L65" s="129"/>
      <c r="M65" s="130"/>
      <c r="N65" s="35"/>
      <c r="O65" s="34"/>
      <c r="P65" s="25"/>
      <c r="Q65" s="25"/>
      <c r="R65" s="34"/>
      <c r="S65" s="34"/>
      <c r="T65" s="137"/>
      <c r="U65" s="137"/>
      <c r="V65" s="36"/>
      <c r="W65" s="37"/>
      <c r="X65" s="71" t="str">
        <f>IF(C65="Trả lại đơn","",IF((NETWORKDAYS(F65,G65,'Danh sách ngày nghỉ lễ'!$B$5:$B$25)-1-3)&gt;0,"Quá hạn"&amp;" "&amp;(NETWORKDAYS(F65,G65,'Danh sách ngày nghỉ lễ'!$B$5:$B$25)-1-3)&amp;" "&amp;"ngày",""))</f>
        <v/>
      </c>
      <c r="Y65" s="72" t="str">
        <f>IF(S65=0,"",IF(P65="Chuyển","",IF(P65="Nhập vào vụ khác","",IF(P65="CN đối thoại","",IF(P65="CN tại tòa","",IF(P65="BA",IF((S65-R65)&gt;7,"Quá hạn"&amp;" "&amp;(S65-R65-7)&amp;" "&amp;"ngày",""),IF((NETWORKDAYS(R65,S65,'Danh sách ngày nghỉ lễ'!$B$5:$B$25)-VLOOKUP(P65,'Thời hạn'!$D$17:$E$20,2,0))&gt;1,"Quá hạn"&amp;" "&amp;(NETWORKDAYS(R65,S65,'Danh sách ngày nghỉ lễ'!$B$5:$B$25)-1-VLOOKUP(P65,'Thời hạn'!$D$17:$E$20,2,0))&amp;" "&amp;"ngày","")))))))</f>
        <v/>
      </c>
      <c r="Z65" s="23">
        <v>1</v>
      </c>
    </row>
    <row r="66" spans="1:26" x14ac:dyDescent="0.3">
      <c r="A66" s="24">
        <v>1</v>
      </c>
      <c r="B66" s="39"/>
      <c r="C66" s="33"/>
      <c r="D66" s="25"/>
      <c r="E66" s="25"/>
      <c r="F66" s="34"/>
      <c r="G66" s="34"/>
      <c r="H66" s="25"/>
      <c r="I66" s="70" t="str">
        <f>IF(C66="Trả lại đơn","",IF(C66="Hòa giải thành","",IF(F66=0,"",EDATE(F66,VLOOKUP(C66,'Thời hạn'!$G$1:$H$12,2,0))+H66)))</f>
        <v/>
      </c>
      <c r="J66" s="59" t="str">
        <f t="shared" ca="1" si="0"/>
        <v/>
      </c>
      <c r="K66" s="25"/>
      <c r="L66" s="129"/>
      <c r="M66" s="130"/>
      <c r="N66" s="35"/>
      <c r="O66" s="34"/>
      <c r="P66" s="25"/>
      <c r="Q66" s="25"/>
      <c r="R66" s="34"/>
      <c r="S66" s="34"/>
      <c r="T66" s="137"/>
      <c r="U66" s="137"/>
      <c r="V66" s="36"/>
      <c r="W66" s="37"/>
      <c r="X66" s="71" t="str">
        <f>IF(C66="Trả lại đơn","",IF((NETWORKDAYS(F66,G66,'Danh sách ngày nghỉ lễ'!$B$5:$B$25)-1-3)&gt;0,"Quá hạn"&amp;" "&amp;(NETWORKDAYS(F66,G66,'Danh sách ngày nghỉ lễ'!$B$5:$B$25)-1-3)&amp;" "&amp;"ngày",""))</f>
        <v/>
      </c>
      <c r="Y66" s="72" t="str">
        <f>IF(S66=0,"",IF(P66="Chuyển","",IF(P66="Nhập vào vụ khác","",IF(P66="CN đối thoại","",IF(P66="CN tại tòa","",IF(P66="BA",IF((S66-R66)&gt;7,"Quá hạn"&amp;" "&amp;(S66-R66-7)&amp;" "&amp;"ngày",""),IF((NETWORKDAYS(R66,S66,'Danh sách ngày nghỉ lễ'!$B$5:$B$25)-VLOOKUP(P66,'Thời hạn'!$D$17:$E$20,2,0))&gt;1,"Quá hạn"&amp;" "&amp;(NETWORKDAYS(R66,S66,'Danh sách ngày nghỉ lễ'!$B$5:$B$25)-1-VLOOKUP(P66,'Thời hạn'!$D$17:$E$20,2,0))&amp;" "&amp;"ngày","")))))))</f>
        <v/>
      </c>
      <c r="Z66" s="23">
        <v>1</v>
      </c>
    </row>
    <row r="67" spans="1:26" x14ac:dyDescent="0.3">
      <c r="A67" s="24">
        <v>1</v>
      </c>
      <c r="B67" s="39"/>
      <c r="C67" s="33"/>
      <c r="D67" s="25"/>
      <c r="E67" s="25"/>
      <c r="F67" s="34"/>
      <c r="G67" s="34"/>
      <c r="H67" s="25"/>
      <c r="I67" s="70" t="str">
        <f>IF(C67="Trả lại đơn","",IF(C67="Hòa giải thành","",IF(F67=0,"",EDATE(F67,VLOOKUP(C67,'Thời hạn'!$G$1:$H$12,2,0))+H67)))</f>
        <v/>
      </c>
      <c r="J67" s="59" t="str">
        <f t="shared" ca="1" si="0"/>
        <v/>
      </c>
      <c r="K67" s="25"/>
      <c r="L67" s="129"/>
      <c r="M67" s="130"/>
      <c r="N67" s="35"/>
      <c r="O67" s="34"/>
      <c r="P67" s="25"/>
      <c r="Q67" s="25"/>
      <c r="R67" s="34"/>
      <c r="S67" s="34"/>
      <c r="T67" s="137"/>
      <c r="U67" s="137"/>
      <c r="V67" s="36"/>
      <c r="W67" s="37"/>
      <c r="X67" s="71" t="str">
        <f>IF(C67="Trả lại đơn","",IF((NETWORKDAYS(F67,G67,'Danh sách ngày nghỉ lễ'!$B$5:$B$25)-1-3)&gt;0,"Quá hạn"&amp;" "&amp;(NETWORKDAYS(F67,G67,'Danh sách ngày nghỉ lễ'!$B$5:$B$25)-1-3)&amp;" "&amp;"ngày",""))</f>
        <v/>
      </c>
      <c r="Y67" s="72" t="str">
        <f>IF(S67=0,"",IF(P67="Chuyển","",IF(P67="Nhập vào vụ khác","",IF(P67="CN đối thoại","",IF(P67="CN tại tòa","",IF(P67="BA",IF((S67-R67)&gt;7,"Quá hạn"&amp;" "&amp;(S67-R67-7)&amp;" "&amp;"ngày",""),IF((NETWORKDAYS(R67,S67,'Danh sách ngày nghỉ lễ'!$B$5:$B$25)-VLOOKUP(P67,'Thời hạn'!$D$17:$E$20,2,0))&gt;1,"Quá hạn"&amp;" "&amp;(NETWORKDAYS(R67,S67,'Danh sách ngày nghỉ lễ'!$B$5:$B$25)-1-VLOOKUP(P67,'Thời hạn'!$D$17:$E$20,2,0))&amp;" "&amp;"ngày","")))))))</f>
        <v/>
      </c>
      <c r="Z67" s="23">
        <v>1</v>
      </c>
    </row>
    <row r="68" spans="1:26" x14ac:dyDescent="0.3">
      <c r="A68" s="24">
        <v>1</v>
      </c>
      <c r="B68" s="39"/>
      <c r="C68" s="33"/>
      <c r="D68" s="25"/>
      <c r="E68" s="25"/>
      <c r="F68" s="34"/>
      <c r="G68" s="34"/>
      <c r="H68" s="25"/>
      <c r="I68" s="70" t="str">
        <f>IF(C68="Trả lại đơn","",IF(C68="Hòa giải thành","",IF(F68=0,"",EDATE(F68,VLOOKUP(C68,'Thời hạn'!$G$1:$H$12,2,0))+H68)))</f>
        <v/>
      </c>
      <c r="J68" s="59" t="str">
        <f t="shared" ca="1" si="0"/>
        <v/>
      </c>
      <c r="K68" s="25"/>
      <c r="L68" s="129"/>
      <c r="M68" s="130"/>
      <c r="N68" s="35"/>
      <c r="O68" s="34"/>
      <c r="P68" s="25"/>
      <c r="Q68" s="25"/>
      <c r="R68" s="34"/>
      <c r="S68" s="34"/>
      <c r="T68" s="137"/>
      <c r="U68" s="137"/>
      <c r="V68" s="36"/>
      <c r="W68" s="37"/>
      <c r="X68" s="71" t="str">
        <f>IF(C68="Trả lại đơn","",IF((NETWORKDAYS(F68,G68,'Danh sách ngày nghỉ lễ'!$B$5:$B$25)-1-3)&gt;0,"Quá hạn"&amp;" "&amp;(NETWORKDAYS(F68,G68,'Danh sách ngày nghỉ lễ'!$B$5:$B$25)-1-3)&amp;" "&amp;"ngày",""))</f>
        <v/>
      </c>
      <c r="Y68" s="72" t="str">
        <f>IF(S68=0,"",IF(P68="Chuyển","",IF(P68="Nhập vào vụ khác","",IF(P68="CN đối thoại","",IF(P68="CN tại tòa","",IF(P68="BA",IF((S68-R68)&gt;7,"Quá hạn"&amp;" "&amp;(S68-R68-7)&amp;" "&amp;"ngày",""),IF((NETWORKDAYS(R68,S68,'Danh sách ngày nghỉ lễ'!$B$5:$B$25)-VLOOKUP(P68,'Thời hạn'!$D$17:$E$20,2,0))&gt;1,"Quá hạn"&amp;" "&amp;(NETWORKDAYS(R68,S68,'Danh sách ngày nghỉ lễ'!$B$5:$B$25)-1-VLOOKUP(P68,'Thời hạn'!$D$17:$E$20,2,0))&amp;" "&amp;"ngày","")))))))</f>
        <v/>
      </c>
      <c r="Z68" s="23">
        <v>1</v>
      </c>
    </row>
    <row r="69" spans="1:26" x14ac:dyDescent="0.3">
      <c r="A69" s="24">
        <v>1</v>
      </c>
      <c r="B69" s="39"/>
      <c r="C69" s="33"/>
      <c r="D69" s="25"/>
      <c r="E69" s="25"/>
      <c r="F69" s="34"/>
      <c r="G69" s="34"/>
      <c r="H69" s="25"/>
      <c r="I69" s="70" t="str">
        <f>IF(C69="Trả lại đơn","",IF(C69="Hòa giải thành","",IF(F69=0,"",EDATE(F69,VLOOKUP(C69,'Thời hạn'!$G$1:$H$12,2,0))+H69)))</f>
        <v/>
      </c>
      <c r="J69" s="59" t="str">
        <f t="shared" ca="1" si="0"/>
        <v/>
      </c>
      <c r="K69" s="25"/>
      <c r="L69" s="129"/>
      <c r="M69" s="130"/>
      <c r="N69" s="35"/>
      <c r="O69" s="34"/>
      <c r="P69" s="25"/>
      <c r="Q69" s="25"/>
      <c r="R69" s="34"/>
      <c r="S69" s="34"/>
      <c r="T69" s="137"/>
      <c r="U69" s="137"/>
      <c r="V69" s="36"/>
      <c r="W69" s="37"/>
      <c r="X69" s="71" t="str">
        <f>IF(C69="Trả lại đơn","",IF((NETWORKDAYS(F69,G69,'Danh sách ngày nghỉ lễ'!$B$5:$B$25)-1-3)&gt;0,"Quá hạn"&amp;" "&amp;(NETWORKDAYS(F69,G69,'Danh sách ngày nghỉ lễ'!$B$5:$B$25)-1-3)&amp;" "&amp;"ngày",""))</f>
        <v/>
      </c>
      <c r="Y69" s="72" t="str">
        <f>IF(S69=0,"",IF(P69="Chuyển","",IF(P69="Nhập vào vụ khác","",IF(P69="CN đối thoại","",IF(P69="CN tại tòa","",IF(P69="BA",IF((S69-R69)&gt;7,"Quá hạn"&amp;" "&amp;(S69-R69-7)&amp;" "&amp;"ngày",""),IF((NETWORKDAYS(R69,S69,'Danh sách ngày nghỉ lễ'!$B$5:$B$25)-VLOOKUP(P69,'Thời hạn'!$D$17:$E$20,2,0))&gt;1,"Quá hạn"&amp;" "&amp;(NETWORKDAYS(R69,S69,'Danh sách ngày nghỉ lễ'!$B$5:$B$25)-1-VLOOKUP(P69,'Thời hạn'!$D$17:$E$20,2,0))&amp;" "&amp;"ngày","")))))))</f>
        <v/>
      </c>
      <c r="Z69" s="23">
        <v>1</v>
      </c>
    </row>
    <row r="70" spans="1:26" x14ac:dyDescent="0.3">
      <c r="A70" s="24">
        <v>1</v>
      </c>
      <c r="B70" s="39"/>
      <c r="C70" s="33"/>
      <c r="D70" s="25"/>
      <c r="E70" s="25"/>
      <c r="F70" s="34"/>
      <c r="G70" s="34"/>
      <c r="H70" s="25"/>
      <c r="I70" s="70" t="str">
        <f>IF(C70="Trả lại đơn","",IF(C70="Hòa giải thành","",IF(F70=0,"",EDATE(F70,VLOOKUP(C70,'Thời hạn'!$G$1:$H$12,2,0))+H70)))</f>
        <v/>
      </c>
      <c r="J70" s="59" t="str">
        <f t="shared" ca="1" si="0"/>
        <v/>
      </c>
      <c r="K70" s="25"/>
      <c r="L70" s="129"/>
      <c r="M70" s="130"/>
      <c r="N70" s="35"/>
      <c r="O70" s="34"/>
      <c r="P70" s="25"/>
      <c r="Q70" s="25"/>
      <c r="R70" s="34"/>
      <c r="S70" s="34"/>
      <c r="T70" s="137"/>
      <c r="U70" s="137"/>
      <c r="V70" s="36"/>
      <c r="W70" s="37"/>
      <c r="X70" s="71" t="str">
        <f>IF(C70="Trả lại đơn","",IF((NETWORKDAYS(F70,G70,'Danh sách ngày nghỉ lễ'!$B$5:$B$25)-1-3)&gt;0,"Quá hạn"&amp;" "&amp;(NETWORKDAYS(F70,G70,'Danh sách ngày nghỉ lễ'!$B$5:$B$25)-1-3)&amp;" "&amp;"ngày",""))</f>
        <v/>
      </c>
      <c r="Y70" s="72" t="str">
        <f>IF(S70=0,"",IF(P70="Chuyển","",IF(P70="Nhập vào vụ khác","",IF(P70="CN đối thoại","",IF(P70="CN tại tòa","",IF(P70="BA",IF((S70-R70)&gt;7,"Quá hạn"&amp;" "&amp;(S70-R70-7)&amp;" "&amp;"ngày",""),IF((NETWORKDAYS(R70,S70,'Danh sách ngày nghỉ lễ'!$B$5:$B$25)-VLOOKUP(P70,'Thời hạn'!$D$17:$E$20,2,0))&gt;1,"Quá hạn"&amp;" "&amp;(NETWORKDAYS(R70,S70,'Danh sách ngày nghỉ lễ'!$B$5:$B$25)-1-VLOOKUP(P70,'Thời hạn'!$D$17:$E$20,2,0))&amp;" "&amp;"ngày","")))))))</f>
        <v/>
      </c>
      <c r="Z70" s="23">
        <v>1</v>
      </c>
    </row>
    <row r="71" spans="1:26" x14ac:dyDescent="0.3">
      <c r="A71" s="24">
        <v>1</v>
      </c>
      <c r="B71" s="39"/>
      <c r="C71" s="33"/>
      <c r="D71" s="25"/>
      <c r="E71" s="25"/>
      <c r="F71" s="34"/>
      <c r="G71" s="34"/>
      <c r="H71" s="25"/>
      <c r="I71" s="70" t="str">
        <f>IF(C71="Trả lại đơn","",IF(C71="Hòa giải thành","",IF(F71=0,"",EDATE(F71,VLOOKUP(C71,'Thời hạn'!$G$1:$H$12,2,0))+H71)))</f>
        <v/>
      </c>
      <c r="J71" s="59" t="str">
        <f t="shared" ca="1" si="0"/>
        <v/>
      </c>
      <c r="K71" s="25"/>
      <c r="L71" s="129"/>
      <c r="M71" s="130"/>
      <c r="N71" s="35"/>
      <c r="O71" s="34"/>
      <c r="P71" s="25"/>
      <c r="Q71" s="25"/>
      <c r="R71" s="34"/>
      <c r="S71" s="34"/>
      <c r="T71" s="137"/>
      <c r="U71" s="137"/>
      <c r="V71" s="36"/>
      <c r="W71" s="37"/>
      <c r="X71" s="71" t="str">
        <f>IF(C71="Trả lại đơn","",IF((NETWORKDAYS(F71,G71,'Danh sách ngày nghỉ lễ'!$B$5:$B$25)-1-3)&gt;0,"Quá hạn"&amp;" "&amp;(NETWORKDAYS(F71,G71,'Danh sách ngày nghỉ lễ'!$B$5:$B$25)-1-3)&amp;" "&amp;"ngày",""))</f>
        <v/>
      </c>
      <c r="Y71" s="72" t="str">
        <f>IF(S71=0,"",IF(P71="Chuyển","",IF(P71="Nhập vào vụ khác","",IF(P71="CN đối thoại","",IF(P71="CN tại tòa","",IF(P71="BA",IF((S71-R71)&gt;7,"Quá hạn"&amp;" "&amp;(S71-R71-7)&amp;" "&amp;"ngày",""),IF((NETWORKDAYS(R71,S71,'Danh sách ngày nghỉ lễ'!$B$5:$B$25)-VLOOKUP(P71,'Thời hạn'!$D$17:$E$20,2,0))&gt;1,"Quá hạn"&amp;" "&amp;(NETWORKDAYS(R71,S71,'Danh sách ngày nghỉ lễ'!$B$5:$B$25)-1-VLOOKUP(P71,'Thời hạn'!$D$17:$E$20,2,0))&amp;" "&amp;"ngày","")))))))</f>
        <v/>
      </c>
      <c r="Z71" s="23">
        <v>1</v>
      </c>
    </row>
    <row r="72" spans="1:26" x14ac:dyDescent="0.3">
      <c r="A72" s="24">
        <v>1</v>
      </c>
      <c r="B72" s="39"/>
      <c r="C72" s="33"/>
      <c r="D72" s="25"/>
      <c r="E72" s="25"/>
      <c r="F72" s="34"/>
      <c r="G72" s="34"/>
      <c r="H72" s="25"/>
      <c r="I72" s="70" t="str">
        <f>IF(C72="Trả lại đơn","",IF(C72="Hòa giải thành","",IF(F72=0,"",EDATE(F72,VLOOKUP(C72,'Thời hạn'!$G$1:$H$12,2,0))+H72)))</f>
        <v/>
      </c>
      <c r="J72" s="59" t="str">
        <f t="shared" ca="1" si="0"/>
        <v/>
      </c>
      <c r="K72" s="25"/>
      <c r="L72" s="129"/>
      <c r="M72" s="130"/>
      <c r="N72" s="35"/>
      <c r="O72" s="34"/>
      <c r="P72" s="25"/>
      <c r="Q72" s="25"/>
      <c r="R72" s="34"/>
      <c r="S72" s="34"/>
      <c r="T72" s="137"/>
      <c r="U72" s="137"/>
      <c r="V72" s="36"/>
      <c r="W72" s="37"/>
      <c r="X72" s="71" t="str">
        <f>IF(C72="Trả lại đơn","",IF((NETWORKDAYS(F72,G72,'Danh sách ngày nghỉ lễ'!$B$5:$B$25)-1-3)&gt;0,"Quá hạn"&amp;" "&amp;(NETWORKDAYS(F72,G72,'Danh sách ngày nghỉ lễ'!$B$5:$B$25)-1-3)&amp;" "&amp;"ngày",""))</f>
        <v/>
      </c>
      <c r="Y72" s="72" t="str">
        <f>IF(S72=0,"",IF(P72="Chuyển","",IF(P72="Nhập vào vụ khác","",IF(P72="CN đối thoại","",IF(P72="CN tại tòa","",IF(P72="BA",IF((S72-R72)&gt;7,"Quá hạn"&amp;" "&amp;(S72-R72-7)&amp;" "&amp;"ngày",""),IF((NETWORKDAYS(R72,S72,'Danh sách ngày nghỉ lễ'!$B$5:$B$25)-VLOOKUP(P72,'Thời hạn'!$D$17:$E$20,2,0))&gt;1,"Quá hạn"&amp;" "&amp;(NETWORKDAYS(R72,S72,'Danh sách ngày nghỉ lễ'!$B$5:$B$25)-1-VLOOKUP(P72,'Thời hạn'!$D$17:$E$20,2,0))&amp;" "&amp;"ngày","")))))))</f>
        <v/>
      </c>
      <c r="Z72" s="23">
        <v>1</v>
      </c>
    </row>
    <row r="73" spans="1:26" x14ac:dyDescent="0.3">
      <c r="A73" s="24">
        <v>1</v>
      </c>
      <c r="B73" s="39"/>
      <c r="C73" s="33"/>
      <c r="D73" s="25"/>
      <c r="E73" s="25"/>
      <c r="F73" s="34"/>
      <c r="G73" s="34"/>
      <c r="H73" s="25"/>
      <c r="I73" s="70" t="str">
        <f>IF(C73="Trả lại đơn","",IF(C73="Hòa giải thành","",IF(F73=0,"",EDATE(F73,VLOOKUP(C73,'Thời hạn'!$G$1:$H$12,2,0))+H73)))</f>
        <v/>
      </c>
      <c r="J73" s="59" t="str">
        <f t="shared" ca="1" si="0"/>
        <v/>
      </c>
      <c r="K73" s="25"/>
      <c r="L73" s="129"/>
      <c r="M73" s="130"/>
      <c r="N73" s="35"/>
      <c r="O73" s="34"/>
      <c r="P73" s="25"/>
      <c r="Q73" s="25"/>
      <c r="R73" s="34"/>
      <c r="S73" s="34"/>
      <c r="T73" s="137"/>
      <c r="U73" s="137"/>
      <c r="V73" s="36"/>
      <c r="W73" s="37"/>
      <c r="X73" s="71" t="str">
        <f>IF(C73="Trả lại đơn","",IF((NETWORKDAYS(F73,G73,'Danh sách ngày nghỉ lễ'!$B$5:$B$25)-1-3)&gt;0,"Quá hạn"&amp;" "&amp;(NETWORKDAYS(F73,G73,'Danh sách ngày nghỉ lễ'!$B$5:$B$25)-1-3)&amp;" "&amp;"ngày",""))</f>
        <v/>
      </c>
      <c r="Y73" s="72" t="str">
        <f>IF(S73=0,"",IF(P73="Chuyển","",IF(P73="Nhập vào vụ khác","",IF(P73="CN đối thoại","",IF(P73="CN tại tòa","",IF(P73="BA",IF((S73-R73)&gt;7,"Quá hạn"&amp;" "&amp;(S73-R73-7)&amp;" "&amp;"ngày",""),IF((NETWORKDAYS(R73,S73,'Danh sách ngày nghỉ lễ'!$B$5:$B$25)-VLOOKUP(P73,'Thời hạn'!$D$17:$E$20,2,0))&gt;1,"Quá hạn"&amp;" "&amp;(NETWORKDAYS(R73,S73,'Danh sách ngày nghỉ lễ'!$B$5:$B$25)-1-VLOOKUP(P73,'Thời hạn'!$D$17:$E$20,2,0))&amp;" "&amp;"ngày","")))))))</f>
        <v/>
      </c>
      <c r="Z73" s="23">
        <v>1</v>
      </c>
    </row>
    <row r="74" spans="1:26" x14ac:dyDescent="0.3">
      <c r="A74" s="24">
        <v>1</v>
      </c>
      <c r="B74" s="39"/>
      <c r="C74" s="33"/>
      <c r="D74" s="25"/>
      <c r="E74" s="25"/>
      <c r="F74" s="34"/>
      <c r="G74" s="34"/>
      <c r="H74" s="25"/>
      <c r="I74" s="70" t="str">
        <f>IF(C74="Trả lại đơn","",IF(C74="Hòa giải thành","",IF(F74=0,"",EDATE(F74,VLOOKUP(C74,'Thời hạn'!$G$1:$H$12,2,0))+H74)))</f>
        <v/>
      </c>
      <c r="J74" s="59" t="str">
        <f t="shared" ca="1" si="0"/>
        <v/>
      </c>
      <c r="K74" s="25"/>
      <c r="L74" s="129"/>
      <c r="M74" s="130"/>
      <c r="N74" s="35"/>
      <c r="O74" s="34"/>
      <c r="P74" s="25"/>
      <c r="Q74" s="25"/>
      <c r="R74" s="34"/>
      <c r="S74" s="34"/>
      <c r="T74" s="137"/>
      <c r="U74" s="137"/>
      <c r="V74" s="36"/>
      <c r="W74" s="37"/>
      <c r="X74" s="71" t="str">
        <f>IF(C74="Trả lại đơn","",IF((NETWORKDAYS(F74,G74,'Danh sách ngày nghỉ lễ'!$B$5:$B$25)-1-3)&gt;0,"Quá hạn"&amp;" "&amp;(NETWORKDAYS(F74,G74,'Danh sách ngày nghỉ lễ'!$B$5:$B$25)-1-3)&amp;" "&amp;"ngày",""))</f>
        <v/>
      </c>
      <c r="Y74" s="72" t="str">
        <f>IF(S74=0,"",IF(P74="Chuyển","",IF(P74="Nhập vào vụ khác","",IF(P74="CN đối thoại","",IF(P74="CN tại tòa","",IF(P74="BA",IF((S74-R74)&gt;7,"Quá hạn"&amp;" "&amp;(S74-R74-7)&amp;" "&amp;"ngày",""),IF((NETWORKDAYS(R74,S74,'Danh sách ngày nghỉ lễ'!$B$5:$B$25)-VLOOKUP(P74,'Thời hạn'!$D$17:$E$20,2,0))&gt;1,"Quá hạn"&amp;" "&amp;(NETWORKDAYS(R74,S74,'Danh sách ngày nghỉ lễ'!$B$5:$B$25)-1-VLOOKUP(P74,'Thời hạn'!$D$17:$E$20,2,0))&amp;" "&amp;"ngày","")))))))</f>
        <v/>
      </c>
      <c r="Z74" s="23">
        <v>1</v>
      </c>
    </row>
    <row r="75" spans="1:26" x14ac:dyDescent="0.3">
      <c r="A75" s="24">
        <v>1</v>
      </c>
      <c r="B75" s="39"/>
      <c r="C75" s="33"/>
      <c r="D75" s="25"/>
      <c r="E75" s="25"/>
      <c r="F75" s="34"/>
      <c r="G75" s="34"/>
      <c r="H75" s="25"/>
      <c r="I75" s="70" t="str">
        <f>IF(C75="Trả lại đơn","",IF(C75="Hòa giải thành","",IF(F75=0,"",EDATE(F75,VLOOKUP(C75,'Thời hạn'!$G$1:$H$12,2,0))+H75)))</f>
        <v/>
      </c>
      <c r="J75" s="59" t="str">
        <f t="shared" ref="J75:J138" ca="1" si="1">IF(C75="Trả lại đơn","",IF(C75="Hòa giải thành","",IF(N75=0,IF(P75=0,IF(F75=0,"",I75-TODAY()+1),""),"")))</f>
        <v/>
      </c>
      <c r="K75" s="25"/>
      <c r="L75" s="129"/>
      <c r="M75" s="130"/>
      <c r="N75" s="35"/>
      <c r="O75" s="34"/>
      <c r="P75" s="25"/>
      <c r="Q75" s="25"/>
      <c r="R75" s="34"/>
      <c r="S75" s="34"/>
      <c r="T75" s="137"/>
      <c r="U75" s="137"/>
      <c r="V75" s="36"/>
      <c r="W75" s="37"/>
      <c r="X75" s="71" t="str">
        <f>IF(C75="Trả lại đơn","",IF((NETWORKDAYS(F75,G75,'Danh sách ngày nghỉ lễ'!$B$5:$B$25)-1-3)&gt;0,"Quá hạn"&amp;" "&amp;(NETWORKDAYS(F75,G75,'Danh sách ngày nghỉ lễ'!$B$5:$B$25)-1-3)&amp;" "&amp;"ngày",""))</f>
        <v/>
      </c>
      <c r="Y75" s="72" t="str">
        <f>IF(S75=0,"",IF(P75="Chuyển","",IF(P75="Nhập vào vụ khác","",IF(P75="CN đối thoại","",IF(P75="CN tại tòa","",IF(P75="BA",IF((S75-R75)&gt;7,"Quá hạn"&amp;" "&amp;(S75-R75-7)&amp;" "&amp;"ngày",""),IF((NETWORKDAYS(R75,S75,'Danh sách ngày nghỉ lễ'!$B$5:$B$25)-VLOOKUP(P75,'Thời hạn'!$D$17:$E$20,2,0))&gt;1,"Quá hạn"&amp;" "&amp;(NETWORKDAYS(R75,S75,'Danh sách ngày nghỉ lễ'!$B$5:$B$25)-1-VLOOKUP(P75,'Thời hạn'!$D$17:$E$20,2,0))&amp;" "&amp;"ngày","")))))))</f>
        <v/>
      </c>
      <c r="Z75" s="23">
        <v>1</v>
      </c>
    </row>
    <row r="76" spans="1:26" x14ac:dyDescent="0.3">
      <c r="A76" s="24">
        <v>1</v>
      </c>
      <c r="B76" s="39"/>
      <c r="C76" s="33"/>
      <c r="D76" s="25"/>
      <c r="E76" s="25"/>
      <c r="F76" s="34"/>
      <c r="G76" s="34"/>
      <c r="H76" s="25"/>
      <c r="I76" s="70" t="str">
        <f>IF(C76="Trả lại đơn","",IF(C76="Hòa giải thành","",IF(F76=0,"",EDATE(F76,VLOOKUP(C76,'Thời hạn'!$G$1:$H$12,2,0))+H76)))</f>
        <v/>
      </c>
      <c r="J76" s="59" t="str">
        <f t="shared" ca="1" si="1"/>
        <v/>
      </c>
      <c r="K76" s="25"/>
      <c r="L76" s="129"/>
      <c r="M76" s="130"/>
      <c r="N76" s="35"/>
      <c r="O76" s="34"/>
      <c r="P76" s="25"/>
      <c r="Q76" s="25"/>
      <c r="R76" s="34"/>
      <c r="S76" s="34"/>
      <c r="T76" s="137"/>
      <c r="U76" s="137"/>
      <c r="V76" s="36"/>
      <c r="W76" s="37"/>
      <c r="X76" s="71" t="str">
        <f>IF(C76="Trả lại đơn","",IF((NETWORKDAYS(F76,G76,'Danh sách ngày nghỉ lễ'!$B$5:$B$25)-1-3)&gt;0,"Quá hạn"&amp;" "&amp;(NETWORKDAYS(F76,G76,'Danh sách ngày nghỉ lễ'!$B$5:$B$25)-1-3)&amp;" "&amp;"ngày",""))</f>
        <v/>
      </c>
      <c r="Y76" s="72" t="str">
        <f>IF(S76=0,"",IF(P76="Chuyển","",IF(P76="Nhập vào vụ khác","",IF(P76="CN đối thoại","",IF(P76="CN tại tòa","",IF(P76="BA",IF((S76-R76)&gt;7,"Quá hạn"&amp;" "&amp;(S76-R76-7)&amp;" "&amp;"ngày",""),IF((NETWORKDAYS(R76,S76,'Danh sách ngày nghỉ lễ'!$B$5:$B$25)-VLOOKUP(P76,'Thời hạn'!$D$17:$E$20,2,0))&gt;1,"Quá hạn"&amp;" "&amp;(NETWORKDAYS(R76,S76,'Danh sách ngày nghỉ lễ'!$B$5:$B$25)-1-VLOOKUP(P76,'Thời hạn'!$D$17:$E$20,2,0))&amp;" "&amp;"ngày","")))))))</f>
        <v/>
      </c>
      <c r="Z76" s="23">
        <v>1</v>
      </c>
    </row>
    <row r="77" spans="1:26" x14ac:dyDescent="0.3">
      <c r="A77" s="24">
        <v>1</v>
      </c>
      <c r="B77" s="39"/>
      <c r="C77" s="33"/>
      <c r="D77" s="25"/>
      <c r="E77" s="25"/>
      <c r="F77" s="34"/>
      <c r="G77" s="34"/>
      <c r="H77" s="25"/>
      <c r="I77" s="70" t="str">
        <f>IF(C77="Trả lại đơn","",IF(C77="Hòa giải thành","",IF(F77=0,"",EDATE(F77,VLOOKUP(C77,'Thời hạn'!$G$1:$H$12,2,0))+H77)))</f>
        <v/>
      </c>
      <c r="J77" s="59" t="str">
        <f t="shared" ca="1" si="1"/>
        <v/>
      </c>
      <c r="K77" s="25"/>
      <c r="L77" s="129"/>
      <c r="M77" s="130"/>
      <c r="N77" s="35"/>
      <c r="O77" s="34"/>
      <c r="P77" s="25"/>
      <c r="Q77" s="25"/>
      <c r="R77" s="34"/>
      <c r="S77" s="34"/>
      <c r="T77" s="137"/>
      <c r="U77" s="137"/>
      <c r="V77" s="36"/>
      <c r="W77" s="37"/>
      <c r="X77" s="71" t="str">
        <f>IF(C77="Trả lại đơn","",IF((NETWORKDAYS(F77,G77,'Danh sách ngày nghỉ lễ'!$B$5:$B$25)-1-3)&gt;0,"Quá hạn"&amp;" "&amp;(NETWORKDAYS(F77,G77,'Danh sách ngày nghỉ lễ'!$B$5:$B$25)-1-3)&amp;" "&amp;"ngày",""))</f>
        <v/>
      </c>
      <c r="Y77" s="72" t="str">
        <f>IF(S77=0,"",IF(P77="Chuyển","",IF(P77="Nhập vào vụ khác","",IF(P77="CN đối thoại","",IF(P77="CN tại tòa","",IF(P77="BA",IF((S77-R77)&gt;7,"Quá hạn"&amp;" "&amp;(S77-R77-7)&amp;" "&amp;"ngày",""),IF((NETWORKDAYS(R77,S77,'Danh sách ngày nghỉ lễ'!$B$5:$B$25)-VLOOKUP(P77,'Thời hạn'!$D$17:$E$20,2,0))&gt;1,"Quá hạn"&amp;" "&amp;(NETWORKDAYS(R77,S77,'Danh sách ngày nghỉ lễ'!$B$5:$B$25)-1-VLOOKUP(P77,'Thời hạn'!$D$17:$E$20,2,0))&amp;" "&amp;"ngày","")))))))</f>
        <v/>
      </c>
      <c r="Z77" s="23">
        <v>1</v>
      </c>
    </row>
    <row r="78" spans="1:26" x14ac:dyDescent="0.3">
      <c r="A78" s="24">
        <v>1</v>
      </c>
      <c r="B78" s="39"/>
      <c r="C78" s="33"/>
      <c r="D78" s="25"/>
      <c r="E78" s="25"/>
      <c r="F78" s="34"/>
      <c r="G78" s="34"/>
      <c r="H78" s="25"/>
      <c r="I78" s="70" t="str">
        <f>IF(C78="Trả lại đơn","",IF(C78="Hòa giải thành","",IF(F78=0,"",EDATE(F78,VLOOKUP(C78,'Thời hạn'!$G$1:$H$12,2,0))+H78)))</f>
        <v/>
      </c>
      <c r="J78" s="59" t="str">
        <f t="shared" ca="1" si="1"/>
        <v/>
      </c>
      <c r="K78" s="25"/>
      <c r="L78" s="129"/>
      <c r="M78" s="130"/>
      <c r="N78" s="35"/>
      <c r="O78" s="34"/>
      <c r="P78" s="25"/>
      <c r="Q78" s="25"/>
      <c r="R78" s="34"/>
      <c r="S78" s="34"/>
      <c r="T78" s="137"/>
      <c r="U78" s="137"/>
      <c r="V78" s="36"/>
      <c r="W78" s="37"/>
      <c r="X78" s="71" t="str">
        <f>IF(C78="Trả lại đơn","",IF((NETWORKDAYS(F78,G78,'Danh sách ngày nghỉ lễ'!$B$5:$B$25)-1-3)&gt;0,"Quá hạn"&amp;" "&amp;(NETWORKDAYS(F78,G78,'Danh sách ngày nghỉ lễ'!$B$5:$B$25)-1-3)&amp;" "&amp;"ngày",""))</f>
        <v/>
      </c>
      <c r="Y78" s="72" t="str">
        <f>IF(S78=0,"",IF(P78="Chuyển","",IF(P78="Nhập vào vụ khác","",IF(P78="CN đối thoại","",IF(P78="CN tại tòa","",IF(P78="BA",IF((S78-R78)&gt;7,"Quá hạn"&amp;" "&amp;(S78-R78-7)&amp;" "&amp;"ngày",""),IF((NETWORKDAYS(R78,S78,'Danh sách ngày nghỉ lễ'!$B$5:$B$25)-VLOOKUP(P78,'Thời hạn'!$D$17:$E$20,2,0))&gt;1,"Quá hạn"&amp;" "&amp;(NETWORKDAYS(R78,S78,'Danh sách ngày nghỉ lễ'!$B$5:$B$25)-1-VLOOKUP(P78,'Thời hạn'!$D$17:$E$20,2,0))&amp;" "&amp;"ngày","")))))))</f>
        <v/>
      </c>
      <c r="Z78" s="23">
        <v>1</v>
      </c>
    </row>
    <row r="79" spans="1:26" x14ac:dyDescent="0.3">
      <c r="A79" s="24">
        <v>1</v>
      </c>
      <c r="B79" s="39"/>
      <c r="C79" s="33"/>
      <c r="D79" s="25"/>
      <c r="E79" s="25"/>
      <c r="F79" s="34"/>
      <c r="G79" s="34"/>
      <c r="H79" s="25"/>
      <c r="I79" s="70" t="str">
        <f>IF(C79="Trả lại đơn","",IF(C79="Hòa giải thành","",IF(F79=0,"",EDATE(F79,VLOOKUP(C79,'Thời hạn'!$G$1:$H$12,2,0))+H79)))</f>
        <v/>
      </c>
      <c r="J79" s="59" t="str">
        <f t="shared" ca="1" si="1"/>
        <v/>
      </c>
      <c r="K79" s="25"/>
      <c r="L79" s="129"/>
      <c r="M79" s="130"/>
      <c r="N79" s="35"/>
      <c r="O79" s="34"/>
      <c r="P79" s="25"/>
      <c r="Q79" s="25"/>
      <c r="R79" s="34"/>
      <c r="S79" s="34"/>
      <c r="T79" s="137"/>
      <c r="U79" s="137"/>
      <c r="V79" s="36"/>
      <c r="W79" s="37"/>
      <c r="X79" s="71" t="str">
        <f>IF(C79="Trả lại đơn","",IF((NETWORKDAYS(F79,G79,'Danh sách ngày nghỉ lễ'!$B$5:$B$25)-1-3)&gt;0,"Quá hạn"&amp;" "&amp;(NETWORKDAYS(F79,G79,'Danh sách ngày nghỉ lễ'!$B$5:$B$25)-1-3)&amp;" "&amp;"ngày",""))</f>
        <v/>
      </c>
      <c r="Y79" s="72" t="str">
        <f>IF(S79=0,"",IF(P79="Chuyển","",IF(P79="Nhập vào vụ khác","",IF(P79="CN đối thoại","",IF(P79="CN tại tòa","",IF(P79="BA",IF((S79-R79)&gt;7,"Quá hạn"&amp;" "&amp;(S79-R79-7)&amp;" "&amp;"ngày",""),IF((NETWORKDAYS(R79,S79,'Danh sách ngày nghỉ lễ'!$B$5:$B$25)-VLOOKUP(P79,'Thời hạn'!$D$17:$E$20,2,0))&gt;1,"Quá hạn"&amp;" "&amp;(NETWORKDAYS(R79,S79,'Danh sách ngày nghỉ lễ'!$B$5:$B$25)-1-VLOOKUP(P79,'Thời hạn'!$D$17:$E$20,2,0))&amp;" "&amp;"ngày","")))))))</f>
        <v/>
      </c>
      <c r="Z79" s="23">
        <v>1</v>
      </c>
    </row>
    <row r="80" spans="1:26" x14ac:dyDescent="0.3">
      <c r="A80" s="24">
        <v>1</v>
      </c>
      <c r="B80" s="39"/>
      <c r="C80" s="33"/>
      <c r="D80" s="25"/>
      <c r="E80" s="25"/>
      <c r="F80" s="34"/>
      <c r="G80" s="34"/>
      <c r="H80" s="25"/>
      <c r="I80" s="70" t="str">
        <f>IF(C80="Trả lại đơn","",IF(C80="Hòa giải thành","",IF(F80=0,"",EDATE(F80,VLOOKUP(C80,'Thời hạn'!$G$1:$H$12,2,0))+H80)))</f>
        <v/>
      </c>
      <c r="J80" s="59" t="str">
        <f t="shared" ca="1" si="1"/>
        <v/>
      </c>
      <c r="K80" s="25"/>
      <c r="L80" s="129"/>
      <c r="M80" s="130"/>
      <c r="N80" s="35"/>
      <c r="O80" s="34"/>
      <c r="P80" s="25"/>
      <c r="Q80" s="25"/>
      <c r="R80" s="34"/>
      <c r="S80" s="34"/>
      <c r="T80" s="137"/>
      <c r="U80" s="137"/>
      <c r="V80" s="36"/>
      <c r="W80" s="37"/>
      <c r="X80" s="71" t="str">
        <f>IF(C80="Trả lại đơn","",IF((NETWORKDAYS(F80,G80,'Danh sách ngày nghỉ lễ'!$B$5:$B$25)-1-3)&gt;0,"Quá hạn"&amp;" "&amp;(NETWORKDAYS(F80,G80,'Danh sách ngày nghỉ lễ'!$B$5:$B$25)-1-3)&amp;" "&amp;"ngày",""))</f>
        <v/>
      </c>
      <c r="Y80" s="72" t="str">
        <f>IF(S80=0,"",IF(P80="Chuyển","",IF(P80="Nhập vào vụ khác","",IF(P80="CN đối thoại","",IF(P80="CN tại tòa","",IF(P80="BA",IF((S80-R80)&gt;7,"Quá hạn"&amp;" "&amp;(S80-R80-7)&amp;" "&amp;"ngày",""),IF((NETWORKDAYS(R80,S80,'Danh sách ngày nghỉ lễ'!$B$5:$B$25)-VLOOKUP(P80,'Thời hạn'!$D$17:$E$20,2,0))&gt;1,"Quá hạn"&amp;" "&amp;(NETWORKDAYS(R80,S80,'Danh sách ngày nghỉ lễ'!$B$5:$B$25)-1-VLOOKUP(P80,'Thời hạn'!$D$17:$E$20,2,0))&amp;" "&amp;"ngày","")))))))</f>
        <v/>
      </c>
      <c r="Z80" s="23">
        <v>1</v>
      </c>
    </row>
    <row r="81" spans="1:26" x14ac:dyDescent="0.3">
      <c r="A81" s="24">
        <v>1</v>
      </c>
      <c r="B81" s="39"/>
      <c r="C81" s="33"/>
      <c r="D81" s="25"/>
      <c r="E81" s="25"/>
      <c r="F81" s="34"/>
      <c r="G81" s="34"/>
      <c r="H81" s="25"/>
      <c r="I81" s="70" t="str">
        <f>IF(C81="Trả lại đơn","",IF(C81="Hòa giải thành","",IF(F81=0,"",EDATE(F81,VLOOKUP(C81,'Thời hạn'!$G$1:$H$12,2,0))+H81)))</f>
        <v/>
      </c>
      <c r="J81" s="59" t="str">
        <f t="shared" ca="1" si="1"/>
        <v/>
      </c>
      <c r="K81" s="25"/>
      <c r="L81" s="129"/>
      <c r="M81" s="130"/>
      <c r="N81" s="35"/>
      <c r="O81" s="34"/>
      <c r="P81" s="25"/>
      <c r="Q81" s="25"/>
      <c r="R81" s="34"/>
      <c r="S81" s="34"/>
      <c r="T81" s="137"/>
      <c r="U81" s="137"/>
      <c r="V81" s="36"/>
      <c r="W81" s="37"/>
      <c r="X81" s="71" t="str">
        <f>IF(C81="Trả lại đơn","",IF((NETWORKDAYS(F81,G81,'Danh sách ngày nghỉ lễ'!$B$5:$B$25)-1-3)&gt;0,"Quá hạn"&amp;" "&amp;(NETWORKDAYS(F81,G81,'Danh sách ngày nghỉ lễ'!$B$5:$B$25)-1-3)&amp;" "&amp;"ngày",""))</f>
        <v/>
      </c>
      <c r="Y81" s="72" t="str">
        <f>IF(S81=0,"",IF(P81="Chuyển","",IF(P81="Nhập vào vụ khác","",IF(P81="CN đối thoại","",IF(P81="CN tại tòa","",IF(P81="BA",IF((S81-R81)&gt;7,"Quá hạn"&amp;" "&amp;(S81-R81-7)&amp;" "&amp;"ngày",""),IF((NETWORKDAYS(R81,S81,'Danh sách ngày nghỉ lễ'!$B$5:$B$25)-VLOOKUP(P81,'Thời hạn'!$D$17:$E$20,2,0))&gt;1,"Quá hạn"&amp;" "&amp;(NETWORKDAYS(R81,S81,'Danh sách ngày nghỉ lễ'!$B$5:$B$25)-1-VLOOKUP(P81,'Thời hạn'!$D$17:$E$20,2,0))&amp;" "&amp;"ngày","")))))))</f>
        <v/>
      </c>
      <c r="Z81" s="23">
        <v>1</v>
      </c>
    </row>
    <row r="82" spans="1:26" x14ac:dyDescent="0.3">
      <c r="A82" s="24">
        <v>1</v>
      </c>
      <c r="B82" s="39"/>
      <c r="C82" s="33"/>
      <c r="D82" s="25"/>
      <c r="E82" s="25"/>
      <c r="F82" s="34"/>
      <c r="G82" s="34"/>
      <c r="H82" s="25"/>
      <c r="I82" s="70" t="str">
        <f>IF(C82="Trả lại đơn","",IF(C82="Hòa giải thành","",IF(F82=0,"",EDATE(F82,VLOOKUP(C82,'Thời hạn'!$G$1:$H$12,2,0))+H82)))</f>
        <v/>
      </c>
      <c r="J82" s="59" t="str">
        <f t="shared" ca="1" si="1"/>
        <v/>
      </c>
      <c r="K82" s="25"/>
      <c r="L82" s="129"/>
      <c r="M82" s="130"/>
      <c r="N82" s="35"/>
      <c r="O82" s="34"/>
      <c r="P82" s="25"/>
      <c r="Q82" s="25"/>
      <c r="R82" s="34"/>
      <c r="S82" s="34"/>
      <c r="T82" s="137"/>
      <c r="U82" s="137"/>
      <c r="V82" s="36"/>
      <c r="W82" s="37"/>
      <c r="X82" s="71" t="str">
        <f>IF(C82="Trả lại đơn","",IF((NETWORKDAYS(F82,G82,'Danh sách ngày nghỉ lễ'!$B$5:$B$25)-1-3)&gt;0,"Quá hạn"&amp;" "&amp;(NETWORKDAYS(F82,G82,'Danh sách ngày nghỉ lễ'!$B$5:$B$25)-1-3)&amp;" "&amp;"ngày",""))</f>
        <v/>
      </c>
      <c r="Y82" s="72" t="str">
        <f>IF(S82=0,"",IF(P82="Chuyển","",IF(P82="Nhập vào vụ khác","",IF(P82="CN đối thoại","",IF(P82="CN tại tòa","",IF(P82="BA",IF((S82-R82)&gt;7,"Quá hạn"&amp;" "&amp;(S82-R82-7)&amp;" "&amp;"ngày",""),IF((NETWORKDAYS(R82,S82,'Danh sách ngày nghỉ lễ'!$B$5:$B$25)-VLOOKUP(P82,'Thời hạn'!$D$17:$E$20,2,0))&gt;1,"Quá hạn"&amp;" "&amp;(NETWORKDAYS(R82,S82,'Danh sách ngày nghỉ lễ'!$B$5:$B$25)-1-VLOOKUP(P82,'Thời hạn'!$D$17:$E$20,2,0))&amp;" "&amp;"ngày","")))))))</f>
        <v/>
      </c>
      <c r="Z82" s="23">
        <v>1</v>
      </c>
    </row>
    <row r="83" spans="1:26" x14ac:dyDescent="0.3">
      <c r="A83" s="24">
        <v>1</v>
      </c>
      <c r="B83" s="39"/>
      <c r="C83" s="33"/>
      <c r="D83" s="25"/>
      <c r="E83" s="25"/>
      <c r="F83" s="34"/>
      <c r="G83" s="34"/>
      <c r="H83" s="25"/>
      <c r="I83" s="70" t="str">
        <f>IF(C83="Trả lại đơn","",IF(C83="Hòa giải thành","",IF(F83=0,"",EDATE(F83,VLOOKUP(C83,'Thời hạn'!$G$1:$H$12,2,0))+H83)))</f>
        <v/>
      </c>
      <c r="J83" s="59" t="str">
        <f t="shared" ca="1" si="1"/>
        <v/>
      </c>
      <c r="K83" s="25"/>
      <c r="L83" s="129"/>
      <c r="M83" s="130"/>
      <c r="N83" s="35"/>
      <c r="O83" s="34"/>
      <c r="P83" s="25"/>
      <c r="Q83" s="25"/>
      <c r="R83" s="34"/>
      <c r="S83" s="34"/>
      <c r="T83" s="137"/>
      <c r="U83" s="137"/>
      <c r="V83" s="36"/>
      <c r="W83" s="37"/>
      <c r="X83" s="71" t="str">
        <f>IF(C83="Trả lại đơn","",IF((NETWORKDAYS(F83,G83,'Danh sách ngày nghỉ lễ'!$B$5:$B$25)-1-3)&gt;0,"Quá hạn"&amp;" "&amp;(NETWORKDAYS(F83,G83,'Danh sách ngày nghỉ lễ'!$B$5:$B$25)-1-3)&amp;" "&amp;"ngày",""))</f>
        <v/>
      </c>
      <c r="Y83" s="72" t="str">
        <f>IF(S83=0,"",IF(P83="Chuyển","",IF(P83="Nhập vào vụ khác","",IF(P83="CN đối thoại","",IF(P83="CN tại tòa","",IF(P83="BA",IF((S83-R83)&gt;7,"Quá hạn"&amp;" "&amp;(S83-R83-7)&amp;" "&amp;"ngày",""),IF((NETWORKDAYS(R83,S83,'Danh sách ngày nghỉ lễ'!$B$5:$B$25)-VLOOKUP(P83,'Thời hạn'!$D$17:$E$20,2,0))&gt;1,"Quá hạn"&amp;" "&amp;(NETWORKDAYS(R83,S83,'Danh sách ngày nghỉ lễ'!$B$5:$B$25)-1-VLOOKUP(P83,'Thời hạn'!$D$17:$E$20,2,0))&amp;" "&amp;"ngày","")))))))</f>
        <v/>
      </c>
      <c r="Z83" s="23">
        <v>1</v>
      </c>
    </row>
    <row r="84" spans="1:26" x14ac:dyDescent="0.3">
      <c r="A84" s="24">
        <v>1</v>
      </c>
      <c r="B84" s="39"/>
      <c r="C84" s="33"/>
      <c r="D84" s="25"/>
      <c r="E84" s="25"/>
      <c r="F84" s="34"/>
      <c r="G84" s="34"/>
      <c r="H84" s="25"/>
      <c r="I84" s="70" t="str">
        <f>IF(C84="Trả lại đơn","",IF(C84="Hòa giải thành","",IF(F84=0,"",EDATE(F84,VLOOKUP(C84,'Thời hạn'!$G$1:$H$12,2,0))+H84)))</f>
        <v/>
      </c>
      <c r="J84" s="59" t="str">
        <f t="shared" ca="1" si="1"/>
        <v/>
      </c>
      <c r="K84" s="25"/>
      <c r="L84" s="129"/>
      <c r="M84" s="130"/>
      <c r="N84" s="35"/>
      <c r="O84" s="34"/>
      <c r="P84" s="25"/>
      <c r="Q84" s="25"/>
      <c r="R84" s="34"/>
      <c r="S84" s="34"/>
      <c r="T84" s="137"/>
      <c r="U84" s="137"/>
      <c r="V84" s="36"/>
      <c r="W84" s="37"/>
      <c r="X84" s="71" t="str">
        <f>IF(C84="Trả lại đơn","",IF((NETWORKDAYS(F84,G84,'Danh sách ngày nghỉ lễ'!$B$5:$B$25)-1-3)&gt;0,"Quá hạn"&amp;" "&amp;(NETWORKDAYS(F84,G84,'Danh sách ngày nghỉ lễ'!$B$5:$B$25)-1-3)&amp;" "&amp;"ngày",""))</f>
        <v/>
      </c>
      <c r="Y84" s="72" t="str">
        <f>IF(S84=0,"",IF(P84="Chuyển","",IF(P84="Nhập vào vụ khác","",IF(P84="CN đối thoại","",IF(P84="CN tại tòa","",IF(P84="BA",IF((S84-R84)&gt;7,"Quá hạn"&amp;" "&amp;(S84-R84-7)&amp;" "&amp;"ngày",""),IF((NETWORKDAYS(R84,S84,'Danh sách ngày nghỉ lễ'!$B$5:$B$25)-VLOOKUP(P84,'Thời hạn'!$D$17:$E$20,2,0))&gt;1,"Quá hạn"&amp;" "&amp;(NETWORKDAYS(R84,S84,'Danh sách ngày nghỉ lễ'!$B$5:$B$25)-1-VLOOKUP(P84,'Thời hạn'!$D$17:$E$20,2,0))&amp;" "&amp;"ngày","")))))))</f>
        <v/>
      </c>
      <c r="Z84" s="23">
        <v>1</v>
      </c>
    </row>
    <row r="85" spans="1:26" x14ac:dyDescent="0.3">
      <c r="A85" s="24">
        <v>1</v>
      </c>
      <c r="B85" s="39"/>
      <c r="C85" s="33"/>
      <c r="D85" s="25"/>
      <c r="E85" s="25"/>
      <c r="F85" s="34"/>
      <c r="G85" s="34"/>
      <c r="H85" s="25"/>
      <c r="I85" s="70" t="str">
        <f>IF(C85="Trả lại đơn","",IF(C85="Hòa giải thành","",IF(F85=0,"",EDATE(F85,VLOOKUP(C85,'Thời hạn'!$G$1:$H$12,2,0))+H85)))</f>
        <v/>
      </c>
      <c r="J85" s="59" t="str">
        <f t="shared" ca="1" si="1"/>
        <v/>
      </c>
      <c r="K85" s="25"/>
      <c r="L85" s="129"/>
      <c r="M85" s="130"/>
      <c r="N85" s="35"/>
      <c r="O85" s="34"/>
      <c r="P85" s="25"/>
      <c r="Q85" s="25"/>
      <c r="R85" s="34"/>
      <c r="S85" s="34"/>
      <c r="T85" s="137"/>
      <c r="U85" s="137"/>
      <c r="V85" s="36"/>
      <c r="W85" s="37"/>
      <c r="X85" s="71" t="str">
        <f>IF(C85="Trả lại đơn","",IF((NETWORKDAYS(F85,G85,'Danh sách ngày nghỉ lễ'!$B$5:$B$25)-1-3)&gt;0,"Quá hạn"&amp;" "&amp;(NETWORKDAYS(F85,G85,'Danh sách ngày nghỉ lễ'!$B$5:$B$25)-1-3)&amp;" "&amp;"ngày",""))</f>
        <v/>
      </c>
      <c r="Y85" s="72" t="str">
        <f>IF(S85=0,"",IF(P85="Chuyển","",IF(P85="Nhập vào vụ khác","",IF(P85="CN đối thoại","",IF(P85="CN tại tòa","",IF(P85="BA",IF((S85-R85)&gt;7,"Quá hạn"&amp;" "&amp;(S85-R85-7)&amp;" "&amp;"ngày",""),IF((NETWORKDAYS(R85,S85,'Danh sách ngày nghỉ lễ'!$B$5:$B$25)-VLOOKUP(P85,'Thời hạn'!$D$17:$E$20,2,0))&gt;1,"Quá hạn"&amp;" "&amp;(NETWORKDAYS(R85,S85,'Danh sách ngày nghỉ lễ'!$B$5:$B$25)-1-VLOOKUP(P85,'Thời hạn'!$D$17:$E$20,2,0))&amp;" "&amp;"ngày","")))))))</f>
        <v/>
      </c>
      <c r="Z85" s="23">
        <v>1</v>
      </c>
    </row>
    <row r="86" spans="1:26" x14ac:dyDescent="0.3">
      <c r="A86" s="24">
        <v>1</v>
      </c>
      <c r="B86" s="39"/>
      <c r="C86" s="33"/>
      <c r="D86" s="25"/>
      <c r="E86" s="25"/>
      <c r="F86" s="34"/>
      <c r="G86" s="34"/>
      <c r="H86" s="25"/>
      <c r="I86" s="70" t="str">
        <f>IF(C86="Trả lại đơn","",IF(C86="Hòa giải thành","",IF(F86=0,"",EDATE(F86,VLOOKUP(C86,'Thời hạn'!$G$1:$H$12,2,0))+H86)))</f>
        <v/>
      </c>
      <c r="J86" s="59" t="str">
        <f t="shared" ca="1" si="1"/>
        <v/>
      </c>
      <c r="K86" s="25"/>
      <c r="L86" s="129"/>
      <c r="M86" s="130"/>
      <c r="N86" s="35"/>
      <c r="O86" s="34"/>
      <c r="P86" s="25"/>
      <c r="Q86" s="25"/>
      <c r="R86" s="34"/>
      <c r="S86" s="34"/>
      <c r="T86" s="137"/>
      <c r="U86" s="137"/>
      <c r="V86" s="36"/>
      <c r="W86" s="37"/>
      <c r="X86" s="71" t="str">
        <f>IF(C86="Trả lại đơn","",IF((NETWORKDAYS(F86,G86,'Danh sách ngày nghỉ lễ'!$B$5:$B$25)-1-3)&gt;0,"Quá hạn"&amp;" "&amp;(NETWORKDAYS(F86,G86,'Danh sách ngày nghỉ lễ'!$B$5:$B$25)-1-3)&amp;" "&amp;"ngày",""))</f>
        <v/>
      </c>
      <c r="Y86" s="72" t="str">
        <f>IF(S86=0,"",IF(P86="Chuyển","",IF(P86="Nhập vào vụ khác","",IF(P86="CN đối thoại","",IF(P86="CN tại tòa","",IF(P86="BA",IF((S86-R86)&gt;7,"Quá hạn"&amp;" "&amp;(S86-R86-7)&amp;" "&amp;"ngày",""),IF((NETWORKDAYS(R86,S86,'Danh sách ngày nghỉ lễ'!$B$5:$B$25)-VLOOKUP(P86,'Thời hạn'!$D$17:$E$20,2,0))&gt;1,"Quá hạn"&amp;" "&amp;(NETWORKDAYS(R86,S86,'Danh sách ngày nghỉ lễ'!$B$5:$B$25)-1-VLOOKUP(P86,'Thời hạn'!$D$17:$E$20,2,0))&amp;" "&amp;"ngày","")))))))</f>
        <v/>
      </c>
      <c r="Z86" s="23">
        <v>1</v>
      </c>
    </row>
    <row r="87" spans="1:26" x14ac:dyDescent="0.3">
      <c r="A87" s="24">
        <v>1</v>
      </c>
      <c r="B87" s="39"/>
      <c r="C87" s="33"/>
      <c r="D87" s="25"/>
      <c r="E87" s="25"/>
      <c r="F87" s="34"/>
      <c r="G87" s="34"/>
      <c r="H87" s="25"/>
      <c r="I87" s="70" t="str">
        <f>IF(C87="Trả lại đơn","",IF(C87="Hòa giải thành","",IF(F87=0,"",EDATE(F87,VLOOKUP(C87,'Thời hạn'!$G$1:$H$12,2,0))+H87)))</f>
        <v/>
      </c>
      <c r="J87" s="59" t="str">
        <f t="shared" ca="1" si="1"/>
        <v/>
      </c>
      <c r="K87" s="25"/>
      <c r="L87" s="129"/>
      <c r="M87" s="130"/>
      <c r="N87" s="35"/>
      <c r="O87" s="34"/>
      <c r="P87" s="25"/>
      <c r="Q87" s="25"/>
      <c r="R87" s="34"/>
      <c r="S87" s="34"/>
      <c r="T87" s="137"/>
      <c r="U87" s="137"/>
      <c r="V87" s="36"/>
      <c r="W87" s="37"/>
      <c r="X87" s="71" t="str">
        <f>IF(C87="Trả lại đơn","",IF((NETWORKDAYS(F87,G87,'Danh sách ngày nghỉ lễ'!$B$5:$B$25)-1-3)&gt;0,"Quá hạn"&amp;" "&amp;(NETWORKDAYS(F87,G87,'Danh sách ngày nghỉ lễ'!$B$5:$B$25)-1-3)&amp;" "&amp;"ngày",""))</f>
        <v/>
      </c>
      <c r="Y87" s="72" t="str">
        <f>IF(S87=0,"",IF(P87="Chuyển","",IF(P87="Nhập vào vụ khác","",IF(P87="CN đối thoại","",IF(P87="CN tại tòa","",IF(P87="BA",IF((S87-R87)&gt;7,"Quá hạn"&amp;" "&amp;(S87-R87-7)&amp;" "&amp;"ngày",""),IF((NETWORKDAYS(R87,S87,'Danh sách ngày nghỉ lễ'!$B$5:$B$25)-VLOOKUP(P87,'Thời hạn'!$D$17:$E$20,2,0))&gt;1,"Quá hạn"&amp;" "&amp;(NETWORKDAYS(R87,S87,'Danh sách ngày nghỉ lễ'!$B$5:$B$25)-1-VLOOKUP(P87,'Thời hạn'!$D$17:$E$20,2,0))&amp;" "&amp;"ngày","")))))))</f>
        <v/>
      </c>
      <c r="Z87" s="23">
        <v>1</v>
      </c>
    </row>
    <row r="88" spans="1:26" x14ac:dyDescent="0.3">
      <c r="A88" s="24">
        <v>1</v>
      </c>
      <c r="B88" s="39"/>
      <c r="C88" s="33"/>
      <c r="D88" s="25"/>
      <c r="E88" s="25"/>
      <c r="F88" s="34"/>
      <c r="G88" s="34"/>
      <c r="H88" s="25"/>
      <c r="I88" s="70" t="str">
        <f>IF(C88="Trả lại đơn","",IF(C88="Hòa giải thành","",IF(F88=0,"",EDATE(F88,VLOOKUP(C88,'Thời hạn'!$G$1:$H$12,2,0))+H88)))</f>
        <v/>
      </c>
      <c r="J88" s="59" t="str">
        <f t="shared" ca="1" si="1"/>
        <v/>
      </c>
      <c r="K88" s="25"/>
      <c r="L88" s="129"/>
      <c r="M88" s="130"/>
      <c r="N88" s="35"/>
      <c r="O88" s="34"/>
      <c r="P88" s="25"/>
      <c r="Q88" s="25"/>
      <c r="R88" s="34"/>
      <c r="S88" s="34"/>
      <c r="T88" s="137"/>
      <c r="U88" s="137"/>
      <c r="V88" s="36"/>
      <c r="W88" s="37"/>
      <c r="X88" s="71" t="str">
        <f>IF(C88="Trả lại đơn","",IF((NETWORKDAYS(F88,G88,'Danh sách ngày nghỉ lễ'!$B$5:$B$25)-1-3)&gt;0,"Quá hạn"&amp;" "&amp;(NETWORKDAYS(F88,G88,'Danh sách ngày nghỉ lễ'!$B$5:$B$25)-1-3)&amp;" "&amp;"ngày",""))</f>
        <v/>
      </c>
      <c r="Y88" s="72" t="str">
        <f>IF(S88=0,"",IF(P88="Chuyển","",IF(P88="Nhập vào vụ khác","",IF(P88="CN đối thoại","",IF(P88="CN tại tòa","",IF(P88="BA",IF((S88-R88)&gt;7,"Quá hạn"&amp;" "&amp;(S88-R88-7)&amp;" "&amp;"ngày",""),IF((NETWORKDAYS(R88,S88,'Danh sách ngày nghỉ lễ'!$B$5:$B$25)-VLOOKUP(P88,'Thời hạn'!$D$17:$E$20,2,0))&gt;1,"Quá hạn"&amp;" "&amp;(NETWORKDAYS(R88,S88,'Danh sách ngày nghỉ lễ'!$B$5:$B$25)-1-VLOOKUP(P88,'Thời hạn'!$D$17:$E$20,2,0))&amp;" "&amp;"ngày","")))))))</f>
        <v/>
      </c>
      <c r="Z88" s="23">
        <v>1</v>
      </c>
    </row>
    <row r="89" spans="1:26" x14ac:dyDescent="0.3">
      <c r="A89" s="24">
        <v>1</v>
      </c>
      <c r="B89" s="39"/>
      <c r="C89" s="33"/>
      <c r="D89" s="25"/>
      <c r="E89" s="25"/>
      <c r="F89" s="34"/>
      <c r="G89" s="34"/>
      <c r="H89" s="25"/>
      <c r="I89" s="70" t="str">
        <f>IF(C89="Trả lại đơn","",IF(C89="Hòa giải thành","",IF(F89=0,"",EDATE(F89,VLOOKUP(C89,'Thời hạn'!$G$1:$H$12,2,0))+H89)))</f>
        <v/>
      </c>
      <c r="J89" s="59" t="str">
        <f t="shared" ca="1" si="1"/>
        <v/>
      </c>
      <c r="K89" s="25"/>
      <c r="L89" s="129"/>
      <c r="M89" s="130"/>
      <c r="N89" s="35"/>
      <c r="O89" s="34"/>
      <c r="P89" s="25"/>
      <c r="Q89" s="25"/>
      <c r="R89" s="34"/>
      <c r="S89" s="34"/>
      <c r="T89" s="137"/>
      <c r="U89" s="137"/>
      <c r="V89" s="36"/>
      <c r="W89" s="37"/>
      <c r="X89" s="71" t="str">
        <f>IF(C89="Trả lại đơn","",IF((NETWORKDAYS(F89,G89,'Danh sách ngày nghỉ lễ'!$B$5:$B$25)-1-3)&gt;0,"Quá hạn"&amp;" "&amp;(NETWORKDAYS(F89,G89,'Danh sách ngày nghỉ lễ'!$B$5:$B$25)-1-3)&amp;" "&amp;"ngày",""))</f>
        <v/>
      </c>
      <c r="Y89" s="72" t="str">
        <f>IF(S89=0,"",IF(P89="Chuyển","",IF(P89="Nhập vào vụ khác","",IF(P89="CN đối thoại","",IF(P89="CN tại tòa","",IF(P89="BA",IF((S89-R89)&gt;7,"Quá hạn"&amp;" "&amp;(S89-R89-7)&amp;" "&amp;"ngày",""),IF((NETWORKDAYS(R89,S89,'Danh sách ngày nghỉ lễ'!$B$5:$B$25)-VLOOKUP(P89,'Thời hạn'!$D$17:$E$20,2,0))&gt;1,"Quá hạn"&amp;" "&amp;(NETWORKDAYS(R89,S89,'Danh sách ngày nghỉ lễ'!$B$5:$B$25)-1-VLOOKUP(P89,'Thời hạn'!$D$17:$E$20,2,0))&amp;" "&amp;"ngày","")))))))</f>
        <v/>
      </c>
      <c r="Z89" s="23">
        <v>1</v>
      </c>
    </row>
    <row r="90" spans="1:26" x14ac:dyDescent="0.3">
      <c r="A90" s="24">
        <v>1</v>
      </c>
      <c r="B90" s="39"/>
      <c r="C90" s="33"/>
      <c r="D90" s="25"/>
      <c r="E90" s="25"/>
      <c r="F90" s="34"/>
      <c r="G90" s="34"/>
      <c r="H90" s="25"/>
      <c r="I90" s="70" t="str">
        <f>IF(C90="Trả lại đơn","",IF(C90="Hòa giải thành","",IF(F90=0,"",EDATE(F90,VLOOKUP(C90,'Thời hạn'!$G$1:$H$12,2,0))+H90)))</f>
        <v/>
      </c>
      <c r="J90" s="59" t="str">
        <f t="shared" ca="1" si="1"/>
        <v/>
      </c>
      <c r="K90" s="25"/>
      <c r="L90" s="129"/>
      <c r="M90" s="130"/>
      <c r="N90" s="35"/>
      <c r="O90" s="34"/>
      <c r="P90" s="25"/>
      <c r="Q90" s="25"/>
      <c r="R90" s="34"/>
      <c r="S90" s="34"/>
      <c r="T90" s="137"/>
      <c r="U90" s="137"/>
      <c r="V90" s="36"/>
      <c r="W90" s="37"/>
      <c r="X90" s="71" t="str">
        <f>IF(C90="Trả lại đơn","",IF((NETWORKDAYS(F90,G90,'Danh sách ngày nghỉ lễ'!$B$5:$B$25)-1-3)&gt;0,"Quá hạn"&amp;" "&amp;(NETWORKDAYS(F90,G90,'Danh sách ngày nghỉ lễ'!$B$5:$B$25)-1-3)&amp;" "&amp;"ngày",""))</f>
        <v/>
      </c>
      <c r="Y90" s="72" t="str">
        <f>IF(S90=0,"",IF(P90="Chuyển","",IF(P90="Nhập vào vụ khác","",IF(P90="CN đối thoại","",IF(P90="CN tại tòa","",IF(P90="BA",IF((S90-R90)&gt;7,"Quá hạn"&amp;" "&amp;(S90-R90-7)&amp;" "&amp;"ngày",""),IF((NETWORKDAYS(R90,S90,'Danh sách ngày nghỉ lễ'!$B$5:$B$25)-VLOOKUP(P90,'Thời hạn'!$D$17:$E$20,2,0))&gt;1,"Quá hạn"&amp;" "&amp;(NETWORKDAYS(R90,S90,'Danh sách ngày nghỉ lễ'!$B$5:$B$25)-1-VLOOKUP(P90,'Thời hạn'!$D$17:$E$20,2,0))&amp;" "&amp;"ngày","")))))))</f>
        <v/>
      </c>
      <c r="Z90" s="23">
        <v>1</v>
      </c>
    </row>
    <row r="91" spans="1:26" x14ac:dyDescent="0.3">
      <c r="A91" s="24">
        <v>1</v>
      </c>
      <c r="B91" s="39"/>
      <c r="C91" s="33"/>
      <c r="D91" s="25"/>
      <c r="E91" s="25"/>
      <c r="F91" s="34"/>
      <c r="G91" s="34"/>
      <c r="H91" s="25"/>
      <c r="I91" s="70" t="str">
        <f>IF(C91="Trả lại đơn","",IF(C91="Hòa giải thành","",IF(F91=0,"",EDATE(F91,VLOOKUP(C91,'Thời hạn'!$G$1:$H$12,2,0))+H91)))</f>
        <v/>
      </c>
      <c r="J91" s="59" t="str">
        <f t="shared" ca="1" si="1"/>
        <v/>
      </c>
      <c r="K91" s="25"/>
      <c r="L91" s="129"/>
      <c r="M91" s="130"/>
      <c r="N91" s="35"/>
      <c r="O91" s="34"/>
      <c r="P91" s="25"/>
      <c r="Q91" s="25"/>
      <c r="R91" s="34"/>
      <c r="S91" s="34"/>
      <c r="T91" s="137"/>
      <c r="U91" s="137"/>
      <c r="V91" s="36"/>
      <c r="W91" s="37"/>
      <c r="X91" s="71" t="str">
        <f>IF(C91="Trả lại đơn","",IF((NETWORKDAYS(F91,G91,'Danh sách ngày nghỉ lễ'!$B$5:$B$25)-1-3)&gt;0,"Quá hạn"&amp;" "&amp;(NETWORKDAYS(F91,G91,'Danh sách ngày nghỉ lễ'!$B$5:$B$25)-1-3)&amp;" "&amp;"ngày",""))</f>
        <v/>
      </c>
      <c r="Y91" s="72" t="str">
        <f>IF(S91=0,"",IF(P91="Chuyển","",IF(P91="Nhập vào vụ khác","",IF(P91="CN đối thoại","",IF(P91="CN tại tòa","",IF(P91="BA",IF((S91-R91)&gt;7,"Quá hạn"&amp;" "&amp;(S91-R91-7)&amp;" "&amp;"ngày",""),IF((NETWORKDAYS(R91,S91,'Danh sách ngày nghỉ lễ'!$B$5:$B$25)-VLOOKUP(P91,'Thời hạn'!$D$17:$E$20,2,0))&gt;1,"Quá hạn"&amp;" "&amp;(NETWORKDAYS(R91,S91,'Danh sách ngày nghỉ lễ'!$B$5:$B$25)-1-VLOOKUP(P91,'Thời hạn'!$D$17:$E$20,2,0))&amp;" "&amp;"ngày","")))))))</f>
        <v/>
      </c>
      <c r="Z91" s="23">
        <v>1</v>
      </c>
    </row>
    <row r="92" spans="1:26" x14ac:dyDescent="0.3">
      <c r="A92" s="24">
        <v>1</v>
      </c>
      <c r="B92" s="39"/>
      <c r="C92" s="33"/>
      <c r="D92" s="25"/>
      <c r="E92" s="25"/>
      <c r="F92" s="34"/>
      <c r="G92" s="34"/>
      <c r="H92" s="25"/>
      <c r="I92" s="70" t="str">
        <f>IF(C92="Trả lại đơn","",IF(C92="Hòa giải thành","",IF(F92=0,"",EDATE(F92,VLOOKUP(C92,'Thời hạn'!$G$1:$H$12,2,0))+H92)))</f>
        <v/>
      </c>
      <c r="J92" s="59" t="str">
        <f t="shared" ca="1" si="1"/>
        <v/>
      </c>
      <c r="K92" s="25"/>
      <c r="L92" s="129"/>
      <c r="M92" s="130"/>
      <c r="N92" s="35"/>
      <c r="O92" s="34"/>
      <c r="P92" s="25"/>
      <c r="Q92" s="25"/>
      <c r="R92" s="34"/>
      <c r="S92" s="34"/>
      <c r="T92" s="137"/>
      <c r="U92" s="137"/>
      <c r="V92" s="36"/>
      <c r="W92" s="37"/>
      <c r="X92" s="71" t="str">
        <f>IF(C92="Trả lại đơn","",IF((NETWORKDAYS(F92,G92,'Danh sách ngày nghỉ lễ'!$B$5:$B$25)-1-3)&gt;0,"Quá hạn"&amp;" "&amp;(NETWORKDAYS(F92,G92,'Danh sách ngày nghỉ lễ'!$B$5:$B$25)-1-3)&amp;" "&amp;"ngày",""))</f>
        <v/>
      </c>
      <c r="Y92" s="72" t="str">
        <f>IF(S92=0,"",IF(P92="Chuyển","",IF(P92="Nhập vào vụ khác","",IF(P92="CN đối thoại","",IF(P92="CN tại tòa","",IF(P92="BA",IF((S92-R92)&gt;7,"Quá hạn"&amp;" "&amp;(S92-R92-7)&amp;" "&amp;"ngày",""),IF((NETWORKDAYS(R92,S92,'Danh sách ngày nghỉ lễ'!$B$5:$B$25)-VLOOKUP(P92,'Thời hạn'!$D$17:$E$20,2,0))&gt;1,"Quá hạn"&amp;" "&amp;(NETWORKDAYS(R92,S92,'Danh sách ngày nghỉ lễ'!$B$5:$B$25)-1-VLOOKUP(P92,'Thời hạn'!$D$17:$E$20,2,0))&amp;" "&amp;"ngày","")))))))</f>
        <v/>
      </c>
      <c r="Z92" s="23">
        <v>1</v>
      </c>
    </row>
    <row r="93" spans="1:26" x14ac:dyDescent="0.3">
      <c r="A93" s="24">
        <v>1</v>
      </c>
      <c r="B93" s="39"/>
      <c r="C93" s="33"/>
      <c r="D93" s="25"/>
      <c r="E93" s="25"/>
      <c r="F93" s="34"/>
      <c r="G93" s="34"/>
      <c r="H93" s="25"/>
      <c r="I93" s="70" t="str">
        <f>IF(C93="Trả lại đơn","",IF(C93="Hòa giải thành","",IF(F93=0,"",EDATE(F93,VLOOKUP(C93,'Thời hạn'!$G$1:$H$12,2,0))+H93)))</f>
        <v/>
      </c>
      <c r="J93" s="59" t="str">
        <f t="shared" ca="1" si="1"/>
        <v/>
      </c>
      <c r="K93" s="25"/>
      <c r="L93" s="129"/>
      <c r="M93" s="130"/>
      <c r="N93" s="35"/>
      <c r="O93" s="34"/>
      <c r="P93" s="25"/>
      <c r="Q93" s="25"/>
      <c r="R93" s="34"/>
      <c r="S93" s="34"/>
      <c r="T93" s="137"/>
      <c r="U93" s="137"/>
      <c r="V93" s="36"/>
      <c r="W93" s="37"/>
      <c r="X93" s="71" t="str">
        <f>IF(C93="Trả lại đơn","",IF((NETWORKDAYS(F93,G93,'Danh sách ngày nghỉ lễ'!$B$5:$B$25)-1-3)&gt;0,"Quá hạn"&amp;" "&amp;(NETWORKDAYS(F93,G93,'Danh sách ngày nghỉ lễ'!$B$5:$B$25)-1-3)&amp;" "&amp;"ngày",""))</f>
        <v/>
      </c>
      <c r="Y93" s="72" t="str">
        <f>IF(S93=0,"",IF(P93="Chuyển","",IF(P93="Nhập vào vụ khác","",IF(P93="CN đối thoại","",IF(P93="CN tại tòa","",IF(P93="BA",IF((S93-R93)&gt;7,"Quá hạn"&amp;" "&amp;(S93-R93-7)&amp;" "&amp;"ngày",""),IF((NETWORKDAYS(R93,S93,'Danh sách ngày nghỉ lễ'!$B$5:$B$25)-VLOOKUP(P93,'Thời hạn'!$D$17:$E$20,2,0))&gt;1,"Quá hạn"&amp;" "&amp;(NETWORKDAYS(R93,S93,'Danh sách ngày nghỉ lễ'!$B$5:$B$25)-1-VLOOKUP(P93,'Thời hạn'!$D$17:$E$20,2,0))&amp;" "&amp;"ngày","")))))))</f>
        <v/>
      </c>
      <c r="Z93" s="23">
        <v>1</v>
      </c>
    </row>
    <row r="94" spans="1:26" x14ac:dyDescent="0.3">
      <c r="A94" s="24">
        <v>1</v>
      </c>
      <c r="B94" s="39"/>
      <c r="C94" s="33"/>
      <c r="D94" s="25"/>
      <c r="E94" s="25"/>
      <c r="F94" s="34"/>
      <c r="G94" s="34"/>
      <c r="H94" s="25"/>
      <c r="I94" s="70" t="str">
        <f>IF(C94="Trả lại đơn","",IF(C94="Hòa giải thành","",IF(F94=0,"",EDATE(F94,VLOOKUP(C94,'Thời hạn'!$G$1:$H$12,2,0))+H94)))</f>
        <v/>
      </c>
      <c r="J94" s="59" t="str">
        <f t="shared" ca="1" si="1"/>
        <v/>
      </c>
      <c r="K94" s="25"/>
      <c r="L94" s="129"/>
      <c r="M94" s="130"/>
      <c r="N94" s="35"/>
      <c r="O94" s="34"/>
      <c r="P94" s="25"/>
      <c r="Q94" s="25"/>
      <c r="R94" s="34"/>
      <c r="S94" s="34"/>
      <c r="T94" s="137"/>
      <c r="U94" s="137"/>
      <c r="V94" s="36"/>
      <c r="W94" s="37"/>
      <c r="X94" s="71" t="str">
        <f>IF(C94="Trả lại đơn","",IF((NETWORKDAYS(F94,G94,'Danh sách ngày nghỉ lễ'!$B$5:$B$25)-1-3)&gt;0,"Quá hạn"&amp;" "&amp;(NETWORKDAYS(F94,G94,'Danh sách ngày nghỉ lễ'!$B$5:$B$25)-1-3)&amp;" "&amp;"ngày",""))</f>
        <v/>
      </c>
      <c r="Y94" s="72" t="str">
        <f>IF(S94=0,"",IF(P94="Chuyển","",IF(P94="Nhập vào vụ khác","",IF(P94="CN đối thoại","",IF(P94="CN tại tòa","",IF(P94="BA",IF((S94-R94)&gt;7,"Quá hạn"&amp;" "&amp;(S94-R94-7)&amp;" "&amp;"ngày",""),IF((NETWORKDAYS(R94,S94,'Danh sách ngày nghỉ lễ'!$B$5:$B$25)-VLOOKUP(P94,'Thời hạn'!$D$17:$E$20,2,0))&gt;1,"Quá hạn"&amp;" "&amp;(NETWORKDAYS(R94,S94,'Danh sách ngày nghỉ lễ'!$B$5:$B$25)-1-VLOOKUP(P94,'Thời hạn'!$D$17:$E$20,2,0))&amp;" "&amp;"ngày","")))))))</f>
        <v/>
      </c>
      <c r="Z94" s="23">
        <v>1</v>
      </c>
    </row>
    <row r="95" spans="1:26" x14ac:dyDescent="0.3">
      <c r="A95" s="24">
        <v>1</v>
      </c>
      <c r="B95" s="39"/>
      <c r="C95" s="33"/>
      <c r="D95" s="25"/>
      <c r="E95" s="25"/>
      <c r="F95" s="34"/>
      <c r="G95" s="34"/>
      <c r="H95" s="25"/>
      <c r="I95" s="70" t="str">
        <f>IF(C95="Trả lại đơn","",IF(C95="Hòa giải thành","",IF(F95=0,"",EDATE(F95,VLOOKUP(C95,'Thời hạn'!$G$1:$H$12,2,0))+H95)))</f>
        <v/>
      </c>
      <c r="J95" s="59" t="str">
        <f t="shared" ca="1" si="1"/>
        <v/>
      </c>
      <c r="K95" s="25"/>
      <c r="L95" s="129"/>
      <c r="M95" s="130"/>
      <c r="N95" s="35"/>
      <c r="O95" s="34"/>
      <c r="P95" s="25"/>
      <c r="Q95" s="25"/>
      <c r="R95" s="34"/>
      <c r="S95" s="34"/>
      <c r="T95" s="137"/>
      <c r="U95" s="137"/>
      <c r="V95" s="36"/>
      <c r="W95" s="37"/>
      <c r="X95" s="71" t="str">
        <f>IF(C95="Trả lại đơn","",IF((NETWORKDAYS(F95,G95,'Danh sách ngày nghỉ lễ'!$B$5:$B$25)-1-3)&gt;0,"Quá hạn"&amp;" "&amp;(NETWORKDAYS(F95,G95,'Danh sách ngày nghỉ lễ'!$B$5:$B$25)-1-3)&amp;" "&amp;"ngày",""))</f>
        <v/>
      </c>
      <c r="Y95" s="72" t="str">
        <f>IF(S95=0,"",IF(P95="Chuyển","",IF(P95="Nhập vào vụ khác","",IF(P95="CN đối thoại","",IF(P95="CN tại tòa","",IF(P95="BA",IF((S95-R95)&gt;7,"Quá hạn"&amp;" "&amp;(S95-R95-7)&amp;" "&amp;"ngày",""),IF((NETWORKDAYS(R95,S95,'Danh sách ngày nghỉ lễ'!$B$5:$B$25)-VLOOKUP(P95,'Thời hạn'!$D$17:$E$20,2,0))&gt;1,"Quá hạn"&amp;" "&amp;(NETWORKDAYS(R95,S95,'Danh sách ngày nghỉ lễ'!$B$5:$B$25)-1-VLOOKUP(P95,'Thời hạn'!$D$17:$E$20,2,0))&amp;" "&amp;"ngày","")))))))</f>
        <v/>
      </c>
      <c r="Z95" s="23">
        <v>1</v>
      </c>
    </row>
    <row r="96" spans="1:26" x14ac:dyDescent="0.3">
      <c r="A96" s="24">
        <v>1</v>
      </c>
      <c r="B96" s="39"/>
      <c r="C96" s="33"/>
      <c r="D96" s="25"/>
      <c r="E96" s="25"/>
      <c r="F96" s="34"/>
      <c r="G96" s="34"/>
      <c r="H96" s="25"/>
      <c r="I96" s="70" t="str">
        <f>IF(C96="Trả lại đơn","",IF(C96="Hòa giải thành","",IF(F96=0,"",EDATE(F96,VLOOKUP(C96,'Thời hạn'!$G$1:$H$12,2,0))+H96)))</f>
        <v/>
      </c>
      <c r="J96" s="59" t="str">
        <f t="shared" ca="1" si="1"/>
        <v/>
      </c>
      <c r="K96" s="25"/>
      <c r="L96" s="129"/>
      <c r="M96" s="130"/>
      <c r="N96" s="35"/>
      <c r="O96" s="34"/>
      <c r="P96" s="25"/>
      <c r="Q96" s="25"/>
      <c r="R96" s="34"/>
      <c r="S96" s="34"/>
      <c r="T96" s="137"/>
      <c r="U96" s="137"/>
      <c r="V96" s="36"/>
      <c r="W96" s="37"/>
      <c r="X96" s="71" t="str">
        <f>IF(C96="Trả lại đơn","",IF((NETWORKDAYS(F96,G96,'Danh sách ngày nghỉ lễ'!$B$5:$B$25)-1-3)&gt;0,"Quá hạn"&amp;" "&amp;(NETWORKDAYS(F96,G96,'Danh sách ngày nghỉ lễ'!$B$5:$B$25)-1-3)&amp;" "&amp;"ngày",""))</f>
        <v/>
      </c>
      <c r="Y96" s="72" t="str">
        <f>IF(S96=0,"",IF(P96="Chuyển","",IF(P96="Nhập vào vụ khác","",IF(P96="CN đối thoại","",IF(P96="CN tại tòa","",IF(P96="BA",IF((S96-R96)&gt;7,"Quá hạn"&amp;" "&amp;(S96-R96-7)&amp;" "&amp;"ngày",""),IF((NETWORKDAYS(R96,S96,'Danh sách ngày nghỉ lễ'!$B$5:$B$25)-VLOOKUP(P96,'Thời hạn'!$D$17:$E$20,2,0))&gt;1,"Quá hạn"&amp;" "&amp;(NETWORKDAYS(R96,S96,'Danh sách ngày nghỉ lễ'!$B$5:$B$25)-1-VLOOKUP(P96,'Thời hạn'!$D$17:$E$20,2,0))&amp;" "&amp;"ngày","")))))))</f>
        <v/>
      </c>
      <c r="Z96" s="23">
        <v>1</v>
      </c>
    </row>
    <row r="97" spans="1:26" x14ac:dyDescent="0.3">
      <c r="A97" s="24">
        <v>1</v>
      </c>
      <c r="B97" s="39"/>
      <c r="C97" s="33"/>
      <c r="D97" s="25"/>
      <c r="E97" s="25"/>
      <c r="F97" s="34"/>
      <c r="G97" s="34"/>
      <c r="H97" s="25"/>
      <c r="I97" s="70" t="str">
        <f>IF(C97="Trả lại đơn","",IF(C97="Hòa giải thành","",IF(F97=0,"",EDATE(F97,VLOOKUP(C97,'Thời hạn'!$G$1:$H$12,2,0))+H97)))</f>
        <v/>
      </c>
      <c r="J97" s="59" t="str">
        <f t="shared" ca="1" si="1"/>
        <v/>
      </c>
      <c r="K97" s="25"/>
      <c r="L97" s="129"/>
      <c r="M97" s="130"/>
      <c r="N97" s="35"/>
      <c r="O97" s="34"/>
      <c r="P97" s="25"/>
      <c r="Q97" s="25"/>
      <c r="R97" s="34"/>
      <c r="S97" s="34"/>
      <c r="T97" s="137"/>
      <c r="U97" s="137"/>
      <c r="V97" s="36"/>
      <c r="W97" s="37"/>
      <c r="X97" s="71" t="str">
        <f>IF(C97="Trả lại đơn","",IF((NETWORKDAYS(F97,G97,'Danh sách ngày nghỉ lễ'!$B$5:$B$25)-1-3)&gt;0,"Quá hạn"&amp;" "&amp;(NETWORKDAYS(F97,G97,'Danh sách ngày nghỉ lễ'!$B$5:$B$25)-1-3)&amp;" "&amp;"ngày",""))</f>
        <v/>
      </c>
      <c r="Y97" s="72" t="str">
        <f>IF(S97=0,"",IF(P97="Chuyển","",IF(P97="Nhập vào vụ khác","",IF(P97="CN đối thoại","",IF(P97="CN tại tòa","",IF(P97="BA",IF((S97-R97)&gt;7,"Quá hạn"&amp;" "&amp;(S97-R97-7)&amp;" "&amp;"ngày",""),IF((NETWORKDAYS(R97,S97,'Danh sách ngày nghỉ lễ'!$B$5:$B$25)-VLOOKUP(P97,'Thời hạn'!$D$17:$E$20,2,0))&gt;1,"Quá hạn"&amp;" "&amp;(NETWORKDAYS(R97,S97,'Danh sách ngày nghỉ lễ'!$B$5:$B$25)-1-VLOOKUP(P97,'Thời hạn'!$D$17:$E$20,2,0))&amp;" "&amp;"ngày","")))))))</f>
        <v/>
      </c>
      <c r="Z97" s="23">
        <v>1</v>
      </c>
    </row>
    <row r="98" spans="1:26" x14ac:dyDescent="0.3">
      <c r="A98" s="24">
        <v>1</v>
      </c>
      <c r="B98" s="39"/>
      <c r="C98" s="33"/>
      <c r="D98" s="25"/>
      <c r="E98" s="25"/>
      <c r="F98" s="34"/>
      <c r="G98" s="34"/>
      <c r="H98" s="25"/>
      <c r="I98" s="70" t="str">
        <f>IF(C98="Trả lại đơn","",IF(C98="Hòa giải thành","",IF(F98=0,"",EDATE(F98,VLOOKUP(C98,'Thời hạn'!$G$1:$H$12,2,0))+H98)))</f>
        <v/>
      </c>
      <c r="J98" s="59" t="str">
        <f t="shared" ca="1" si="1"/>
        <v/>
      </c>
      <c r="K98" s="25"/>
      <c r="L98" s="129"/>
      <c r="M98" s="130"/>
      <c r="N98" s="35"/>
      <c r="O98" s="34"/>
      <c r="P98" s="25"/>
      <c r="Q98" s="25"/>
      <c r="R98" s="34"/>
      <c r="S98" s="34"/>
      <c r="T98" s="137"/>
      <c r="U98" s="137"/>
      <c r="V98" s="36"/>
      <c r="W98" s="37"/>
      <c r="X98" s="71" t="str">
        <f>IF(C98="Trả lại đơn","",IF((NETWORKDAYS(F98,G98,'Danh sách ngày nghỉ lễ'!$B$5:$B$25)-1-3)&gt;0,"Quá hạn"&amp;" "&amp;(NETWORKDAYS(F98,G98,'Danh sách ngày nghỉ lễ'!$B$5:$B$25)-1-3)&amp;" "&amp;"ngày",""))</f>
        <v/>
      </c>
      <c r="Y98" s="72" t="str">
        <f>IF(S98=0,"",IF(P98="Chuyển","",IF(P98="Nhập vào vụ khác","",IF(P98="CN đối thoại","",IF(P98="CN tại tòa","",IF(P98="BA",IF((S98-R98)&gt;7,"Quá hạn"&amp;" "&amp;(S98-R98-7)&amp;" "&amp;"ngày",""),IF((NETWORKDAYS(R98,S98,'Danh sách ngày nghỉ lễ'!$B$5:$B$25)-VLOOKUP(P98,'Thời hạn'!$D$17:$E$20,2,0))&gt;1,"Quá hạn"&amp;" "&amp;(NETWORKDAYS(R98,S98,'Danh sách ngày nghỉ lễ'!$B$5:$B$25)-1-VLOOKUP(P98,'Thời hạn'!$D$17:$E$20,2,0))&amp;" "&amp;"ngày","")))))))</f>
        <v/>
      </c>
      <c r="Z98" s="23">
        <v>1</v>
      </c>
    </row>
    <row r="99" spans="1:26" x14ac:dyDescent="0.3">
      <c r="A99" s="24">
        <v>1</v>
      </c>
      <c r="B99" s="39"/>
      <c r="C99" s="33"/>
      <c r="D99" s="25"/>
      <c r="E99" s="25"/>
      <c r="F99" s="34"/>
      <c r="G99" s="34"/>
      <c r="H99" s="25"/>
      <c r="I99" s="70" t="str">
        <f>IF(C99="Trả lại đơn","",IF(C99="Hòa giải thành","",IF(F99=0,"",EDATE(F99,VLOOKUP(C99,'Thời hạn'!$G$1:$H$12,2,0))+H99)))</f>
        <v/>
      </c>
      <c r="J99" s="59" t="str">
        <f t="shared" ca="1" si="1"/>
        <v/>
      </c>
      <c r="K99" s="25"/>
      <c r="L99" s="129"/>
      <c r="M99" s="130"/>
      <c r="N99" s="35"/>
      <c r="O99" s="34"/>
      <c r="P99" s="25"/>
      <c r="Q99" s="25"/>
      <c r="R99" s="34"/>
      <c r="S99" s="34"/>
      <c r="T99" s="137"/>
      <c r="U99" s="137"/>
      <c r="V99" s="36"/>
      <c r="W99" s="37"/>
      <c r="X99" s="71" t="str">
        <f>IF(C99="Trả lại đơn","",IF((NETWORKDAYS(F99,G99,'Danh sách ngày nghỉ lễ'!$B$5:$B$25)-1-3)&gt;0,"Quá hạn"&amp;" "&amp;(NETWORKDAYS(F99,G99,'Danh sách ngày nghỉ lễ'!$B$5:$B$25)-1-3)&amp;" "&amp;"ngày",""))</f>
        <v/>
      </c>
      <c r="Y99" s="72" t="str">
        <f>IF(S99=0,"",IF(P99="Chuyển","",IF(P99="Nhập vào vụ khác","",IF(P99="CN đối thoại","",IF(P99="CN tại tòa","",IF(P99="BA",IF((S99-R99)&gt;7,"Quá hạn"&amp;" "&amp;(S99-R99-7)&amp;" "&amp;"ngày",""),IF((NETWORKDAYS(R99,S99,'Danh sách ngày nghỉ lễ'!$B$5:$B$25)-VLOOKUP(P99,'Thời hạn'!$D$17:$E$20,2,0))&gt;1,"Quá hạn"&amp;" "&amp;(NETWORKDAYS(R99,S99,'Danh sách ngày nghỉ lễ'!$B$5:$B$25)-1-VLOOKUP(P99,'Thời hạn'!$D$17:$E$20,2,0))&amp;" "&amp;"ngày","")))))))</f>
        <v/>
      </c>
      <c r="Z99" s="23">
        <v>1</v>
      </c>
    </row>
    <row r="100" spans="1:26" x14ac:dyDescent="0.3">
      <c r="A100" s="24">
        <v>1</v>
      </c>
      <c r="B100" s="39"/>
      <c r="C100" s="33"/>
      <c r="D100" s="25"/>
      <c r="E100" s="25"/>
      <c r="F100" s="34"/>
      <c r="G100" s="34"/>
      <c r="H100" s="25"/>
      <c r="I100" s="70" t="str">
        <f>IF(C100="Trả lại đơn","",IF(C100="Hòa giải thành","",IF(F100=0,"",EDATE(F100,VLOOKUP(C100,'Thời hạn'!$G$1:$H$12,2,0))+H100)))</f>
        <v/>
      </c>
      <c r="J100" s="59" t="str">
        <f t="shared" ca="1" si="1"/>
        <v/>
      </c>
      <c r="K100" s="25"/>
      <c r="L100" s="129"/>
      <c r="M100" s="130"/>
      <c r="N100" s="35"/>
      <c r="O100" s="34"/>
      <c r="P100" s="25"/>
      <c r="Q100" s="25"/>
      <c r="R100" s="34"/>
      <c r="S100" s="34"/>
      <c r="T100" s="137"/>
      <c r="U100" s="137"/>
      <c r="V100" s="36"/>
      <c r="W100" s="37"/>
      <c r="X100" s="71" t="str">
        <f>IF(C100="Trả lại đơn","",IF((NETWORKDAYS(F100,G100,'Danh sách ngày nghỉ lễ'!$B$5:$B$25)-1-3)&gt;0,"Quá hạn"&amp;" "&amp;(NETWORKDAYS(F100,G100,'Danh sách ngày nghỉ lễ'!$B$5:$B$25)-1-3)&amp;" "&amp;"ngày",""))</f>
        <v/>
      </c>
      <c r="Y100" s="72" t="str">
        <f>IF(S100=0,"",IF(P100="Chuyển","",IF(P100="Nhập vào vụ khác","",IF(P100="CN đối thoại","",IF(P100="CN tại tòa","",IF(P100="BA",IF((S100-R100)&gt;7,"Quá hạn"&amp;" "&amp;(S100-R100-7)&amp;" "&amp;"ngày",""),IF((NETWORKDAYS(R100,S100,'Danh sách ngày nghỉ lễ'!$B$5:$B$25)-VLOOKUP(P100,'Thời hạn'!$D$17:$E$20,2,0))&gt;1,"Quá hạn"&amp;" "&amp;(NETWORKDAYS(R100,S100,'Danh sách ngày nghỉ lễ'!$B$5:$B$25)-1-VLOOKUP(P100,'Thời hạn'!$D$17:$E$20,2,0))&amp;" "&amp;"ngày","")))))))</f>
        <v/>
      </c>
      <c r="Z100" s="23">
        <v>1</v>
      </c>
    </row>
    <row r="101" spans="1:26" x14ac:dyDescent="0.3">
      <c r="A101" s="24">
        <v>1</v>
      </c>
      <c r="B101" s="39"/>
      <c r="C101" s="33"/>
      <c r="D101" s="25"/>
      <c r="E101" s="25"/>
      <c r="F101" s="34"/>
      <c r="G101" s="34"/>
      <c r="H101" s="25"/>
      <c r="I101" s="70" t="str">
        <f>IF(C101="Trả lại đơn","",IF(C101="Hòa giải thành","",IF(F101=0,"",EDATE(F101,VLOOKUP(C101,'Thời hạn'!$G$1:$H$12,2,0))+H101)))</f>
        <v/>
      </c>
      <c r="J101" s="59" t="str">
        <f t="shared" ca="1" si="1"/>
        <v/>
      </c>
      <c r="K101" s="25"/>
      <c r="L101" s="129"/>
      <c r="M101" s="130"/>
      <c r="N101" s="35"/>
      <c r="O101" s="34"/>
      <c r="P101" s="25"/>
      <c r="Q101" s="25"/>
      <c r="R101" s="34"/>
      <c r="S101" s="34"/>
      <c r="T101" s="137"/>
      <c r="U101" s="137"/>
      <c r="V101" s="36"/>
      <c r="W101" s="37"/>
      <c r="X101" s="71" t="str">
        <f>IF(C101="Trả lại đơn","",IF((NETWORKDAYS(F101,G101,'Danh sách ngày nghỉ lễ'!$B$5:$B$25)-1-3)&gt;0,"Quá hạn"&amp;" "&amp;(NETWORKDAYS(F101,G101,'Danh sách ngày nghỉ lễ'!$B$5:$B$25)-1-3)&amp;" "&amp;"ngày",""))</f>
        <v/>
      </c>
      <c r="Y101" s="72" t="str">
        <f>IF(S101=0,"",IF(P101="Chuyển","",IF(P101="Nhập vào vụ khác","",IF(P101="CN đối thoại","",IF(P101="CN tại tòa","",IF(P101="BA",IF((S101-R101)&gt;7,"Quá hạn"&amp;" "&amp;(S101-R101-7)&amp;" "&amp;"ngày",""),IF((NETWORKDAYS(R101,S101,'Danh sách ngày nghỉ lễ'!$B$5:$B$25)-VLOOKUP(P101,'Thời hạn'!$D$17:$E$20,2,0))&gt;1,"Quá hạn"&amp;" "&amp;(NETWORKDAYS(R101,S101,'Danh sách ngày nghỉ lễ'!$B$5:$B$25)-1-VLOOKUP(P101,'Thời hạn'!$D$17:$E$20,2,0))&amp;" "&amp;"ngày","")))))))</f>
        <v/>
      </c>
      <c r="Z101" s="23">
        <v>1</v>
      </c>
    </row>
    <row r="102" spans="1:26" x14ac:dyDescent="0.3">
      <c r="A102" s="24">
        <v>1</v>
      </c>
      <c r="B102" s="39"/>
      <c r="C102" s="33"/>
      <c r="D102" s="25"/>
      <c r="E102" s="25"/>
      <c r="F102" s="34"/>
      <c r="G102" s="34"/>
      <c r="H102" s="25"/>
      <c r="I102" s="70" t="str">
        <f>IF(C102="Trả lại đơn","",IF(C102="Hòa giải thành","",IF(F102=0,"",EDATE(F102,VLOOKUP(C102,'Thời hạn'!$G$1:$H$12,2,0))+H102)))</f>
        <v/>
      </c>
      <c r="J102" s="59" t="str">
        <f t="shared" ca="1" si="1"/>
        <v/>
      </c>
      <c r="K102" s="25"/>
      <c r="L102" s="129"/>
      <c r="M102" s="130"/>
      <c r="N102" s="35"/>
      <c r="O102" s="34"/>
      <c r="P102" s="25"/>
      <c r="Q102" s="25"/>
      <c r="R102" s="34"/>
      <c r="S102" s="34"/>
      <c r="T102" s="137"/>
      <c r="U102" s="137"/>
      <c r="V102" s="36"/>
      <c r="W102" s="37"/>
      <c r="X102" s="71" t="str">
        <f>IF(C102="Trả lại đơn","",IF((NETWORKDAYS(F102,G102,'Danh sách ngày nghỉ lễ'!$B$5:$B$25)-1-3)&gt;0,"Quá hạn"&amp;" "&amp;(NETWORKDAYS(F102,G102,'Danh sách ngày nghỉ lễ'!$B$5:$B$25)-1-3)&amp;" "&amp;"ngày",""))</f>
        <v/>
      </c>
      <c r="Y102" s="72" t="str">
        <f>IF(S102=0,"",IF(P102="Chuyển","",IF(P102="Nhập vào vụ khác","",IF(P102="CN đối thoại","",IF(P102="CN tại tòa","",IF(P102="BA",IF((S102-R102)&gt;7,"Quá hạn"&amp;" "&amp;(S102-R102-7)&amp;" "&amp;"ngày",""),IF((NETWORKDAYS(R102,S102,'Danh sách ngày nghỉ lễ'!$B$5:$B$25)-VLOOKUP(P102,'Thời hạn'!$D$17:$E$20,2,0))&gt;1,"Quá hạn"&amp;" "&amp;(NETWORKDAYS(R102,S102,'Danh sách ngày nghỉ lễ'!$B$5:$B$25)-1-VLOOKUP(P102,'Thời hạn'!$D$17:$E$20,2,0))&amp;" "&amp;"ngày","")))))))</f>
        <v/>
      </c>
      <c r="Z102" s="23">
        <v>1</v>
      </c>
    </row>
    <row r="103" spans="1:26" x14ac:dyDescent="0.3">
      <c r="A103" s="24">
        <v>1</v>
      </c>
      <c r="B103" s="39"/>
      <c r="C103" s="33"/>
      <c r="D103" s="25"/>
      <c r="E103" s="25"/>
      <c r="F103" s="34"/>
      <c r="G103" s="34"/>
      <c r="H103" s="25"/>
      <c r="I103" s="70" t="str">
        <f>IF(C103="Trả lại đơn","",IF(C103="Hòa giải thành","",IF(F103=0,"",EDATE(F103,VLOOKUP(C103,'Thời hạn'!$G$1:$H$12,2,0))+H103)))</f>
        <v/>
      </c>
      <c r="J103" s="59" t="str">
        <f t="shared" ca="1" si="1"/>
        <v/>
      </c>
      <c r="K103" s="25"/>
      <c r="L103" s="129"/>
      <c r="M103" s="130"/>
      <c r="N103" s="35"/>
      <c r="O103" s="34"/>
      <c r="P103" s="25"/>
      <c r="Q103" s="25"/>
      <c r="R103" s="34"/>
      <c r="S103" s="34"/>
      <c r="T103" s="137"/>
      <c r="U103" s="137"/>
      <c r="V103" s="36"/>
      <c r="W103" s="37"/>
      <c r="X103" s="71" t="str">
        <f>IF(C103="Trả lại đơn","",IF((NETWORKDAYS(F103,G103,'Danh sách ngày nghỉ lễ'!$B$5:$B$25)-1-3)&gt;0,"Quá hạn"&amp;" "&amp;(NETWORKDAYS(F103,G103,'Danh sách ngày nghỉ lễ'!$B$5:$B$25)-1-3)&amp;" "&amp;"ngày",""))</f>
        <v/>
      </c>
      <c r="Y103" s="72" t="str">
        <f>IF(S103=0,"",IF(P103="Chuyển","",IF(P103="Nhập vào vụ khác","",IF(P103="CN đối thoại","",IF(P103="CN tại tòa","",IF(P103="BA",IF((S103-R103)&gt;7,"Quá hạn"&amp;" "&amp;(S103-R103-7)&amp;" "&amp;"ngày",""),IF((NETWORKDAYS(R103,S103,'Danh sách ngày nghỉ lễ'!$B$5:$B$25)-VLOOKUP(P103,'Thời hạn'!$D$17:$E$20,2,0))&gt;1,"Quá hạn"&amp;" "&amp;(NETWORKDAYS(R103,S103,'Danh sách ngày nghỉ lễ'!$B$5:$B$25)-1-VLOOKUP(P103,'Thời hạn'!$D$17:$E$20,2,0))&amp;" "&amp;"ngày","")))))))</f>
        <v/>
      </c>
      <c r="Z103" s="23">
        <v>1</v>
      </c>
    </row>
    <row r="104" spans="1:26" x14ac:dyDescent="0.3">
      <c r="A104" s="24">
        <v>1</v>
      </c>
      <c r="B104" s="39"/>
      <c r="C104" s="33"/>
      <c r="D104" s="25"/>
      <c r="E104" s="25"/>
      <c r="F104" s="34"/>
      <c r="G104" s="34"/>
      <c r="H104" s="25"/>
      <c r="I104" s="70" t="str">
        <f>IF(C104="Trả lại đơn","",IF(C104="Hòa giải thành","",IF(F104=0,"",EDATE(F104,VLOOKUP(C104,'Thời hạn'!$G$1:$H$12,2,0))+H104)))</f>
        <v/>
      </c>
      <c r="J104" s="59" t="str">
        <f t="shared" ca="1" si="1"/>
        <v/>
      </c>
      <c r="K104" s="25"/>
      <c r="L104" s="129"/>
      <c r="M104" s="130"/>
      <c r="N104" s="35"/>
      <c r="O104" s="34"/>
      <c r="P104" s="25"/>
      <c r="Q104" s="25"/>
      <c r="R104" s="34"/>
      <c r="S104" s="34"/>
      <c r="T104" s="137"/>
      <c r="U104" s="137"/>
      <c r="V104" s="36"/>
      <c r="W104" s="37"/>
      <c r="X104" s="71" t="str">
        <f>IF(C104="Trả lại đơn","",IF((NETWORKDAYS(F104,G104,'Danh sách ngày nghỉ lễ'!$B$5:$B$25)-1-3)&gt;0,"Quá hạn"&amp;" "&amp;(NETWORKDAYS(F104,G104,'Danh sách ngày nghỉ lễ'!$B$5:$B$25)-1-3)&amp;" "&amp;"ngày",""))</f>
        <v/>
      </c>
      <c r="Y104" s="72" t="str">
        <f>IF(S104=0,"",IF(P104="Chuyển","",IF(P104="Nhập vào vụ khác","",IF(P104="CN đối thoại","",IF(P104="CN tại tòa","",IF(P104="BA",IF((S104-R104)&gt;7,"Quá hạn"&amp;" "&amp;(S104-R104-7)&amp;" "&amp;"ngày",""),IF((NETWORKDAYS(R104,S104,'Danh sách ngày nghỉ lễ'!$B$5:$B$25)-VLOOKUP(P104,'Thời hạn'!$D$17:$E$20,2,0))&gt;1,"Quá hạn"&amp;" "&amp;(NETWORKDAYS(R104,S104,'Danh sách ngày nghỉ lễ'!$B$5:$B$25)-1-VLOOKUP(P104,'Thời hạn'!$D$17:$E$20,2,0))&amp;" "&amp;"ngày","")))))))</f>
        <v/>
      </c>
      <c r="Z104" s="23">
        <v>1</v>
      </c>
    </row>
    <row r="105" spans="1:26" x14ac:dyDescent="0.3">
      <c r="A105" s="24">
        <v>1</v>
      </c>
      <c r="B105" s="39"/>
      <c r="C105" s="33"/>
      <c r="D105" s="25"/>
      <c r="E105" s="25"/>
      <c r="F105" s="34"/>
      <c r="G105" s="34"/>
      <c r="H105" s="25"/>
      <c r="I105" s="70" t="str">
        <f>IF(C105="Trả lại đơn","",IF(C105="Hòa giải thành","",IF(F105=0,"",EDATE(F105,VLOOKUP(C105,'Thời hạn'!$G$1:$H$12,2,0))+H105)))</f>
        <v/>
      </c>
      <c r="J105" s="59" t="str">
        <f t="shared" ca="1" si="1"/>
        <v/>
      </c>
      <c r="K105" s="25"/>
      <c r="L105" s="129"/>
      <c r="M105" s="130"/>
      <c r="N105" s="35"/>
      <c r="O105" s="34"/>
      <c r="P105" s="25"/>
      <c r="Q105" s="25"/>
      <c r="R105" s="34"/>
      <c r="S105" s="34"/>
      <c r="T105" s="137"/>
      <c r="U105" s="137"/>
      <c r="V105" s="36"/>
      <c r="W105" s="37"/>
      <c r="X105" s="71" t="str">
        <f>IF(C105="Trả lại đơn","",IF((NETWORKDAYS(F105,G105,'Danh sách ngày nghỉ lễ'!$B$5:$B$25)-1-3)&gt;0,"Quá hạn"&amp;" "&amp;(NETWORKDAYS(F105,G105,'Danh sách ngày nghỉ lễ'!$B$5:$B$25)-1-3)&amp;" "&amp;"ngày",""))</f>
        <v/>
      </c>
      <c r="Y105" s="72" t="str">
        <f>IF(S105=0,"",IF(P105="Chuyển","",IF(P105="Nhập vào vụ khác","",IF(P105="CN đối thoại","",IF(P105="CN tại tòa","",IF(P105="BA",IF((S105-R105)&gt;7,"Quá hạn"&amp;" "&amp;(S105-R105-7)&amp;" "&amp;"ngày",""),IF((NETWORKDAYS(R105,S105,'Danh sách ngày nghỉ lễ'!$B$5:$B$25)-VLOOKUP(P105,'Thời hạn'!$D$17:$E$20,2,0))&gt;1,"Quá hạn"&amp;" "&amp;(NETWORKDAYS(R105,S105,'Danh sách ngày nghỉ lễ'!$B$5:$B$25)-1-VLOOKUP(P105,'Thời hạn'!$D$17:$E$20,2,0))&amp;" "&amp;"ngày","")))))))</f>
        <v/>
      </c>
      <c r="Z105" s="23">
        <v>1</v>
      </c>
    </row>
    <row r="106" spans="1:26" x14ac:dyDescent="0.3">
      <c r="A106" s="24">
        <v>1</v>
      </c>
      <c r="B106" s="39"/>
      <c r="C106" s="33"/>
      <c r="D106" s="25"/>
      <c r="E106" s="25"/>
      <c r="F106" s="34"/>
      <c r="G106" s="34"/>
      <c r="H106" s="25"/>
      <c r="I106" s="70" t="str">
        <f>IF(C106="Trả lại đơn","",IF(C106="Hòa giải thành","",IF(F106=0,"",EDATE(F106,VLOOKUP(C106,'Thời hạn'!$G$1:$H$12,2,0))+H106)))</f>
        <v/>
      </c>
      <c r="J106" s="59" t="str">
        <f t="shared" ca="1" si="1"/>
        <v/>
      </c>
      <c r="K106" s="25"/>
      <c r="L106" s="129"/>
      <c r="M106" s="130"/>
      <c r="N106" s="35"/>
      <c r="O106" s="34"/>
      <c r="P106" s="25"/>
      <c r="Q106" s="25"/>
      <c r="R106" s="34"/>
      <c r="S106" s="34"/>
      <c r="T106" s="137"/>
      <c r="U106" s="137"/>
      <c r="V106" s="36"/>
      <c r="W106" s="37"/>
      <c r="X106" s="71" t="str">
        <f>IF(C106="Trả lại đơn","",IF((NETWORKDAYS(F106,G106,'Danh sách ngày nghỉ lễ'!$B$5:$B$25)-1-3)&gt;0,"Quá hạn"&amp;" "&amp;(NETWORKDAYS(F106,G106,'Danh sách ngày nghỉ lễ'!$B$5:$B$25)-1-3)&amp;" "&amp;"ngày",""))</f>
        <v/>
      </c>
      <c r="Y106" s="72" t="str">
        <f>IF(S106=0,"",IF(P106="Chuyển","",IF(P106="Nhập vào vụ khác","",IF(P106="CN đối thoại","",IF(P106="CN tại tòa","",IF(P106="BA",IF((S106-R106)&gt;7,"Quá hạn"&amp;" "&amp;(S106-R106-7)&amp;" "&amp;"ngày",""),IF((NETWORKDAYS(R106,S106,'Danh sách ngày nghỉ lễ'!$B$5:$B$25)-VLOOKUP(P106,'Thời hạn'!$D$17:$E$20,2,0))&gt;1,"Quá hạn"&amp;" "&amp;(NETWORKDAYS(R106,S106,'Danh sách ngày nghỉ lễ'!$B$5:$B$25)-1-VLOOKUP(P106,'Thời hạn'!$D$17:$E$20,2,0))&amp;" "&amp;"ngày","")))))))</f>
        <v/>
      </c>
      <c r="Z106" s="23">
        <v>1</v>
      </c>
    </row>
    <row r="107" spans="1:26" x14ac:dyDescent="0.3">
      <c r="A107" s="24">
        <v>1</v>
      </c>
      <c r="B107" s="39"/>
      <c r="C107" s="33"/>
      <c r="D107" s="25"/>
      <c r="E107" s="25"/>
      <c r="F107" s="34"/>
      <c r="G107" s="34"/>
      <c r="H107" s="25"/>
      <c r="I107" s="70" t="str">
        <f>IF(C107="Trả lại đơn","",IF(C107="Hòa giải thành","",IF(F107=0,"",EDATE(F107,VLOOKUP(C107,'Thời hạn'!$G$1:$H$12,2,0))+H107)))</f>
        <v/>
      </c>
      <c r="J107" s="59" t="str">
        <f t="shared" ca="1" si="1"/>
        <v/>
      </c>
      <c r="K107" s="25"/>
      <c r="L107" s="129"/>
      <c r="M107" s="130"/>
      <c r="N107" s="35"/>
      <c r="O107" s="34"/>
      <c r="P107" s="25"/>
      <c r="Q107" s="25"/>
      <c r="R107" s="34"/>
      <c r="S107" s="34"/>
      <c r="T107" s="137"/>
      <c r="U107" s="137"/>
      <c r="V107" s="36"/>
      <c r="W107" s="37"/>
      <c r="X107" s="71" t="str">
        <f>IF(C107="Trả lại đơn","",IF((NETWORKDAYS(F107,G107,'Danh sách ngày nghỉ lễ'!$B$5:$B$25)-1-3)&gt;0,"Quá hạn"&amp;" "&amp;(NETWORKDAYS(F107,G107,'Danh sách ngày nghỉ lễ'!$B$5:$B$25)-1-3)&amp;" "&amp;"ngày",""))</f>
        <v/>
      </c>
      <c r="Y107" s="72" t="str">
        <f>IF(S107=0,"",IF(P107="Chuyển","",IF(P107="Nhập vào vụ khác","",IF(P107="CN đối thoại","",IF(P107="CN tại tòa","",IF(P107="BA",IF((S107-R107)&gt;7,"Quá hạn"&amp;" "&amp;(S107-R107-7)&amp;" "&amp;"ngày",""),IF((NETWORKDAYS(R107,S107,'Danh sách ngày nghỉ lễ'!$B$5:$B$25)-VLOOKUP(P107,'Thời hạn'!$D$17:$E$20,2,0))&gt;1,"Quá hạn"&amp;" "&amp;(NETWORKDAYS(R107,S107,'Danh sách ngày nghỉ lễ'!$B$5:$B$25)-1-VLOOKUP(P107,'Thời hạn'!$D$17:$E$20,2,0))&amp;" "&amp;"ngày","")))))))</f>
        <v/>
      </c>
      <c r="Z107" s="23">
        <v>1</v>
      </c>
    </row>
    <row r="108" spans="1:26" x14ac:dyDescent="0.3">
      <c r="A108" s="24">
        <v>1</v>
      </c>
      <c r="B108" s="39"/>
      <c r="C108" s="33"/>
      <c r="D108" s="25"/>
      <c r="E108" s="25"/>
      <c r="F108" s="34"/>
      <c r="G108" s="34"/>
      <c r="H108" s="25"/>
      <c r="I108" s="70" t="str">
        <f>IF(C108="Trả lại đơn","",IF(C108="Hòa giải thành","",IF(F108=0,"",EDATE(F108,VLOOKUP(C108,'Thời hạn'!$G$1:$H$12,2,0))+H108)))</f>
        <v/>
      </c>
      <c r="J108" s="59" t="str">
        <f t="shared" ca="1" si="1"/>
        <v/>
      </c>
      <c r="K108" s="25"/>
      <c r="L108" s="129"/>
      <c r="M108" s="130"/>
      <c r="N108" s="35"/>
      <c r="O108" s="34"/>
      <c r="P108" s="25"/>
      <c r="Q108" s="25"/>
      <c r="R108" s="34"/>
      <c r="S108" s="34"/>
      <c r="T108" s="137"/>
      <c r="U108" s="137"/>
      <c r="V108" s="36"/>
      <c r="W108" s="37"/>
      <c r="X108" s="71" t="str">
        <f>IF(C108="Trả lại đơn","",IF((NETWORKDAYS(F108,G108,'Danh sách ngày nghỉ lễ'!$B$5:$B$25)-1-3)&gt;0,"Quá hạn"&amp;" "&amp;(NETWORKDAYS(F108,G108,'Danh sách ngày nghỉ lễ'!$B$5:$B$25)-1-3)&amp;" "&amp;"ngày",""))</f>
        <v/>
      </c>
      <c r="Y108" s="72" t="str">
        <f>IF(S108=0,"",IF(P108="Chuyển","",IF(P108="Nhập vào vụ khác","",IF(P108="CN đối thoại","",IF(P108="CN tại tòa","",IF(P108="BA",IF((S108-R108)&gt;7,"Quá hạn"&amp;" "&amp;(S108-R108-7)&amp;" "&amp;"ngày",""),IF((NETWORKDAYS(R108,S108,'Danh sách ngày nghỉ lễ'!$B$5:$B$25)-VLOOKUP(P108,'Thời hạn'!$D$17:$E$20,2,0))&gt;1,"Quá hạn"&amp;" "&amp;(NETWORKDAYS(R108,S108,'Danh sách ngày nghỉ lễ'!$B$5:$B$25)-1-VLOOKUP(P108,'Thời hạn'!$D$17:$E$20,2,0))&amp;" "&amp;"ngày","")))))))</f>
        <v/>
      </c>
      <c r="Z108" s="23">
        <v>1</v>
      </c>
    </row>
    <row r="109" spans="1:26" x14ac:dyDescent="0.3">
      <c r="A109" s="24">
        <v>1</v>
      </c>
      <c r="B109" s="39"/>
      <c r="C109" s="33"/>
      <c r="D109" s="25"/>
      <c r="E109" s="25"/>
      <c r="F109" s="34"/>
      <c r="G109" s="34"/>
      <c r="H109" s="25"/>
      <c r="I109" s="70" t="str">
        <f>IF(C109="Trả lại đơn","",IF(C109="Hòa giải thành","",IF(F109=0,"",EDATE(F109,VLOOKUP(C109,'Thời hạn'!$G$1:$H$12,2,0))+H109)))</f>
        <v/>
      </c>
      <c r="J109" s="59" t="str">
        <f t="shared" ca="1" si="1"/>
        <v/>
      </c>
      <c r="K109" s="25"/>
      <c r="L109" s="129"/>
      <c r="M109" s="130"/>
      <c r="N109" s="35"/>
      <c r="O109" s="34"/>
      <c r="P109" s="25"/>
      <c r="Q109" s="25"/>
      <c r="R109" s="34"/>
      <c r="S109" s="34"/>
      <c r="T109" s="137"/>
      <c r="U109" s="137"/>
      <c r="V109" s="36"/>
      <c r="W109" s="37"/>
      <c r="X109" s="71" t="str">
        <f>IF(C109="Trả lại đơn","",IF((NETWORKDAYS(F109,G109,'Danh sách ngày nghỉ lễ'!$B$5:$B$25)-1-3)&gt;0,"Quá hạn"&amp;" "&amp;(NETWORKDAYS(F109,G109,'Danh sách ngày nghỉ lễ'!$B$5:$B$25)-1-3)&amp;" "&amp;"ngày",""))</f>
        <v/>
      </c>
      <c r="Y109" s="72" t="str">
        <f>IF(S109=0,"",IF(P109="Chuyển","",IF(P109="Nhập vào vụ khác","",IF(P109="CN đối thoại","",IF(P109="CN tại tòa","",IF(P109="BA",IF((S109-R109)&gt;7,"Quá hạn"&amp;" "&amp;(S109-R109-7)&amp;" "&amp;"ngày",""),IF((NETWORKDAYS(R109,S109,'Danh sách ngày nghỉ lễ'!$B$5:$B$25)-VLOOKUP(P109,'Thời hạn'!$D$17:$E$20,2,0))&gt;1,"Quá hạn"&amp;" "&amp;(NETWORKDAYS(R109,S109,'Danh sách ngày nghỉ lễ'!$B$5:$B$25)-1-VLOOKUP(P109,'Thời hạn'!$D$17:$E$20,2,0))&amp;" "&amp;"ngày","")))))))</f>
        <v/>
      </c>
      <c r="Z109" s="23">
        <v>1</v>
      </c>
    </row>
    <row r="110" spans="1:26" x14ac:dyDescent="0.3">
      <c r="A110" s="24">
        <v>1</v>
      </c>
      <c r="B110" s="39"/>
      <c r="C110" s="33"/>
      <c r="D110" s="25"/>
      <c r="E110" s="25"/>
      <c r="F110" s="34"/>
      <c r="G110" s="34"/>
      <c r="H110" s="25"/>
      <c r="I110" s="70" t="str">
        <f>IF(C110="Trả lại đơn","",IF(C110="Hòa giải thành","",IF(F110=0,"",EDATE(F110,VLOOKUP(C110,'Thời hạn'!$G$1:$H$12,2,0))+H110)))</f>
        <v/>
      </c>
      <c r="J110" s="59" t="str">
        <f t="shared" ca="1" si="1"/>
        <v/>
      </c>
      <c r="K110" s="25"/>
      <c r="L110" s="129"/>
      <c r="M110" s="130"/>
      <c r="N110" s="35"/>
      <c r="O110" s="34"/>
      <c r="P110" s="25"/>
      <c r="Q110" s="25"/>
      <c r="R110" s="34"/>
      <c r="S110" s="34"/>
      <c r="T110" s="137"/>
      <c r="U110" s="137"/>
      <c r="V110" s="36"/>
      <c r="W110" s="37"/>
      <c r="X110" s="71" t="str">
        <f>IF(C110="Trả lại đơn","",IF((NETWORKDAYS(F110,G110,'Danh sách ngày nghỉ lễ'!$B$5:$B$25)-1-3)&gt;0,"Quá hạn"&amp;" "&amp;(NETWORKDAYS(F110,G110,'Danh sách ngày nghỉ lễ'!$B$5:$B$25)-1-3)&amp;" "&amp;"ngày",""))</f>
        <v/>
      </c>
      <c r="Y110" s="72" t="str">
        <f>IF(S110=0,"",IF(P110="Chuyển","",IF(P110="Nhập vào vụ khác","",IF(P110="CN đối thoại","",IF(P110="CN tại tòa","",IF(P110="BA",IF((S110-R110)&gt;7,"Quá hạn"&amp;" "&amp;(S110-R110-7)&amp;" "&amp;"ngày",""),IF((NETWORKDAYS(R110,S110,'Danh sách ngày nghỉ lễ'!$B$5:$B$25)-VLOOKUP(P110,'Thời hạn'!$D$17:$E$20,2,0))&gt;1,"Quá hạn"&amp;" "&amp;(NETWORKDAYS(R110,S110,'Danh sách ngày nghỉ lễ'!$B$5:$B$25)-1-VLOOKUP(P110,'Thời hạn'!$D$17:$E$20,2,0))&amp;" "&amp;"ngày","")))))))</f>
        <v/>
      </c>
      <c r="Z110" s="23">
        <v>1</v>
      </c>
    </row>
    <row r="111" spans="1:26" x14ac:dyDescent="0.3">
      <c r="A111" s="24">
        <v>1</v>
      </c>
      <c r="B111" s="39"/>
      <c r="C111" s="33"/>
      <c r="D111" s="25"/>
      <c r="E111" s="25"/>
      <c r="F111" s="34"/>
      <c r="G111" s="34"/>
      <c r="H111" s="25"/>
      <c r="I111" s="70" t="str">
        <f>IF(C111="Trả lại đơn","",IF(C111="Hòa giải thành","",IF(F111=0,"",EDATE(F111,VLOOKUP(C111,'Thời hạn'!$G$1:$H$12,2,0))+H111)))</f>
        <v/>
      </c>
      <c r="J111" s="59" t="str">
        <f t="shared" ca="1" si="1"/>
        <v/>
      </c>
      <c r="K111" s="25"/>
      <c r="L111" s="129"/>
      <c r="M111" s="130"/>
      <c r="N111" s="35"/>
      <c r="O111" s="34"/>
      <c r="P111" s="25"/>
      <c r="Q111" s="25"/>
      <c r="R111" s="34"/>
      <c r="S111" s="34"/>
      <c r="T111" s="137"/>
      <c r="U111" s="137"/>
      <c r="V111" s="36"/>
      <c r="W111" s="37"/>
      <c r="X111" s="71" t="str">
        <f>IF(C111="Trả lại đơn","",IF((NETWORKDAYS(F111,G111,'Danh sách ngày nghỉ lễ'!$B$5:$B$25)-1-3)&gt;0,"Quá hạn"&amp;" "&amp;(NETWORKDAYS(F111,G111,'Danh sách ngày nghỉ lễ'!$B$5:$B$25)-1-3)&amp;" "&amp;"ngày",""))</f>
        <v/>
      </c>
      <c r="Y111" s="72" t="str">
        <f>IF(S111=0,"",IF(P111="Chuyển","",IF(P111="Nhập vào vụ khác","",IF(P111="CN đối thoại","",IF(P111="CN tại tòa","",IF(P111="BA",IF((S111-R111)&gt;7,"Quá hạn"&amp;" "&amp;(S111-R111-7)&amp;" "&amp;"ngày",""),IF((NETWORKDAYS(R111,S111,'Danh sách ngày nghỉ lễ'!$B$5:$B$25)-VLOOKUP(P111,'Thời hạn'!$D$17:$E$20,2,0))&gt;1,"Quá hạn"&amp;" "&amp;(NETWORKDAYS(R111,S111,'Danh sách ngày nghỉ lễ'!$B$5:$B$25)-1-VLOOKUP(P111,'Thời hạn'!$D$17:$E$20,2,0))&amp;" "&amp;"ngày","")))))))</f>
        <v/>
      </c>
      <c r="Z111" s="23">
        <v>1</v>
      </c>
    </row>
    <row r="112" spans="1:26" x14ac:dyDescent="0.3">
      <c r="A112" s="24">
        <v>1</v>
      </c>
      <c r="B112" s="39"/>
      <c r="C112" s="33"/>
      <c r="D112" s="25"/>
      <c r="E112" s="25"/>
      <c r="F112" s="34"/>
      <c r="G112" s="34"/>
      <c r="H112" s="25"/>
      <c r="I112" s="70" t="str">
        <f>IF(C112="Trả lại đơn","",IF(C112="Hòa giải thành","",IF(F112=0,"",EDATE(F112,VLOOKUP(C112,'Thời hạn'!$G$1:$H$12,2,0))+H112)))</f>
        <v/>
      </c>
      <c r="J112" s="59" t="str">
        <f t="shared" ca="1" si="1"/>
        <v/>
      </c>
      <c r="K112" s="25"/>
      <c r="L112" s="129"/>
      <c r="M112" s="130"/>
      <c r="N112" s="35"/>
      <c r="O112" s="34"/>
      <c r="P112" s="25"/>
      <c r="Q112" s="25"/>
      <c r="R112" s="34"/>
      <c r="S112" s="34"/>
      <c r="T112" s="137"/>
      <c r="U112" s="137"/>
      <c r="V112" s="36"/>
      <c r="W112" s="37"/>
      <c r="X112" s="71" t="str">
        <f>IF(C112="Trả lại đơn","",IF((NETWORKDAYS(F112,G112,'Danh sách ngày nghỉ lễ'!$B$5:$B$25)-1-3)&gt;0,"Quá hạn"&amp;" "&amp;(NETWORKDAYS(F112,G112,'Danh sách ngày nghỉ lễ'!$B$5:$B$25)-1-3)&amp;" "&amp;"ngày",""))</f>
        <v/>
      </c>
      <c r="Y112" s="72" t="str">
        <f>IF(S112=0,"",IF(P112="Chuyển","",IF(P112="Nhập vào vụ khác","",IF(P112="CN đối thoại","",IF(P112="CN tại tòa","",IF(P112="BA",IF((S112-R112)&gt;7,"Quá hạn"&amp;" "&amp;(S112-R112-7)&amp;" "&amp;"ngày",""),IF((NETWORKDAYS(R112,S112,'Danh sách ngày nghỉ lễ'!$B$5:$B$25)-VLOOKUP(P112,'Thời hạn'!$D$17:$E$20,2,0))&gt;1,"Quá hạn"&amp;" "&amp;(NETWORKDAYS(R112,S112,'Danh sách ngày nghỉ lễ'!$B$5:$B$25)-1-VLOOKUP(P112,'Thời hạn'!$D$17:$E$20,2,0))&amp;" "&amp;"ngày","")))))))</f>
        <v/>
      </c>
      <c r="Z112" s="23">
        <v>1</v>
      </c>
    </row>
    <row r="113" spans="1:26" x14ac:dyDescent="0.3">
      <c r="A113" s="24">
        <v>1</v>
      </c>
      <c r="B113" s="39"/>
      <c r="C113" s="33"/>
      <c r="D113" s="25"/>
      <c r="E113" s="25"/>
      <c r="F113" s="34"/>
      <c r="G113" s="34"/>
      <c r="H113" s="25"/>
      <c r="I113" s="70" t="str">
        <f>IF(C113="Trả lại đơn","",IF(C113="Hòa giải thành","",IF(F113=0,"",EDATE(F113,VLOOKUP(C113,'Thời hạn'!$G$1:$H$12,2,0))+H113)))</f>
        <v/>
      </c>
      <c r="J113" s="59" t="str">
        <f t="shared" ca="1" si="1"/>
        <v/>
      </c>
      <c r="K113" s="25"/>
      <c r="L113" s="129"/>
      <c r="M113" s="130"/>
      <c r="N113" s="35"/>
      <c r="O113" s="34"/>
      <c r="P113" s="25"/>
      <c r="Q113" s="25"/>
      <c r="R113" s="34"/>
      <c r="S113" s="34"/>
      <c r="T113" s="137"/>
      <c r="U113" s="137"/>
      <c r="V113" s="36"/>
      <c r="W113" s="37"/>
      <c r="X113" s="71" t="str">
        <f>IF(C113="Trả lại đơn","",IF((NETWORKDAYS(F113,G113,'Danh sách ngày nghỉ lễ'!$B$5:$B$25)-1-3)&gt;0,"Quá hạn"&amp;" "&amp;(NETWORKDAYS(F113,G113,'Danh sách ngày nghỉ lễ'!$B$5:$B$25)-1-3)&amp;" "&amp;"ngày",""))</f>
        <v/>
      </c>
      <c r="Y113" s="72" t="str">
        <f>IF(S113=0,"",IF(P113="Chuyển","",IF(P113="Nhập vào vụ khác","",IF(P113="CN đối thoại","",IF(P113="CN tại tòa","",IF(P113="BA",IF((S113-R113)&gt;7,"Quá hạn"&amp;" "&amp;(S113-R113-7)&amp;" "&amp;"ngày",""),IF((NETWORKDAYS(R113,S113,'Danh sách ngày nghỉ lễ'!$B$5:$B$25)-VLOOKUP(P113,'Thời hạn'!$D$17:$E$20,2,0))&gt;1,"Quá hạn"&amp;" "&amp;(NETWORKDAYS(R113,S113,'Danh sách ngày nghỉ lễ'!$B$5:$B$25)-1-VLOOKUP(P113,'Thời hạn'!$D$17:$E$20,2,0))&amp;" "&amp;"ngày","")))))))</f>
        <v/>
      </c>
      <c r="Z113" s="23">
        <v>1</v>
      </c>
    </row>
    <row r="114" spans="1:26" x14ac:dyDescent="0.3">
      <c r="A114" s="24">
        <v>1</v>
      </c>
      <c r="B114" s="39"/>
      <c r="C114" s="33"/>
      <c r="D114" s="25"/>
      <c r="E114" s="25"/>
      <c r="F114" s="34"/>
      <c r="G114" s="34"/>
      <c r="H114" s="25"/>
      <c r="I114" s="70" t="str">
        <f>IF(C114="Trả lại đơn","",IF(C114="Hòa giải thành","",IF(F114=0,"",EDATE(F114,VLOOKUP(C114,'Thời hạn'!$G$1:$H$12,2,0))+H114)))</f>
        <v/>
      </c>
      <c r="J114" s="59" t="str">
        <f t="shared" ca="1" si="1"/>
        <v/>
      </c>
      <c r="K114" s="25"/>
      <c r="L114" s="129"/>
      <c r="M114" s="130"/>
      <c r="N114" s="35"/>
      <c r="O114" s="34"/>
      <c r="P114" s="25"/>
      <c r="Q114" s="25"/>
      <c r="R114" s="34"/>
      <c r="S114" s="34"/>
      <c r="T114" s="137"/>
      <c r="U114" s="137"/>
      <c r="V114" s="36"/>
      <c r="W114" s="37"/>
      <c r="X114" s="71" t="str">
        <f>IF(C114="Trả lại đơn","",IF((NETWORKDAYS(F114,G114,'Danh sách ngày nghỉ lễ'!$B$5:$B$25)-1-3)&gt;0,"Quá hạn"&amp;" "&amp;(NETWORKDAYS(F114,G114,'Danh sách ngày nghỉ lễ'!$B$5:$B$25)-1-3)&amp;" "&amp;"ngày",""))</f>
        <v/>
      </c>
      <c r="Y114" s="72" t="str">
        <f>IF(S114=0,"",IF(P114="Chuyển","",IF(P114="Nhập vào vụ khác","",IF(P114="CN đối thoại","",IF(P114="CN tại tòa","",IF(P114="BA",IF((S114-R114)&gt;7,"Quá hạn"&amp;" "&amp;(S114-R114-7)&amp;" "&amp;"ngày",""),IF((NETWORKDAYS(R114,S114,'Danh sách ngày nghỉ lễ'!$B$5:$B$25)-VLOOKUP(P114,'Thời hạn'!$D$17:$E$20,2,0))&gt;1,"Quá hạn"&amp;" "&amp;(NETWORKDAYS(R114,S114,'Danh sách ngày nghỉ lễ'!$B$5:$B$25)-1-VLOOKUP(P114,'Thời hạn'!$D$17:$E$20,2,0))&amp;" "&amp;"ngày","")))))))</f>
        <v/>
      </c>
      <c r="Z114" s="23">
        <v>1</v>
      </c>
    </row>
    <row r="115" spans="1:26" x14ac:dyDescent="0.3">
      <c r="A115" s="24">
        <v>1</v>
      </c>
      <c r="B115" s="39"/>
      <c r="C115" s="33"/>
      <c r="D115" s="25"/>
      <c r="E115" s="25"/>
      <c r="F115" s="34"/>
      <c r="G115" s="34"/>
      <c r="H115" s="25"/>
      <c r="I115" s="70" t="str">
        <f>IF(C115="Trả lại đơn","",IF(C115="Hòa giải thành","",IF(F115=0,"",EDATE(F115,VLOOKUP(C115,'Thời hạn'!$G$1:$H$12,2,0))+H115)))</f>
        <v/>
      </c>
      <c r="J115" s="59" t="str">
        <f t="shared" ca="1" si="1"/>
        <v/>
      </c>
      <c r="K115" s="25"/>
      <c r="L115" s="129"/>
      <c r="M115" s="130"/>
      <c r="N115" s="35"/>
      <c r="O115" s="34"/>
      <c r="P115" s="25"/>
      <c r="Q115" s="25"/>
      <c r="R115" s="34"/>
      <c r="S115" s="34"/>
      <c r="T115" s="137"/>
      <c r="U115" s="137"/>
      <c r="V115" s="36"/>
      <c r="W115" s="37"/>
      <c r="X115" s="71" t="str">
        <f>IF(C115="Trả lại đơn","",IF((NETWORKDAYS(F115,G115,'Danh sách ngày nghỉ lễ'!$B$5:$B$25)-1-3)&gt;0,"Quá hạn"&amp;" "&amp;(NETWORKDAYS(F115,G115,'Danh sách ngày nghỉ lễ'!$B$5:$B$25)-1-3)&amp;" "&amp;"ngày",""))</f>
        <v/>
      </c>
      <c r="Y115" s="72" t="str">
        <f>IF(S115=0,"",IF(P115="Chuyển","",IF(P115="Nhập vào vụ khác","",IF(P115="CN đối thoại","",IF(P115="CN tại tòa","",IF(P115="BA",IF((S115-R115)&gt;7,"Quá hạn"&amp;" "&amp;(S115-R115-7)&amp;" "&amp;"ngày",""),IF((NETWORKDAYS(R115,S115,'Danh sách ngày nghỉ lễ'!$B$5:$B$25)-VLOOKUP(P115,'Thời hạn'!$D$17:$E$20,2,0))&gt;1,"Quá hạn"&amp;" "&amp;(NETWORKDAYS(R115,S115,'Danh sách ngày nghỉ lễ'!$B$5:$B$25)-1-VLOOKUP(P115,'Thời hạn'!$D$17:$E$20,2,0))&amp;" "&amp;"ngày","")))))))</f>
        <v/>
      </c>
      <c r="Z115" s="23">
        <v>1</v>
      </c>
    </row>
    <row r="116" spans="1:26" x14ac:dyDescent="0.3">
      <c r="A116" s="24">
        <v>1</v>
      </c>
      <c r="B116" s="39"/>
      <c r="C116" s="33"/>
      <c r="D116" s="25"/>
      <c r="E116" s="25"/>
      <c r="F116" s="34"/>
      <c r="G116" s="34"/>
      <c r="H116" s="25"/>
      <c r="I116" s="70" t="str">
        <f>IF(C116="Trả lại đơn","",IF(C116="Hòa giải thành","",IF(F116=0,"",EDATE(F116,VLOOKUP(C116,'Thời hạn'!$G$1:$H$12,2,0))+H116)))</f>
        <v/>
      </c>
      <c r="J116" s="59" t="str">
        <f t="shared" ca="1" si="1"/>
        <v/>
      </c>
      <c r="K116" s="25"/>
      <c r="L116" s="129"/>
      <c r="M116" s="130"/>
      <c r="N116" s="35"/>
      <c r="O116" s="34"/>
      <c r="P116" s="25"/>
      <c r="Q116" s="25"/>
      <c r="R116" s="34"/>
      <c r="S116" s="34"/>
      <c r="T116" s="137"/>
      <c r="U116" s="137"/>
      <c r="V116" s="36"/>
      <c r="W116" s="37"/>
      <c r="X116" s="71" t="str">
        <f>IF(C116="Trả lại đơn","",IF((NETWORKDAYS(F116,G116,'Danh sách ngày nghỉ lễ'!$B$5:$B$25)-1-3)&gt;0,"Quá hạn"&amp;" "&amp;(NETWORKDAYS(F116,G116,'Danh sách ngày nghỉ lễ'!$B$5:$B$25)-1-3)&amp;" "&amp;"ngày",""))</f>
        <v/>
      </c>
      <c r="Y116" s="72" t="str">
        <f>IF(S116=0,"",IF(P116="Chuyển","",IF(P116="Nhập vào vụ khác","",IF(P116="CN đối thoại","",IF(P116="CN tại tòa","",IF(P116="BA",IF((S116-R116)&gt;7,"Quá hạn"&amp;" "&amp;(S116-R116-7)&amp;" "&amp;"ngày",""),IF((NETWORKDAYS(R116,S116,'Danh sách ngày nghỉ lễ'!$B$5:$B$25)-VLOOKUP(P116,'Thời hạn'!$D$17:$E$20,2,0))&gt;1,"Quá hạn"&amp;" "&amp;(NETWORKDAYS(R116,S116,'Danh sách ngày nghỉ lễ'!$B$5:$B$25)-1-VLOOKUP(P116,'Thời hạn'!$D$17:$E$20,2,0))&amp;" "&amp;"ngày","")))))))</f>
        <v/>
      </c>
      <c r="Z116" s="23">
        <v>1</v>
      </c>
    </row>
    <row r="117" spans="1:26" x14ac:dyDescent="0.3">
      <c r="A117" s="24">
        <v>1</v>
      </c>
      <c r="B117" s="39"/>
      <c r="C117" s="33"/>
      <c r="D117" s="25"/>
      <c r="E117" s="25"/>
      <c r="F117" s="34"/>
      <c r="G117" s="34"/>
      <c r="H117" s="25"/>
      <c r="I117" s="70" t="str">
        <f>IF(C117="Trả lại đơn","",IF(C117="Hòa giải thành","",IF(F117=0,"",EDATE(F117,VLOOKUP(C117,'Thời hạn'!$G$1:$H$12,2,0))+H117)))</f>
        <v/>
      </c>
      <c r="J117" s="59" t="str">
        <f t="shared" ca="1" si="1"/>
        <v/>
      </c>
      <c r="K117" s="25"/>
      <c r="L117" s="129"/>
      <c r="M117" s="130"/>
      <c r="N117" s="35"/>
      <c r="O117" s="34"/>
      <c r="P117" s="25"/>
      <c r="Q117" s="25"/>
      <c r="R117" s="34"/>
      <c r="S117" s="34"/>
      <c r="T117" s="137"/>
      <c r="U117" s="137"/>
      <c r="V117" s="36"/>
      <c r="W117" s="37"/>
      <c r="X117" s="71" t="str">
        <f>IF(C117="Trả lại đơn","",IF((NETWORKDAYS(F117,G117,'Danh sách ngày nghỉ lễ'!$B$5:$B$25)-1-3)&gt;0,"Quá hạn"&amp;" "&amp;(NETWORKDAYS(F117,G117,'Danh sách ngày nghỉ lễ'!$B$5:$B$25)-1-3)&amp;" "&amp;"ngày",""))</f>
        <v/>
      </c>
      <c r="Y117" s="72" t="str">
        <f>IF(S117=0,"",IF(P117="Chuyển","",IF(P117="Nhập vào vụ khác","",IF(P117="CN đối thoại","",IF(P117="CN tại tòa","",IF(P117="BA",IF((S117-R117)&gt;7,"Quá hạn"&amp;" "&amp;(S117-R117-7)&amp;" "&amp;"ngày",""),IF((NETWORKDAYS(R117,S117,'Danh sách ngày nghỉ lễ'!$B$5:$B$25)-VLOOKUP(P117,'Thời hạn'!$D$17:$E$20,2,0))&gt;1,"Quá hạn"&amp;" "&amp;(NETWORKDAYS(R117,S117,'Danh sách ngày nghỉ lễ'!$B$5:$B$25)-1-VLOOKUP(P117,'Thời hạn'!$D$17:$E$20,2,0))&amp;" "&amp;"ngày","")))))))</f>
        <v/>
      </c>
      <c r="Z117" s="23">
        <v>1</v>
      </c>
    </row>
    <row r="118" spans="1:26" x14ac:dyDescent="0.3">
      <c r="A118" s="24">
        <v>1</v>
      </c>
      <c r="B118" s="39"/>
      <c r="C118" s="33"/>
      <c r="D118" s="25"/>
      <c r="E118" s="25"/>
      <c r="F118" s="34"/>
      <c r="G118" s="34"/>
      <c r="H118" s="25"/>
      <c r="I118" s="70" t="str">
        <f>IF(C118="Trả lại đơn","",IF(C118="Hòa giải thành","",IF(F118=0,"",EDATE(F118,VLOOKUP(C118,'Thời hạn'!$G$1:$H$12,2,0))+H118)))</f>
        <v/>
      </c>
      <c r="J118" s="59" t="str">
        <f t="shared" ca="1" si="1"/>
        <v/>
      </c>
      <c r="K118" s="25"/>
      <c r="L118" s="129"/>
      <c r="M118" s="130"/>
      <c r="N118" s="35"/>
      <c r="O118" s="34"/>
      <c r="P118" s="25"/>
      <c r="Q118" s="25"/>
      <c r="R118" s="34"/>
      <c r="S118" s="34"/>
      <c r="T118" s="137"/>
      <c r="U118" s="137"/>
      <c r="V118" s="36"/>
      <c r="W118" s="37"/>
      <c r="X118" s="71" t="str">
        <f>IF(C118="Trả lại đơn","",IF((NETWORKDAYS(F118,G118,'Danh sách ngày nghỉ lễ'!$B$5:$B$25)-1-3)&gt;0,"Quá hạn"&amp;" "&amp;(NETWORKDAYS(F118,G118,'Danh sách ngày nghỉ lễ'!$B$5:$B$25)-1-3)&amp;" "&amp;"ngày",""))</f>
        <v/>
      </c>
      <c r="Y118" s="72" t="str">
        <f>IF(S118=0,"",IF(P118="Chuyển","",IF(P118="Nhập vào vụ khác","",IF(P118="CN đối thoại","",IF(P118="CN tại tòa","",IF(P118="BA",IF((S118-R118)&gt;7,"Quá hạn"&amp;" "&amp;(S118-R118-7)&amp;" "&amp;"ngày",""),IF((NETWORKDAYS(R118,S118,'Danh sách ngày nghỉ lễ'!$B$5:$B$25)-VLOOKUP(P118,'Thời hạn'!$D$17:$E$20,2,0))&gt;1,"Quá hạn"&amp;" "&amp;(NETWORKDAYS(R118,S118,'Danh sách ngày nghỉ lễ'!$B$5:$B$25)-1-VLOOKUP(P118,'Thời hạn'!$D$17:$E$20,2,0))&amp;" "&amp;"ngày","")))))))</f>
        <v/>
      </c>
      <c r="Z118" s="23">
        <v>1</v>
      </c>
    </row>
    <row r="119" spans="1:26" x14ac:dyDescent="0.3">
      <c r="A119" s="24">
        <v>1</v>
      </c>
      <c r="B119" s="39"/>
      <c r="C119" s="33"/>
      <c r="D119" s="25"/>
      <c r="E119" s="25"/>
      <c r="F119" s="34"/>
      <c r="G119" s="34"/>
      <c r="H119" s="25"/>
      <c r="I119" s="70" t="str">
        <f>IF(C119="Trả lại đơn","",IF(C119="Hòa giải thành","",IF(F119=0,"",EDATE(F119,VLOOKUP(C119,'Thời hạn'!$G$1:$H$12,2,0))+H119)))</f>
        <v/>
      </c>
      <c r="J119" s="59" t="str">
        <f t="shared" ca="1" si="1"/>
        <v/>
      </c>
      <c r="K119" s="25"/>
      <c r="L119" s="129"/>
      <c r="M119" s="130"/>
      <c r="N119" s="35"/>
      <c r="O119" s="34"/>
      <c r="P119" s="25"/>
      <c r="Q119" s="25"/>
      <c r="R119" s="34"/>
      <c r="S119" s="34"/>
      <c r="T119" s="137"/>
      <c r="U119" s="137"/>
      <c r="V119" s="36"/>
      <c r="W119" s="37"/>
      <c r="X119" s="71" t="str">
        <f>IF(C119="Trả lại đơn","",IF((NETWORKDAYS(F119,G119,'Danh sách ngày nghỉ lễ'!$B$5:$B$25)-1-3)&gt;0,"Quá hạn"&amp;" "&amp;(NETWORKDAYS(F119,G119,'Danh sách ngày nghỉ lễ'!$B$5:$B$25)-1-3)&amp;" "&amp;"ngày",""))</f>
        <v/>
      </c>
      <c r="Y119" s="72" t="str">
        <f>IF(S119=0,"",IF(P119="Chuyển","",IF(P119="Nhập vào vụ khác","",IF(P119="CN đối thoại","",IF(P119="CN tại tòa","",IF(P119="BA",IF((S119-R119)&gt;7,"Quá hạn"&amp;" "&amp;(S119-R119-7)&amp;" "&amp;"ngày",""),IF((NETWORKDAYS(R119,S119,'Danh sách ngày nghỉ lễ'!$B$5:$B$25)-VLOOKUP(P119,'Thời hạn'!$D$17:$E$20,2,0))&gt;1,"Quá hạn"&amp;" "&amp;(NETWORKDAYS(R119,S119,'Danh sách ngày nghỉ lễ'!$B$5:$B$25)-1-VLOOKUP(P119,'Thời hạn'!$D$17:$E$20,2,0))&amp;" "&amp;"ngày","")))))))</f>
        <v/>
      </c>
      <c r="Z119" s="23">
        <v>1</v>
      </c>
    </row>
    <row r="120" spans="1:26" x14ac:dyDescent="0.3">
      <c r="A120" s="24">
        <v>1</v>
      </c>
      <c r="B120" s="39"/>
      <c r="C120" s="33"/>
      <c r="D120" s="25"/>
      <c r="E120" s="25"/>
      <c r="F120" s="34"/>
      <c r="G120" s="34"/>
      <c r="H120" s="25"/>
      <c r="I120" s="70" t="str">
        <f>IF(C120="Trả lại đơn","",IF(C120="Hòa giải thành","",IF(F120=0,"",EDATE(F120,VLOOKUP(C120,'Thời hạn'!$G$1:$H$12,2,0))+H120)))</f>
        <v/>
      </c>
      <c r="J120" s="59" t="str">
        <f t="shared" ca="1" si="1"/>
        <v/>
      </c>
      <c r="K120" s="25"/>
      <c r="L120" s="129"/>
      <c r="M120" s="130"/>
      <c r="N120" s="35"/>
      <c r="O120" s="34"/>
      <c r="P120" s="25"/>
      <c r="Q120" s="25"/>
      <c r="R120" s="34"/>
      <c r="S120" s="34"/>
      <c r="T120" s="137"/>
      <c r="U120" s="137"/>
      <c r="V120" s="36"/>
      <c r="W120" s="37"/>
      <c r="X120" s="71" t="str">
        <f>IF(C120="Trả lại đơn","",IF((NETWORKDAYS(F120,G120,'Danh sách ngày nghỉ lễ'!$B$5:$B$25)-1-3)&gt;0,"Quá hạn"&amp;" "&amp;(NETWORKDAYS(F120,G120,'Danh sách ngày nghỉ lễ'!$B$5:$B$25)-1-3)&amp;" "&amp;"ngày",""))</f>
        <v/>
      </c>
      <c r="Y120" s="72" t="str">
        <f>IF(S120=0,"",IF(P120="Chuyển","",IF(P120="Nhập vào vụ khác","",IF(P120="CN đối thoại","",IF(P120="CN tại tòa","",IF(P120="BA",IF((S120-R120)&gt;7,"Quá hạn"&amp;" "&amp;(S120-R120-7)&amp;" "&amp;"ngày",""),IF((NETWORKDAYS(R120,S120,'Danh sách ngày nghỉ lễ'!$B$5:$B$25)-VLOOKUP(P120,'Thời hạn'!$D$17:$E$20,2,0))&gt;1,"Quá hạn"&amp;" "&amp;(NETWORKDAYS(R120,S120,'Danh sách ngày nghỉ lễ'!$B$5:$B$25)-1-VLOOKUP(P120,'Thời hạn'!$D$17:$E$20,2,0))&amp;" "&amp;"ngày","")))))))</f>
        <v/>
      </c>
      <c r="Z120" s="23">
        <v>1</v>
      </c>
    </row>
    <row r="121" spans="1:26" x14ac:dyDescent="0.3">
      <c r="A121" s="24">
        <v>1</v>
      </c>
      <c r="B121" s="39"/>
      <c r="C121" s="33"/>
      <c r="D121" s="25"/>
      <c r="E121" s="25"/>
      <c r="F121" s="34"/>
      <c r="G121" s="34"/>
      <c r="H121" s="25"/>
      <c r="I121" s="70" t="str">
        <f>IF(C121="Trả lại đơn","",IF(C121="Hòa giải thành","",IF(F121=0,"",EDATE(F121,VLOOKUP(C121,'Thời hạn'!$G$1:$H$12,2,0))+H121)))</f>
        <v/>
      </c>
      <c r="J121" s="59" t="str">
        <f t="shared" ca="1" si="1"/>
        <v/>
      </c>
      <c r="K121" s="25"/>
      <c r="L121" s="129"/>
      <c r="M121" s="130"/>
      <c r="N121" s="35"/>
      <c r="O121" s="34"/>
      <c r="P121" s="25"/>
      <c r="Q121" s="25"/>
      <c r="R121" s="34"/>
      <c r="S121" s="34"/>
      <c r="T121" s="137"/>
      <c r="U121" s="137"/>
      <c r="V121" s="36"/>
      <c r="W121" s="37"/>
      <c r="X121" s="71" t="str">
        <f>IF(C121="Trả lại đơn","",IF((NETWORKDAYS(F121,G121,'Danh sách ngày nghỉ lễ'!$B$5:$B$25)-1-3)&gt;0,"Quá hạn"&amp;" "&amp;(NETWORKDAYS(F121,G121,'Danh sách ngày nghỉ lễ'!$B$5:$B$25)-1-3)&amp;" "&amp;"ngày",""))</f>
        <v/>
      </c>
      <c r="Y121" s="72" t="str">
        <f>IF(S121=0,"",IF(P121="Chuyển","",IF(P121="Nhập vào vụ khác","",IF(P121="CN đối thoại","",IF(P121="CN tại tòa","",IF(P121="BA",IF((S121-R121)&gt;7,"Quá hạn"&amp;" "&amp;(S121-R121-7)&amp;" "&amp;"ngày",""),IF((NETWORKDAYS(R121,S121,'Danh sách ngày nghỉ lễ'!$B$5:$B$25)-VLOOKUP(P121,'Thời hạn'!$D$17:$E$20,2,0))&gt;1,"Quá hạn"&amp;" "&amp;(NETWORKDAYS(R121,S121,'Danh sách ngày nghỉ lễ'!$B$5:$B$25)-1-VLOOKUP(P121,'Thời hạn'!$D$17:$E$20,2,0))&amp;" "&amp;"ngày","")))))))</f>
        <v/>
      </c>
      <c r="Z121" s="23">
        <v>1</v>
      </c>
    </row>
    <row r="122" spans="1:26" x14ac:dyDescent="0.3">
      <c r="A122" s="24">
        <v>1</v>
      </c>
      <c r="B122" s="39"/>
      <c r="C122" s="33"/>
      <c r="D122" s="25"/>
      <c r="E122" s="25"/>
      <c r="F122" s="34"/>
      <c r="G122" s="34"/>
      <c r="H122" s="25"/>
      <c r="I122" s="70" t="str">
        <f>IF(C122="Trả lại đơn","",IF(C122="Hòa giải thành","",IF(F122=0,"",EDATE(F122,VLOOKUP(C122,'Thời hạn'!$G$1:$H$12,2,0))+H122)))</f>
        <v/>
      </c>
      <c r="J122" s="59" t="str">
        <f t="shared" ca="1" si="1"/>
        <v/>
      </c>
      <c r="K122" s="25"/>
      <c r="L122" s="129"/>
      <c r="M122" s="130"/>
      <c r="N122" s="35"/>
      <c r="O122" s="34"/>
      <c r="P122" s="25"/>
      <c r="Q122" s="25"/>
      <c r="R122" s="34"/>
      <c r="S122" s="34"/>
      <c r="T122" s="137"/>
      <c r="U122" s="137"/>
      <c r="V122" s="36"/>
      <c r="W122" s="37"/>
      <c r="X122" s="71" t="str">
        <f>IF(C122="Trả lại đơn","",IF((NETWORKDAYS(F122,G122,'Danh sách ngày nghỉ lễ'!$B$5:$B$25)-1-3)&gt;0,"Quá hạn"&amp;" "&amp;(NETWORKDAYS(F122,G122,'Danh sách ngày nghỉ lễ'!$B$5:$B$25)-1-3)&amp;" "&amp;"ngày",""))</f>
        <v/>
      </c>
      <c r="Y122" s="72" t="str">
        <f>IF(S122=0,"",IF(P122="Chuyển","",IF(P122="Nhập vào vụ khác","",IF(P122="CN đối thoại","",IF(P122="CN tại tòa","",IF(P122="BA",IF((S122-R122)&gt;7,"Quá hạn"&amp;" "&amp;(S122-R122-7)&amp;" "&amp;"ngày",""),IF((NETWORKDAYS(R122,S122,'Danh sách ngày nghỉ lễ'!$B$5:$B$25)-VLOOKUP(P122,'Thời hạn'!$D$17:$E$20,2,0))&gt;1,"Quá hạn"&amp;" "&amp;(NETWORKDAYS(R122,S122,'Danh sách ngày nghỉ lễ'!$B$5:$B$25)-1-VLOOKUP(P122,'Thời hạn'!$D$17:$E$20,2,0))&amp;" "&amp;"ngày","")))))))</f>
        <v/>
      </c>
      <c r="Z122" s="23">
        <v>1</v>
      </c>
    </row>
    <row r="123" spans="1:26" x14ac:dyDescent="0.3">
      <c r="A123" s="24">
        <v>1</v>
      </c>
      <c r="B123" s="39"/>
      <c r="C123" s="33"/>
      <c r="D123" s="25"/>
      <c r="E123" s="25"/>
      <c r="F123" s="34"/>
      <c r="G123" s="34"/>
      <c r="H123" s="25"/>
      <c r="I123" s="70" t="str">
        <f>IF(C123="Trả lại đơn","",IF(C123="Hòa giải thành","",IF(F123=0,"",EDATE(F123,VLOOKUP(C123,'Thời hạn'!$G$1:$H$12,2,0))+H123)))</f>
        <v/>
      </c>
      <c r="J123" s="59" t="str">
        <f t="shared" ca="1" si="1"/>
        <v/>
      </c>
      <c r="K123" s="25"/>
      <c r="L123" s="129"/>
      <c r="M123" s="130"/>
      <c r="N123" s="35"/>
      <c r="O123" s="34"/>
      <c r="P123" s="25"/>
      <c r="Q123" s="25"/>
      <c r="R123" s="34"/>
      <c r="S123" s="34"/>
      <c r="T123" s="137"/>
      <c r="U123" s="137"/>
      <c r="V123" s="36"/>
      <c r="W123" s="37"/>
      <c r="X123" s="71" t="str">
        <f>IF(C123="Trả lại đơn","",IF((NETWORKDAYS(F123,G123,'Danh sách ngày nghỉ lễ'!$B$5:$B$25)-1-3)&gt;0,"Quá hạn"&amp;" "&amp;(NETWORKDAYS(F123,G123,'Danh sách ngày nghỉ lễ'!$B$5:$B$25)-1-3)&amp;" "&amp;"ngày",""))</f>
        <v/>
      </c>
      <c r="Y123" s="72" t="str">
        <f>IF(S123=0,"",IF(P123="Chuyển","",IF(P123="Nhập vào vụ khác","",IF(P123="CN đối thoại","",IF(P123="CN tại tòa","",IF(P123="BA",IF((S123-R123)&gt;7,"Quá hạn"&amp;" "&amp;(S123-R123-7)&amp;" "&amp;"ngày",""),IF((NETWORKDAYS(R123,S123,'Danh sách ngày nghỉ lễ'!$B$5:$B$25)-VLOOKUP(P123,'Thời hạn'!$D$17:$E$20,2,0))&gt;1,"Quá hạn"&amp;" "&amp;(NETWORKDAYS(R123,S123,'Danh sách ngày nghỉ lễ'!$B$5:$B$25)-1-VLOOKUP(P123,'Thời hạn'!$D$17:$E$20,2,0))&amp;" "&amp;"ngày","")))))))</f>
        <v/>
      </c>
      <c r="Z123" s="23">
        <v>1</v>
      </c>
    </row>
    <row r="124" spans="1:26" x14ac:dyDescent="0.3">
      <c r="A124" s="24">
        <v>1</v>
      </c>
      <c r="B124" s="39"/>
      <c r="C124" s="33"/>
      <c r="D124" s="25"/>
      <c r="E124" s="25"/>
      <c r="F124" s="34"/>
      <c r="G124" s="34"/>
      <c r="H124" s="25"/>
      <c r="I124" s="70" t="str">
        <f>IF(C124="Trả lại đơn","",IF(C124="Hòa giải thành","",IF(F124=0,"",EDATE(F124,VLOOKUP(C124,'Thời hạn'!$G$1:$H$12,2,0))+H124)))</f>
        <v/>
      </c>
      <c r="J124" s="59" t="str">
        <f t="shared" ca="1" si="1"/>
        <v/>
      </c>
      <c r="K124" s="25"/>
      <c r="L124" s="129"/>
      <c r="M124" s="130"/>
      <c r="N124" s="35"/>
      <c r="O124" s="34"/>
      <c r="P124" s="25"/>
      <c r="Q124" s="25"/>
      <c r="R124" s="34"/>
      <c r="S124" s="34"/>
      <c r="T124" s="137"/>
      <c r="U124" s="137"/>
      <c r="V124" s="36"/>
      <c r="W124" s="37"/>
      <c r="X124" s="71" t="str">
        <f>IF(C124="Trả lại đơn","",IF((NETWORKDAYS(F124,G124,'Danh sách ngày nghỉ lễ'!$B$5:$B$25)-1-3)&gt;0,"Quá hạn"&amp;" "&amp;(NETWORKDAYS(F124,G124,'Danh sách ngày nghỉ lễ'!$B$5:$B$25)-1-3)&amp;" "&amp;"ngày",""))</f>
        <v/>
      </c>
      <c r="Y124" s="72" t="str">
        <f>IF(S124=0,"",IF(P124="Chuyển","",IF(P124="Nhập vào vụ khác","",IF(P124="CN đối thoại","",IF(P124="CN tại tòa","",IF(P124="BA",IF((S124-R124)&gt;7,"Quá hạn"&amp;" "&amp;(S124-R124-7)&amp;" "&amp;"ngày",""),IF((NETWORKDAYS(R124,S124,'Danh sách ngày nghỉ lễ'!$B$5:$B$25)-VLOOKUP(P124,'Thời hạn'!$D$17:$E$20,2,0))&gt;1,"Quá hạn"&amp;" "&amp;(NETWORKDAYS(R124,S124,'Danh sách ngày nghỉ lễ'!$B$5:$B$25)-1-VLOOKUP(P124,'Thời hạn'!$D$17:$E$20,2,0))&amp;" "&amp;"ngày","")))))))</f>
        <v/>
      </c>
      <c r="Z124" s="23">
        <v>1</v>
      </c>
    </row>
    <row r="125" spans="1:26" x14ac:dyDescent="0.3">
      <c r="A125" s="24">
        <v>1</v>
      </c>
      <c r="B125" s="39"/>
      <c r="C125" s="33"/>
      <c r="D125" s="25"/>
      <c r="E125" s="25"/>
      <c r="F125" s="34"/>
      <c r="G125" s="34"/>
      <c r="H125" s="25"/>
      <c r="I125" s="70" t="str">
        <f>IF(C125="Trả lại đơn","",IF(C125="Hòa giải thành","",IF(F125=0,"",EDATE(F125,VLOOKUP(C125,'Thời hạn'!$G$1:$H$12,2,0))+H125)))</f>
        <v/>
      </c>
      <c r="J125" s="59" t="str">
        <f t="shared" ca="1" si="1"/>
        <v/>
      </c>
      <c r="K125" s="25"/>
      <c r="L125" s="129"/>
      <c r="M125" s="130"/>
      <c r="N125" s="35"/>
      <c r="O125" s="34"/>
      <c r="P125" s="25"/>
      <c r="Q125" s="25"/>
      <c r="R125" s="34"/>
      <c r="S125" s="34"/>
      <c r="T125" s="137"/>
      <c r="U125" s="137"/>
      <c r="V125" s="36"/>
      <c r="W125" s="37"/>
      <c r="X125" s="71" t="str">
        <f>IF(C125="Trả lại đơn","",IF((NETWORKDAYS(F125,G125,'Danh sách ngày nghỉ lễ'!$B$5:$B$25)-1-3)&gt;0,"Quá hạn"&amp;" "&amp;(NETWORKDAYS(F125,G125,'Danh sách ngày nghỉ lễ'!$B$5:$B$25)-1-3)&amp;" "&amp;"ngày",""))</f>
        <v/>
      </c>
      <c r="Y125" s="72" t="str">
        <f>IF(S125=0,"",IF(P125="Chuyển","",IF(P125="Nhập vào vụ khác","",IF(P125="CN đối thoại","",IF(P125="CN tại tòa","",IF(P125="BA",IF((S125-R125)&gt;7,"Quá hạn"&amp;" "&amp;(S125-R125-7)&amp;" "&amp;"ngày",""),IF((NETWORKDAYS(R125,S125,'Danh sách ngày nghỉ lễ'!$B$5:$B$25)-VLOOKUP(P125,'Thời hạn'!$D$17:$E$20,2,0))&gt;1,"Quá hạn"&amp;" "&amp;(NETWORKDAYS(R125,S125,'Danh sách ngày nghỉ lễ'!$B$5:$B$25)-1-VLOOKUP(P125,'Thời hạn'!$D$17:$E$20,2,0))&amp;" "&amp;"ngày","")))))))</f>
        <v/>
      </c>
      <c r="Z125" s="23">
        <v>1</v>
      </c>
    </row>
    <row r="126" spans="1:26" x14ac:dyDescent="0.3">
      <c r="A126" s="24">
        <v>1</v>
      </c>
      <c r="B126" s="39"/>
      <c r="C126" s="33"/>
      <c r="D126" s="25"/>
      <c r="E126" s="25"/>
      <c r="F126" s="34"/>
      <c r="G126" s="34"/>
      <c r="H126" s="25"/>
      <c r="I126" s="70" t="str">
        <f>IF(C126="Trả lại đơn","",IF(C126="Hòa giải thành","",IF(F126=0,"",EDATE(F126,VLOOKUP(C126,'Thời hạn'!$G$1:$H$12,2,0))+H126)))</f>
        <v/>
      </c>
      <c r="J126" s="59" t="str">
        <f t="shared" ca="1" si="1"/>
        <v/>
      </c>
      <c r="K126" s="25"/>
      <c r="L126" s="129"/>
      <c r="M126" s="130"/>
      <c r="N126" s="35"/>
      <c r="O126" s="34"/>
      <c r="P126" s="25"/>
      <c r="Q126" s="25"/>
      <c r="R126" s="34"/>
      <c r="S126" s="34"/>
      <c r="T126" s="137"/>
      <c r="U126" s="137"/>
      <c r="V126" s="36"/>
      <c r="W126" s="37"/>
      <c r="X126" s="71" t="str">
        <f>IF(C126="Trả lại đơn","",IF((NETWORKDAYS(F126,G126,'Danh sách ngày nghỉ lễ'!$B$5:$B$25)-1-3)&gt;0,"Quá hạn"&amp;" "&amp;(NETWORKDAYS(F126,G126,'Danh sách ngày nghỉ lễ'!$B$5:$B$25)-1-3)&amp;" "&amp;"ngày",""))</f>
        <v/>
      </c>
      <c r="Y126" s="72" t="str">
        <f>IF(S126=0,"",IF(P126="Chuyển","",IF(P126="Nhập vào vụ khác","",IF(P126="CN đối thoại","",IF(P126="CN tại tòa","",IF(P126="BA",IF((S126-R126)&gt;7,"Quá hạn"&amp;" "&amp;(S126-R126-7)&amp;" "&amp;"ngày",""),IF((NETWORKDAYS(R126,S126,'Danh sách ngày nghỉ lễ'!$B$5:$B$25)-VLOOKUP(P126,'Thời hạn'!$D$17:$E$20,2,0))&gt;1,"Quá hạn"&amp;" "&amp;(NETWORKDAYS(R126,S126,'Danh sách ngày nghỉ lễ'!$B$5:$B$25)-1-VLOOKUP(P126,'Thời hạn'!$D$17:$E$20,2,0))&amp;" "&amp;"ngày","")))))))</f>
        <v/>
      </c>
      <c r="Z126" s="23">
        <v>1</v>
      </c>
    </row>
    <row r="127" spans="1:26" x14ac:dyDescent="0.3">
      <c r="A127" s="24">
        <v>1</v>
      </c>
      <c r="B127" s="39"/>
      <c r="C127" s="33"/>
      <c r="D127" s="25"/>
      <c r="E127" s="25"/>
      <c r="F127" s="34"/>
      <c r="G127" s="34"/>
      <c r="H127" s="25"/>
      <c r="I127" s="70" t="str">
        <f>IF(C127="Trả lại đơn","",IF(C127="Hòa giải thành","",IF(F127=0,"",EDATE(F127,VLOOKUP(C127,'Thời hạn'!$G$1:$H$12,2,0))+H127)))</f>
        <v/>
      </c>
      <c r="J127" s="59" t="str">
        <f t="shared" ca="1" si="1"/>
        <v/>
      </c>
      <c r="K127" s="25"/>
      <c r="L127" s="129"/>
      <c r="M127" s="130"/>
      <c r="N127" s="35"/>
      <c r="O127" s="34"/>
      <c r="P127" s="25"/>
      <c r="Q127" s="25"/>
      <c r="R127" s="34"/>
      <c r="S127" s="34"/>
      <c r="T127" s="137"/>
      <c r="U127" s="137"/>
      <c r="V127" s="36"/>
      <c r="W127" s="37"/>
      <c r="X127" s="71" t="str">
        <f>IF(C127="Trả lại đơn","",IF((NETWORKDAYS(F127,G127,'Danh sách ngày nghỉ lễ'!$B$5:$B$25)-1-3)&gt;0,"Quá hạn"&amp;" "&amp;(NETWORKDAYS(F127,G127,'Danh sách ngày nghỉ lễ'!$B$5:$B$25)-1-3)&amp;" "&amp;"ngày",""))</f>
        <v/>
      </c>
      <c r="Y127" s="72" t="str">
        <f>IF(S127=0,"",IF(P127="Chuyển","",IF(P127="Nhập vào vụ khác","",IF(P127="CN đối thoại","",IF(P127="CN tại tòa","",IF(P127="BA",IF((S127-R127)&gt;7,"Quá hạn"&amp;" "&amp;(S127-R127-7)&amp;" "&amp;"ngày",""),IF((NETWORKDAYS(R127,S127,'Danh sách ngày nghỉ lễ'!$B$5:$B$25)-VLOOKUP(P127,'Thời hạn'!$D$17:$E$20,2,0))&gt;1,"Quá hạn"&amp;" "&amp;(NETWORKDAYS(R127,S127,'Danh sách ngày nghỉ lễ'!$B$5:$B$25)-1-VLOOKUP(P127,'Thời hạn'!$D$17:$E$20,2,0))&amp;" "&amp;"ngày","")))))))</f>
        <v/>
      </c>
      <c r="Z127" s="23">
        <v>1</v>
      </c>
    </row>
    <row r="128" spans="1:26" x14ac:dyDescent="0.3">
      <c r="A128" s="24">
        <v>1</v>
      </c>
      <c r="B128" s="39"/>
      <c r="C128" s="33"/>
      <c r="D128" s="25"/>
      <c r="E128" s="25"/>
      <c r="F128" s="34"/>
      <c r="G128" s="34"/>
      <c r="H128" s="25"/>
      <c r="I128" s="70" t="str">
        <f>IF(C128="Trả lại đơn","",IF(C128="Hòa giải thành","",IF(F128=0,"",EDATE(F128,VLOOKUP(C128,'Thời hạn'!$G$1:$H$12,2,0))+H128)))</f>
        <v/>
      </c>
      <c r="J128" s="59" t="str">
        <f t="shared" ca="1" si="1"/>
        <v/>
      </c>
      <c r="K128" s="25"/>
      <c r="L128" s="129"/>
      <c r="M128" s="130"/>
      <c r="N128" s="35"/>
      <c r="O128" s="34"/>
      <c r="P128" s="25"/>
      <c r="Q128" s="25"/>
      <c r="R128" s="34"/>
      <c r="S128" s="34"/>
      <c r="T128" s="137"/>
      <c r="U128" s="137"/>
      <c r="V128" s="36"/>
      <c r="W128" s="37"/>
      <c r="X128" s="71" t="str">
        <f>IF(C128="Trả lại đơn","",IF((NETWORKDAYS(F128,G128,'Danh sách ngày nghỉ lễ'!$B$5:$B$25)-1-3)&gt;0,"Quá hạn"&amp;" "&amp;(NETWORKDAYS(F128,G128,'Danh sách ngày nghỉ lễ'!$B$5:$B$25)-1-3)&amp;" "&amp;"ngày",""))</f>
        <v/>
      </c>
      <c r="Y128" s="72" t="str">
        <f>IF(S128=0,"",IF(P128="Chuyển","",IF(P128="Nhập vào vụ khác","",IF(P128="CN đối thoại","",IF(P128="CN tại tòa","",IF(P128="BA",IF((S128-R128)&gt;7,"Quá hạn"&amp;" "&amp;(S128-R128-7)&amp;" "&amp;"ngày",""),IF((NETWORKDAYS(R128,S128,'Danh sách ngày nghỉ lễ'!$B$5:$B$25)-VLOOKUP(P128,'Thời hạn'!$D$17:$E$20,2,0))&gt;1,"Quá hạn"&amp;" "&amp;(NETWORKDAYS(R128,S128,'Danh sách ngày nghỉ lễ'!$B$5:$B$25)-1-VLOOKUP(P128,'Thời hạn'!$D$17:$E$20,2,0))&amp;" "&amp;"ngày","")))))))</f>
        <v/>
      </c>
      <c r="Z128" s="23">
        <v>1</v>
      </c>
    </row>
    <row r="129" spans="1:26" x14ac:dyDescent="0.3">
      <c r="A129" s="24">
        <v>1</v>
      </c>
      <c r="B129" s="39"/>
      <c r="C129" s="33"/>
      <c r="D129" s="25"/>
      <c r="E129" s="25"/>
      <c r="F129" s="34"/>
      <c r="G129" s="34"/>
      <c r="H129" s="25"/>
      <c r="I129" s="70" t="str">
        <f>IF(C129="Trả lại đơn","",IF(C129="Hòa giải thành","",IF(F129=0,"",EDATE(F129,VLOOKUP(C129,'Thời hạn'!$G$1:$H$12,2,0))+H129)))</f>
        <v/>
      </c>
      <c r="J129" s="59" t="str">
        <f t="shared" ca="1" si="1"/>
        <v/>
      </c>
      <c r="K129" s="25"/>
      <c r="L129" s="129"/>
      <c r="M129" s="130"/>
      <c r="N129" s="35"/>
      <c r="O129" s="34"/>
      <c r="P129" s="25"/>
      <c r="Q129" s="25"/>
      <c r="R129" s="34"/>
      <c r="S129" s="34"/>
      <c r="T129" s="137"/>
      <c r="U129" s="137"/>
      <c r="V129" s="36"/>
      <c r="W129" s="37"/>
      <c r="X129" s="71" t="str">
        <f>IF(C129="Trả lại đơn","",IF((NETWORKDAYS(F129,G129,'Danh sách ngày nghỉ lễ'!$B$5:$B$25)-1-3)&gt;0,"Quá hạn"&amp;" "&amp;(NETWORKDAYS(F129,G129,'Danh sách ngày nghỉ lễ'!$B$5:$B$25)-1-3)&amp;" "&amp;"ngày",""))</f>
        <v/>
      </c>
      <c r="Y129" s="72" t="str">
        <f>IF(S129=0,"",IF(P129="Chuyển","",IF(P129="Nhập vào vụ khác","",IF(P129="CN đối thoại","",IF(P129="CN tại tòa","",IF(P129="BA",IF((S129-R129)&gt;7,"Quá hạn"&amp;" "&amp;(S129-R129-7)&amp;" "&amp;"ngày",""),IF((NETWORKDAYS(R129,S129,'Danh sách ngày nghỉ lễ'!$B$5:$B$25)-VLOOKUP(P129,'Thời hạn'!$D$17:$E$20,2,0))&gt;1,"Quá hạn"&amp;" "&amp;(NETWORKDAYS(R129,S129,'Danh sách ngày nghỉ lễ'!$B$5:$B$25)-1-VLOOKUP(P129,'Thời hạn'!$D$17:$E$20,2,0))&amp;" "&amp;"ngày","")))))))</f>
        <v/>
      </c>
      <c r="Z129" s="23">
        <v>1</v>
      </c>
    </row>
    <row r="130" spans="1:26" x14ac:dyDescent="0.3">
      <c r="A130" s="24">
        <v>1</v>
      </c>
      <c r="B130" s="39"/>
      <c r="C130" s="33"/>
      <c r="D130" s="25"/>
      <c r="E130" s="25"/>
      <c r="F130" s="34"/>
      <c r="G130" s="34"/>
      <c r="H130" s="25"/>
      <c r="I130" s="70" t="str">
        <f>IF(C130="Trả lại đơn","",IF(C130="Hòa giải thành","",IF(F130=0,"",EDATE(F130,VLOOKUP(C130,'Thời hạn'!$G$1:$H$12,2,0))+H130)))</f>
        <v/>
      </c>
      <c r="J130" s="59" t="str">
        <f t="shared" ca="1" si="1"/>
        <v/>
      </c>
      <c r="K130" s="25"/>
      <c r="L130" s="129"/>
      <c r="M130" s="130"/>
      <c r="N130" s="35"/>
      <c r="O130" s="34"/>
      <c r="P130" s="25"/>
      <c r="Q130" s="25"/>
      <c r="R130" s="34"/>
      <c r="S130" s="34"/>
      <c r="T130" s="137"/>
      <c r="U130" s="137"/>
      <c r="V130" s="36"/>
      <c r="W130" s="37"/>
      <c r="X130" s="71" t="str">
        <f>IF(C130="Trả lại đơn","",IF((NETWORKDAYS(F130,G130,'Danh sách ngày nghỉ lễ'!$B$5:$B$25)-1-3)&gt;0,"Quá hạn"&amp;" "&amp;(NETWORKDAYS(F130,G130,'Danh sách ngày nghỉ lễ'!$B$5:$B$25)-1-3)&amp;" "&amp;"ngày",""))</f>
        <v/>
      </c>
      <c r="Y130" s="72" t="str">
        <f>IF(S130=0,"",IF(P130="Chuyển","",IF(P130="Nhập vào vụ khác","",IF(P130="CN đối thoại","",IF(P130="CN tại tòa","",IF(P130="BA",IF((S130-R130)&gt;7,"Quá hạn"&amp;" "&amp;(S130-R130-7)&amp;" "&amp;"ngày",""),IF((NETWORKDAYS(R130,S130,'Danh sách ngày nghỉ lễ'!$B$5:$B$25)-VLOOKUP(P130,'Thời hạn'!$D$17:$E$20,2,0))&gt;1,"Quá hạn"&amp;" "&amp;(NETWORKDAYS(R130,S130,'Danh sách ngày nghỉ lễ'!$B$5:$B$25)-1-VLOOKUP(P130,'Thời hạn'!$D$17:$E$20,2,0))&amp;" "&amp;"ngày","")))))))</f>
        <v/>
      </c>
      <c r="Z130" s="23">
        <v>1</v>
      </c>
    </row>
    <row r="131" spans="1:26" x14ac:dyDescent="0.3">
      <c r="A131" s="24">
        <v>1</v>
      </c>
      <c r="B131" s="39"/>
      <c r="C131" s="33"/>
      <c r="D131" s="25"/>
      <c r="E131" s="25"/>
      <c r="F131" s="34"/>
      <c r="G131" s="34"/>
      <c r="H131" s="25"/>
      <c r="I131" s="70" t="str">
        <f>IF(C131="Trả lại đơn","",IF(C131="Hòa giải thành","",IF(F131=0,"",EDATE(F131,VLOOKUP(C131,'Thời hạn'!$G$1:$H$12,2,0))+H131)))</f>
        <v/>
      </c>
      <c r="J131" s="59" t="str">
        <f t="shared" ca="1" si="1"/>
        <v/>
      </c>
      <c r="K131" s="25"/>
      <c r="L131" s="129"/>
      <c r="M131" s="130"/>
      <c r="N131" s="35"/>
      <c r="O131" s="34"/>
      <c r="P131" s="25"/>
      <c r="Q131" s="25"/>
      <c r="R131" s="34"/>
      <c r="S131" s="34"/>
      <c r="T131" s="137"/>
      <c r="U131" s="137"/>
      <c r="V131" s="36"/>
      <c r="W131" s="37"/>
      <c r="X131" s="71" t="str">
        <f>IF(C131="Trả lại đơn","",IF((NETWORKDAYS(F131,G131,'Danh sách ngày nghỉ lễ'!$B$5:$B$25)-1-3)&gt;0,"Quá hạn"&amp;" "&amp;(NETWORKDAYS(F131,G131,'Danh sách ngày nghỉ lễ'!$B$5:$B$25)-1-3)&amp;" "&amp;"ngày",""))</f>
        <v/>
      </c>
      <c r="Y131" s="72" t="str">
        <f>IF(S131=0,"",IF(P131="Chuyển","",IF(P131="Nhập vào vụ khác","",IF(P131="CN đối thoại","",IF(P131="CN tại tòa","",IF(P131="BA",IF((S131-R131)&gt;7,"Quá hạn"&amp;" "&amp;(S131-R131-7)&amp;" "&amp;"ngày",""),IF((NETWORKDAYS(R131,S131,'Danh sách ngày nghỉ lễ'!$B$5:$B$25)-VLOOKUP(P131,'Thời hạn'!$D$17:$E$20,2,0))&gt;1,"Quá hạn"&amp;" "&amp;(NETWORKDAYS(R131,S131,'Danh sách ngày nghỉ lễ'!$B$5:$B$25)-1-VLOOKUP(P131,'Thời hạn'!$D$17:$E$20,2,0))&amp;" "&amp;"ngày","")))))))</f>
        <v/>
      </c>
      <c r="Z131" s="23">
        <v>1</v>
      </c>
    </row>
    <row r="132" spans="1:26" x14ac:dyDescent="0.3">
      <c r="A132" s="24">
        <v>1</v>
      </c>
      <c r="B132" s="39"/>
      <c r="C132" s="33"/>
      <c r="D132" s="25"/>
      <c r="E132" s="25"/>
      <c r="F132" s="34"/>
      <c r="G132" s="34"/>
      <c r="H132" s="25"/>
      <c r="I132" s="70" t="str">
        <f>IF(C132="Trả lại đơn","",IF(C132="Hòa giải thành","",IF(F132=0,"",EDATE(F132,VLOOKUP(C132,'Thời hạn'!$G$1:$H$12,2,0))+H132)))</f>
        <v/>
      </c>
      <c r="J132" s="59" t="str">
        <f t="shared" ca="1" si="1"/>
        <v/>
      </c>
      <c r="K132" s="25"/>
      <c r="L132" s="129"/>
      <c r="M132" s="130"/>
      <c r="N132" s="35"/>
      <c r="O132" s="34"/>
      <c r="P132" s="25"/>
      <c r="Q132" s="25"/>
      <c r="R132" s="34"/>
      <c r="S132" s="34"/>
      <c r="T132" s="137"/>
      <c r="U132" s="137"/>
      <c r="V132" s="36"/>
      <c r="W132" s="37"/>
      <c r="X132" s="71" t="str">
        <f>IF(C132="Trả lại đơn","",IF((NETWORKDAYS(F132,G132,'Danh sách ngày nghỉ lễ'!$B$5:$B$25)-1-3)&gt;0,"Quá hạn"&amp;" "&amp;(NETWORKDAYS(F132,G132,'Danh sách ngày nghỉ lễ'!$B$5:$B$25)-1-3)&amp;" "&amp;"ngày",""))</f>
        <v/>
      </c>
      <c r="Y132" s="72" t="str">
        <f>IF(S132=0,"",IF(P132="Chuyển","",IF(P132="Nhập vào vụ khác","",IF(P132="CN đối thoại","",IF(P132="CN tại tòa","",IF(P132="BA",IF((S132-R132)&gt;7,"Quá hạn"&amp;" "&amp;(S132-R132-7)&amp;" "&amp;"ngày",""),IF((NETWORKDAYS(R132,S132,'Danh sách ngày nghỉ lễ'!$B$5:$B$25)-VLOOKUP(P132,'Thời hạn'!$D$17:$E$20,2,0))&gt;1,"Quá hạn"&amp;" "&amp;(NETWORKDAYS(R132,S132,'Danh sách ngày nghỉ lễ'!$B$5:$B$25)-1-VLOOKUP(P132,'Thời hạn'!$D$17:$E$20,2,0))&amp;" "&amp;"ngày","")))))))</f>
        <v/>
      </c>
      <c r="Z132" s="23">
        <v>1</v>
      </c>
    </row>
    <row r="133" spans="1:26" x14ac:dyDescent="0.3">
      <c r="A133" s="24">
        <v>1</v>
      </c>
      <c r="B133" s="39"/>
      <c r="C133" s="33"/>
      <c r="D133" s="25"/>
      <c r="E133" s="25"/>
      <c r="F133" s="34"/>
      <c r="G133" s="34"/>
      <c r="H133" s="25"/>
      <c r="I133" s="70" t="str">
        <f>IF(C133="Trả lại đơn","",IF(C133="Hòa giải thành","",IF(F133=0,"",EDATE(F133,VLOOKUP(C133,'Thời hạn'!$G$1:$H$12,2,0))+H133)))</f>
        <v/>
      </c>
      <c r="J133" s="59" t="str">
        <f t="shared" ca="1" si="1"/>
        <v/>
      </c>
      <c r="K133" s="25"/>
      <c r="L133" s="129"/>
      <c r="M133" s="130"/>
      <c r="N133" s="35"/>
      <c r="O133" s="34"/>
      <c r="P133" s="25"/>
      <c r="Q133" s="25"/>
      <c r="R133" s="34"/>
      <c r="S133" s="34"/>
      <c r="T133" s="137"/>
      <c r="U133" s="137"/>
      <c r="V133" s="36"/>
      <c r="W133" s="37"/>
      <c r="X133" s="71" t="str">
        <f>IF(C133="Trả lại đơn","",IF((NETWORKDAYS(F133,G133,'Danh sách ngày nghỉ lễ'!$B$5:$B$25)-1-3)&gt;0,"Quá hạn"&amp;" "&amp;(NETWORKDAYS(F133,G133,'Danh sách ngày nghỉ lễ'!$B$5:$B$25)-1-3)&amp;" "&amp;"ngày",""))</f>
        <v/>
      </c>
      <c r="Y133" s="72" t="str">
        <f>IF(S133=0,"",IF(P133="Chuyển","",IF(P133="Nhập vào vụ khác","",IF(P133="CN đối thoại","",IF(P133="CN tại tòa","",IF(P133="BA",IF((S133-R133)&gt;7,"Quá hạn"&amp;" "&amp;(S133-R133-7)&amp;" "&amp;"ngày",""),IF((NETWORKDAYS(R133,S133,'Danh sách ngày nghỉ lễ'!$B$5:$B$25)-VLOOKUP(P133,'Thời hạn'!$D$17:$E$20,2,0))&gt;1,"Quá hạn"&amp;" "&amp;(NETWORKDAYS(R133,S133,'Danh sách ngày nghỉ lễ'!$B$5:$B$25)-1-VLOOKUP(P133,'Thời hạn'!$D$17:$E$20,2,0))&amp;" "&amp;"ngày","")))))))</f>
        <v/>
      </c>
      <c r="Z133" s="23">
        <v>1</v>
      </c>
    </row>
    <row r="134" spans="1:26" x14ac:dyDescent="0.3">
      <c r="A134" s="24">
        <v>1</v>
      </c>
      <c r="B134" s="39"/>
      <c r="C134" s="33"/>
      <c r="D134" s="25"/>
      <c r="E134" s="25"/>
      <c r="F134" s="34"/>
      <c r="G134" s="34"/>
      <c r="H134" s="25"/>
      <c r="I134" s="70" t="str">
        <f>IF(C134="Trả lại đơn","",IF(C134="Hòa giải thành","",IF(F134=0,"",EDATE(F134,VLOOKUP(C134,'Thời hạn'!$G$1:$H$12,2,0))+H134)))</f>
        <v/>
      </c>
      <c r="J134" s="59" t="str">
        <f t="shared" ca="1" si="1"/>
        <v/>
      </c>
      <c r="K134" s="25"/>
      <c r="L134" s="129"/>
      <c r="M134" s="130"/>
      <c r="N134" s="35"/>
      <c r="O134" s="34"/>
      <c r="P134" s="25"/>
      <c r="Q134" s="25"/>
      <c r="R134" s="34"/>
      <c r="S134" s="34"/>
      <c r="T134" s="137"/>
      <c r="U134" s="137"/>
      <c r="V134" s="36"/>
      <c r="W134" s="37"/>
      <c r="X134" s="71" t="str">
        <f>IF(C134="Trả lại đơn","",IF((NETWORKDAYS(F134,G134,'Danh sách ngày nghỉ lễ'!$B$5:$B$25)-1-3)&gt;0,"Quá hạn"&amp;" "&amp;(NETWORKDAYS(F134,G134,'Danh sách ngày nghỉ lễ'!$B$5:$B$25)-1-3)&amp;" "&amp;"ngày",""))</f>
        <v/>
      </c>
      <c r="Y134" s="72" t="str">
        <f>IF(S134=0,"",IF(P134="Chuyển","",IF(P134="Nhập vào vụ khác","",IF(P134="CN đối thoại","",IF(P134="CN tại tòa","",IF(P134="BA",IF((S134-R134)&gt;7,"Quá hạn"&amp;" "&amp;(S134-R134-7)&amp;" "&amp;"ngày",""),IF((NETWORKDAYS(R134,S134,'Danh sách ngày nghỉ lễ'!$B$5:$B$25)-VLOOKUP(P134,'Thời hạn'!$D$17:$E$20,2,0))&gt;1,"Quá hạn"&amp;" "&amp;(NETWORKDAYS(R134,S134,'Danh sách ngày nghỉ lễ'!$B$5:$B$25)-1-VLOOKUP(P134,'Thời hạn'!$D$17:$E$20,2,0))&amp;" "&amp;"ngày","")))))))</f>
        <v/>
      </c>
      <c r="Z134" s="23">
        <v>1</v>
      </c>
    </row>
    <row r="135" spans="1:26" x14ac:dyDescent="0.3">
      <c r="A135" s="24">
        <v>1</v>
      </c>
      <c r="B135" s="39"/>
      <c r="C135" s="33"/>
      <c r="D135" s="25"/>
      <c r="E135" s="25"/>
      <c r="F135" s="34"/>
      <c r="G135" s="34"/>
      <c r="H135" s="25"/>
      <c r="I135" s="70" t="str">
        <f>IF(C135="Trả lại đơn","",IF(C135="Hòa giải thành","",IF(F135=0,"",EDATE(F135,VLOOKUP(C135,'Thời hạn'!$G$1:$H$12,2,0))+H135)))</f>
        <v/>
      </c>
      <c r="J135" s="59" t="str">
        <f t="shared" ca="1" si="1"/>
        <v/>
      </c>
      <c r="K135" s="25"/>
      <c r="L135" s="129"/>
      <c r="M135" s="130"/>
      <c r="N135" s="35"/>
      <c r="O135" s="34"/>
      <c r="P135" s="25"/>
      <c r="Q135" s="25"/>
      <c r="R135" s="34"/>
      <c r="S135" s="34"/>
      <c r="T135" s="137"/>
      <c r="U135" s="137"/>
      <c r="V135" s="36"/>
      <c r="W135" s="37"/>
      <c r="X135" s="71" t="str">
        <f>IF(C135="Trả lại đơn","",IF((NETWORKDAYS(F135,G135,'Danh sách ngày nghỉ lễ'!$B$5:$B$25)-1-3)&gt;0,"Quá hạn"&amp;" "&amp;(NETWORKDAYS(F135,G135,'Danh sách ngày nghỉ lễ'!$B$5:$B$25)-1-3)&amp;" "&amp;"ngày",""))</f>
        <v/>
      </c>
      <c r="Y135" s="72" t="str">
        <f>IF(S135=0,"",IF(P135="Chuyển","",IF(P135="Nhập vào vụ khác","",IF(P135="CN đối thoại","",IF(P135="CN tại tòa","",IF(P135="BA",IF((S135-R135)&gt;7,"Quá hạn"&amp;" "&amp;(S135-R135-7)&amp;" "&amp;"ngày",""),IF((NETWORKDAYS(R135,S135,'Danh sách ngày nghỉ lễ'!$B$5:$B$25)-VLOOKUP(P135,'Thời hạn'!$D$17:$E$20,2,0))&gt;1,"Quá hạn"&amp;" "&amp;(NETWORKDAYS(R135,S135,'Danh sách ngày nghỉ lễ'!$B$5:$B$25)-1-VLOOKUP(P135,'Thời hạn'!$D$17:$E$20,2,0))&amp;" "&amp;"ngày","")))))))</f>
        <v/>
      </c>
      <c r="Z135" s="23">
        <v>1</v>
      </c>
    </row>
    <row r="136" spans="1:26" x14ac:dyDescent="0.3">
      <c r="A136" s="24">
        <v>1</v>
      </c>
      <c r="B136" s="39"/>
      <c r="C136" s="33"/>
      <c r="D136" s="25"/>
      <c r="E136" s="25"/>
      <c r="F136" s="34"/>
      <c r="G136" s="34"/>
      <c r="H136" s="25"/>
      <c r="I136" s="70" t="str">
        <f>IF(C136="Trả lại đơn","",IF(C136="Hòa giải thành","",IF(F136=0,"",EDATE(F136,VLOOKUP(C136,'Thời hạn'!$G$1:$H$12,2,0))+H136)))</f>
        <v/>
      </c>
      <c r="J136" s="59" t="str">
        <f t="shared" ca="1" si="1"/>
        <v/>
      </c>
      <c r="K136" s="25"/>
      <c r="L136" s="129"/>
      <c r="M136" s="130"/>
      <c r="N136" s="35"/>
      <c r="O136" s="34"/>
      <c r="P136" s="25"/>
      <c r="Q136" s="25"/>
      <c r="R136" s="34"/>
      <c r="S136" s="34"/>
      <c r="T136" s="137"/>
      <c r="U136" s="137"/>
      <c r="V136" s="36"/>
      <c r="W136" s="37"/>
      <c r="X136" s="71" t="str">
        <f>IF(C136="Trả lại đơn","",IF((NETWORKDAYS(F136,G136,'Danh sách ngày nghỉ lễ'!$B$5:$B$25)-1-3)&gt;0,"Quá hạn"&amp;" "&amp;(NETWORKDAYS(F136,G136,'Danh sách ngày nghỉ lễ'!$B$5:$B$25)-1-3)&amp;" "&amp;"ngày",""))</f>
        <v/>
      </c>
      <c r="Y136" s="72" t="str">
        <f>IF(S136=0,"",IF(P136="Chuyển","",IF(P136="Nhập vào vụ khác","",IF(P136="CN đối thoại","",IF(P136="CN tại tòa","",IF(P136="BA",IF((S136-R136)&gt;7,"Quá hạn"&amp;" "&amp;(S136-R136-7)&amp;" "&amp;"ngày",""),IF((NETWORKDAYS(R136,S136,'Danh sách ngày nghỉ lễ'!$B$5:$B$25)-VLOOKUP(P136,'Thời hạn'!$D$17:$E$20,2,0))&gt;1,"Quá hạn"&amp;" "&amp;(NETWORKDAYS(R136,S136,'Danh sách ngày nghỉ lễ'!$B$5:$B$25)-1-VLOOKUP(P136,'Thời hạn'!$D$17:$E$20,2,0))&amp;" "&amp;"ngày","")))))))</f>
        <v/>
      </c>
      <c r="Z136" s="23">
        <v>1</v>
      </c>
    </row>
    <row r="137" spans="1:26" x14ac:dyDescent="0.3">
      <c r="A137" s="24">
        <v>1</v>
      </c>
      <c r="B137" s="39"/>
      <c r="C137" s="33"/>
      <c r="D137" s="25"/>
      <c r="E137" s="25"/>
      <c r="F137" s="34"/>
      <c r="G137" s="34"/>
      <c r="H137" s="25"/>
      <c r="I137" s="70" t="str">
        <f>IF(C137="Trả lại đơn","",IF(C137="Hòa giải thành","",IF(F137=0,"",EDATE(F137,VLOOKUP(C137,'Thời hạn'!$G$1:$H$12,2,0))+H137)))</f>
        <v/>
      </c>
      <c r="J137" s="59" t="str">
        <f t="shared" ca="1" si="1"/>
        <v/>
      </c>
      <c r="K137" s="25"/>
      <c r="L137" s="129"/>
      <c r="M137" s="130"/>
      <c r="N137" s="35"/>
      <c r="O137" s="34"/>
      <c r="P137" s="25"/>
      <c r="Q137" s="25"/>
      <c r="R137" s="34"/>
      <c r="S137" s="34"/>
      <c r="T137" s="137"/>
      <c r="U137" s="137"/>
      <c r="V137" s="36"/>
      <c r="W137" s="37"/>
      <c r="X137" s="71" t="str">
        <f>IF(C137="Trả lại đơn","",IF((NETWORKDAYS(F137,G137,'Danh sách ngày nghỉ lễ'!$B$5:$B$25)-1-3)&gt;0,"Quá hạn"&amp;" "&amp;(NETWORKDAYS(F137,G137,'Danh sách ngày nghỉ lễ'!$B$5:$B$25)-1-3)&amp;" "&amp;"ngày",""))</f>
        <v/>
      </c>
      <c r="Y137" s="72" t="str">
        <f>IF(S137=0,"",IF(P137="Chuyển","",IF(P137="Nhập vào vụ khác","",IF(P137="CN đối thoại","",IF(P137="CN tại tòa","",IF(P137="BA",IF((S137-R137)&gt;7,"Quá hạn"&amp;" "&amp;(S137-R137-7)&amp;" "&amp;"ngày",""),IF((NETWORKDAYS(R137,S137,'Danh sách ngày nghỉ lễ'!$B$5:$B$25)-VLOOKUP(P137,'Thời hạn'!$D$17:$E$20,2,0))&gt;1,"Quá hạn"&amp;" "&amp;(NETWORKDAYS(R137,S137,'Danh sách ngày nghỉ lễ'!$B$5:$B$25)-1-VLOOKUP(P137,'Thời hạn'!$D$17:$E$20,2,0))&amp;" "&amp;"ngày","")))))))</f>
        <v/>
      </c>
      <c r="Z137" s="23">
        <v>1</v>
      </c>
    </row>
    <row r="138" spans="1:26" x14ac:dyDescent="0.3">
      <c r="A138" s="24">
        <v>1</v>
      </c>
      <c r="B138" s="39"/>
      <c r="C138" s="33"/>
      <c r="D138" s="25"/>
      <c r="E138" s="25"/>
      <c r="F138" s="34"/>
      <c r="G138" s="34"/>
      <c r="H138" s="25"/>
      <c r="I138" s="70" t="str">
        <f>IF(C138="Trả lại đơn","",IF(C138="Hòa giải thành","",IF(F138=0,"",EDATE(F138,VLOOKUP(C138,'Thời hạn'!$G$1:$H$12,2,0))+H138)))</f>
        <v/>
      </c>
      <c r="J138" s="59" t="str">
        <f t="shared" ca="1" si="1"/>
        <v/>
      </c>
      <c r="K138" s="25"/>
      <c r="L138" s="129"/>
      <c r="M138" s="130"/>
      <c r="N138" s="35"/>
      <c r="O138" s="34"/>
      <c r="P138" s="25"/>
      <c r="Q138" s="25"/>
      <c r="R138" s="34"/>
      <c r="S138" s="34"/>
      <c r="T138" s="137"/>
      <c r="U138" s="137"/>
      <c r="V138" s="36"/>
      <c r="W138" s="37"/>
      <c r="X138" s="71" t="str">
        <f>IF(C138="Trả lại đơn","",IF((NETWORKDAYS(F138,G138,'Danh sách ngày nghỉ lễ'!$B$5:$B$25)-1-3)&gt;0,"Quá hạn"&amp;" "&amp;(NETWORKDAYS(F138,G138,'Danh sách ngày nghỉ lễ'!$B$5:$B$25)-1-3)&amp;" "&amp;"ngày",""))</f>
        <v/>
      </c>
      <c r="Y138" s="72" t="str">
        <f>IF(S138=0,"",IF(P138="Chuyển","",IF(P138="Nhập vào vụ khác","",IF(P138="CN đối thoại","",IF(P138="CN tại tòa","",IF(P138="BA",IF((S138-R138)&gt;7,"Quá hạn"&amp;" "&amp;(S138-R138-7)&amp;" "&amp;"ngày",""),IF((NETWORKDAYS(R138,S138,'Danh sách ngày nghỉ lễ'!$B$5:$B$25)-VLOOKUP(P138,'Thời hạn'!$D$17:$E$20,2,0))&gt;1,"Quá hạn"&amp;" "&amp;(NETWORKDAYS(R138,S138,'Danh sách ngày nghỉ lễ'!$B$5:$B$25)-1-VLOOKUP(P138,'Thời hạn'!$D$17:$E$20,2,0))&amp;" "&amp;"ngày","")))))))</f>
        <v/>
      </c>
      <c r="Z138" s="23">
        <v>1</v>
      </c>
    </row>
    <row r="139" spans="1:26" x14ac:dyDescent="0.3">
      <c r="A139" s="24">
        <v>1</v>
      </c>
      <c r="B139" s="39"/>
      <c r="C139" s="33"/>
      <c r="D139" s="25"/>
      <c r="E139" s="25"/>
      <c r="F139" s="34"/>
      <c r="G139" s="34"/>
      <c r="H139" s="25"/>
      <c r="I139" s="70" t="str">
        <f>IF(C139="Trả lại đơn","",IF(C139="Hòa giải thành","",IF(F139=0,"",EDATE(F139,VLOOKUP(C139,'Thời hạn'!$G$1:$H$12,2,0))+H139)))</f>
        <v/>
      </c>
      <c r="J139" s="59" t="str">
        <f t="shared" ref="J139:J202" ca="1" si="2">IF(C139="Trả lại đơn","",IF(C139="Hòa giải thành","",IF(N139=0,IF(P139=0,IF(F139=0,"",I139-TODAY()+1),""),"")))</f>
        <v/>
      </c>
      <c r="K139" s="25"/>
      <c r="L139" s="129"/>
      <c r="M139" s="130"/>
      <c r="N139" s="35"/>
      <c r="O139" s="34"/>
      <c r="P139" s="25"/>
      <c r="Q139" s="25"/>
      <c r="R139" s="34"/>
      <c r="S139" s="34"/>
      <c r="T139" s="137"/>
      <c r="U139" s="137"/>
      <c r="V139" s="36"/>
      <c r="W139" s="37"/>
      <c r="X139" s="71" t="str">
        <f>IF(C139="Trả lại đơn","",IF((NETWORKDAYS(F139,G139,'Danh sách ngày nghỉ lễ'!$B$5:$B$25)-1-3)&gt;0,"Quá hạn"&amp;" "&amp;(NETWORKDAYS(F139,G139,'Danh sách ngày nghỉ lễ'!$B$5:$B$25)-1-3)&amp;" "&amp;"ngày",""))</f>
        <v/>
      </c>
      <c r="Y139" s="72" t="str">
        <f>IF(S139=0,"",IF(P139="Chuyển","",IF(P139="Nhập vào vụ khác","",IF(P139="CN đối thoại","",IF(P139="CN tại tòa","",IF(P139="BA",IF((S139-R139)&gt;7,"Quá hạn"&amp;" "&amp;(S139-R139-7)&amp;" "&amp;"ngày",""),IF((NETWORKDAYS(R139,S139,'Danh sách ngày nghỉ lễ'!$B$5:$B$25)-VLOOKUP(P139,'Thời hạn'!$D$17:$E$20,2,0))&gt;1,"Quá hạn"&amp;" "&amp;(NETWORKDAYS(R139,S139,'Danh sách ngày nghỉ lễ'!$B$5:$B$25)-1-VLOOKUP(P139,'Thời hạn'!$D$17:$E$20,2,0))&amp;" "&amp;"ngày","")))))))</f>
        <v/>
      </c>
      <c r="Z139" s="23">
        <v>1</v>
      </c>
    </row>
    <row r="140" spans="1:26" x14ac:dyDescent="0.3">
      <c r="A140" s="24">
        <v>1</v>
      </c>
      <c r="B140" s="39"/>
      <c r="C140" s="33"/>
      <c r="D140" s="25"/>
      <c r="E140" s="25"/>
      <c r="F140" s="34"/>
      <c r="G140" s="34"/>
      <c r="H140" s="25"/>
      <c r="I140" s="70" t="str">
        <f>IF(C140="Trả lại đơn","",IF(C140="Hòa giải thành","",IF(F140=0,"",EDATE(F140,VLOOKUP(C140,'Thời hạn'!$G$1:$H$12,2,0))+H140)))</f>
        <v/>
      </c>
      <c r="J140" s="59" t="str">
        <f t="shared" ca="1" si="2"/>
        <v/>
      </c>
      <c r="K140" s="25"/>
      <c r="L140" s="129"/>
      <c r="M140" s="130"/>
      <c r="N140" s="35"/>
      <c r="O140" s="34"/>
      <c r="P140" s="25"/>
      <c r="Q140" s="25"/>
      <c r="R140" s="34"/>
      <c r="S140" s="34"/>
      <c r="T140" s="137"/>
      <c r="U140" s="137"/>
      <c r="V140" s="36"/>
      <c r="W140" s="37"/>
      <c r="X140" s="71" t="str">
        <f>IF(C140="Trả lại đơn","",IF((NETWORKDAYS(F140,G140,'Danh sách ngày nghỉ lễ'!$B$5:$B$25)-1-3)&gt;0,"Quá hạn"&amp;" "&amp;(NETWORKDAYS(F140,G140,'Danh sách ngày nghỉ lễ'!$B$5:$B$25)-1-3)&amp;" "&amp;"ngày",""))</f>
        <v/>
      </c>
      <c r="Y140" s="72" t="str">
        <f>IF(S140=0,"",IF(P140="Chuyển","",IF(P140="Nhập vào vụ khác","",IF(P140="CN đối thoại","",IF(P140="CN tại tòa","",IF(P140="BA",IF((S140-R140)&gt;7,"Quá hạn"&amp;" "&amp;(S140-R140-7)&amp;" "&amp;"ngày",""),IF((NETWORKDAYS(R140,S140,'Danh sách ngày nghỉ lễ'!$B$5:$B$25)-VLOOKUP(P140,'Thời hạn'!$D$17:$E$20,2,0))&gt;1,"Quá hạn"&amp;" "&amp;(NETWORKDAYS(R140,S140,'Danh sách ngày nghỉ lễ'!$B$5:$B$25)-1-VLOOKUP(P140,'Thời hạn'!$D$17:$E$20,2,0))&amp;" "&amp;"ngày","")))))))</f>
        <v/>
      </c>
      <c r="Z140" s="23">
        <v>1</v>
      </c>
    </row>
    <row r="141" spans="1:26" x14ac:dyDescent="0.3">
      <c r="A141" s="24">
        <v>1</v>
      </c>
      <c r="B141" s="39"/>
      <c r="C141" s="33"/>
      <c r="D141" s="25"/>
      <c r="E141" s="25"/>
      <c r="F141" s="34"/>
      <c r="G141" s="34"/>
      <c r="H141" s="25"/>
      <c r="I141" s="70" t="str">
        <f>IF(C141="Trả lại đơn","",IF(C141="Hòa giải thành","",IF(F141=0,"",EDATE(F141,VLOOKUP(C141,'Thời hạn'!$G$1:$H$12,2,0))+H141)))</f>
        <v/>
      </c>
      <c r="J141" s="59" t="str">
        <f t="shared" ca="1" si="2"/>
        <v/>
      </c>
      <c r="K141" s="25"/>
      <c r="L141" s="129"/>
      <c r="M141" s="130"/>
      <c r="N141" s="35"/>
      <c r="O141" s="34"/>
      <c r="P141" s="25"/>
      <c r="Q141" s="25"/>
      <c r="R141" s="34"/>
      <c r="S141" s="34"/>
      <c r="T141" s="137"/>
      <c r="U141" s="137"/>
      <c r="V141" s="36"/>
      <c r="W141" s="37"/>
      <c r="X141" s="71" t="str">
        <f>IF(C141="Trả lại đơn","",IF((NETWORKDAYS(F141,G141,'Danh sách ngày nghỉ lễ'!$B$5:$B$25)-1-3)&gt;0,"Quá hạn"&amp;" "&amp;(NETWORKDAYS(F141,G141,'Danh sách ngày nghỉ lễ'!$B$5:$B$25)-1-3)&amp;" "&amp;"ngày",""))</f>
        <v/>
      </c>
      <c r="Y141" s="72" t="str">
        <f>IF(S141=0,"",IF(P141="Chuyển","",IF(P141="Nhập vào vụ khác","",IF(P141="CN đối thoại","",IF(P141="CN tại tòa","",IF(P141="BA",IF((S141-R141)&gt;7,"Quá hạn"&amp;" "&amp;(S141-R141-7)&amp;" "&amp;"ngày",""),IF((NETWORKDAYS(R141,S141,'Danh sách ngày nghỉ lễ'!$B$5:$B$25)-VLOOKUP(P141,'Thời hạn'!$D$17:$E$20,2,0))&gt;1,"Quá hạn"&amp;" "&amp;(NETWORKDAYS(R141,S141,'Danh sách ngày nghỉ lễ'!$B$5:$B$25)-1-VLOOKUP(P141,'Thời hạn'!$D$17:$E$20,2,0))&amp;" "&amp;"ngày","")))))))</f>
        <v/>
      </c>
      <c r="Z141" s="23">
        <v>1</v>
      </c>
    </row>
    <row r="142" spans="1:26" x14ac:dyDescent="0.3">
      <c r="A142" s="24">
        <v>1</v>
      </c>
      <c r="B142" s="39"/>
      <c r="C142" s="33"/>
      <c r="D142" s="25"/>
      <c r="E142" s="25"/>
      <c r="F142" s="34"/>
      <c r="G142" s="34"/>
      <c r="H142" s="25"/>
      <c r="I142" s="70" t="str">
        <f>IF(C142="Trả lại đơn","",IF(C142="Hòa giải thành","",IF(F142=0,"",EDATE(F142,VLOOKUP(C142,'Thời hạn'!$G$1:$H$12,2,0))+H142)))</f>
        <v/>
      </c>
      <c r="J142" s="59" t="str">
        <f t="shared" ca="1" si="2"/>
        <v/>
      </c>
      <c r="K142" s="25"/>
      <c r="L142" s="129"/>
      <c r="M142" s="130"/>
      <c r="N142" s="35"/>
      <c r="O142" s="34"/>
      <c r="P142" s="25"/>
      <c r="Q142" s="25"/>
      <c r="R142" s="34"/>
      <c r="S142" s="34"/>
      <c r="T142" s="137"/>
      <c r="U142" s="137"/>
      <c r="V142" s="36"/>
      <c r="W142" s="37"/>
      <c r="X142" s="71" t="str">
        <f>IF(C142="Trả lại đơn","",IF((NETWORKDAYS(F142,G142,'Danh sách ngày nghỉ lễ'!$B$5:$B$25)-1-3)&gt;0,"Quá hạn"&amp;" "&amp;(NETWORKDAYS(F142,G142,'Danh sách ngày nghỉ lễ'!$B$5:$B$25)-1-3)&amp;" "&amp;"ngày",""))</f>
        <v/>
      </c>
      <c r="Y142" s="72" t="str">
        <f>IF(S142=0,"",IF(P142="Chuyển","",IF(P142="Nhập vào vụ khác","",IF(P142="CN đối thoại","",IF(P142="CN tại tòa","",IF(P142="BA",IF((S142-R142)&gt;7,"Quá hạn"&amp;" "&amp;(S142-R142-7)&amp;" "&amp;"ngày",""),IF((NETWORKDAYS(R142,S142,'Danh sách ngày nghỉ lễ'!$B$5:$B$25)-VLOOKUP(P142,'Thời hạn'!$D$17:$E$20,2,0))&gt;1,"Quá hạn"&amp;" "&amp;(NETWORKDAYS(R142,S142,'Danh sách ngày nghỉ lễ'!$B$5:$B$25)-1-VLOOKUP(P142,'Thời hạn'!$D$17:$E$20,2,0))&amp;" "&amp;"ngày","")))))))</f>
        <v/>
      </c>
      <c r="Z142" s="23">
        <v>1</v>
      </c>
    </row>
    <row r="143" spans="1:26" x14ac:dyDescent="0.3">
      <c r="A143" s="24">
        <v>1</v>
      </c>
      <c r="B143" s="39"/>
      <c r="C143" s="33"/>
      <c r="D143" s="25"/>
      <c r="E143" s="25"/>
      <c r="F143" s="34"/>
      <c r="G143" s="34"/>
      <c r="H143" s="25"/>
      <c r="I143" s="70" t="str">
        <f>IF(C143="Trả lại đơn","",IF(C143="Hòa giải thành","",IF(F143=0,"",EDATE(F143,VLOOKUP(C143,'Thời hạn'!$G$1:$H$12,2,0))+H143)))</f>
        <v/>
      </c>
      <c r="J143" s="59" t="str">
        <f t="shared" ca="1" si="2"/>
        <v/>
      </c>
      <c r="K143" s="25"/>
      <c r="L143" s="129"/>
      <c r="M143" s="130"/>
      <c r="N143" s="35"/>
      <c r="O143" s="34"/>
      <c r="P143" s="25"/>
      <c r="Q143" s="25"/>
      <c r="R143" s="34"/>
      <c r="S143" s="34"/>
      <c r="T143" s="137"/>
      <c r="U143" s="137"/>
      <c r="V143" s="36"/>
      <c r="W143" s="37"/>
      <c r="X143" s="71" t="str">
        <f>IF(C143="Trả lại đơn","",IF((NETWORKDAYS(F143,G143,'Danh sách ngày nghỉ lễ'!$B$5:$B$25)-1-3)&gt;0,"Quá hạn"&amp;" "&amp;(NETWORKDAYS(F143,G143,'Danh sách ngày nghỉ lễ'!$B$5:$B$25)-1-3)&amp;" "&amp;"ngày",""))</f>
        <v/>
      </c>
      <c r="Y143" s="72" t="str">
        <f>IF(S143=0,"",IF(P143="Chuyển","",IF(P143="Nhập vào vụ khác","",IF(P143="CN đối thoại","",IF(P143="CN tại tòa","",IF(P143="BA",IF((S143-R143)&gt;7,"Quá hạn"&amp;" "&amp;(S143-R143-7)&amp;" "&amp;"ngày",""),IF((NETWORKDAYS(R143,S143,'Danh sách ngày nghỉ lễ'!$B$5:$B$25)-VLOOKUP(P143,'Thời hạn'!$D$17:$E$20,2,0))&gt;1,"Quá hạn"&amp;" "&amp;(NETWORKDAYS(R143,S143,'Danh sách ngày nghỉ lễ'!$B$5:$B$25)-1-VLOOKUP(P143,'Thời hạn'!$D$17:$E$20,2,0))&amp;" "&amp;"ngày","")))))))</f>
        <v/>
      </c>
      <c r="Z143" s="23">
        <v>1</v>
      </c>
    </row>
    <row r="144" spans="1:26" x14ac:dyDescent="0.3">
      <c r="A144" s="24">
        <v>1</v>
      </c>
      <c r="B144" s="39"/>
      <c r="C144" s="33"/>
      <c r="D144" s="25"/>
      <c r="E144" s="25"/>
      <c r="F144" s="34"/>
      <c r="G144" s="34"/>
      <c r="H144" s="25"/>
      <c r="I144" s="70" t="str">
        <f>IF(C144="Trả lại đơn","",IF(C144="Hòa giải thành","",IF(F144=0,"",EDATE(F144,VLOOKUP(C144,'Thời hạn'!$G$1:$H$12,2,0))+H144)))</f>
        <v/>
      </c>
      <c r="J144" s="59" t="str">
        <f t="shared" ca="1" si="2"/>
        <v/>
      </c>
      <c r="K144" s="25"/>
      <c r="L144" s="129"/>
      <c r="M144" s="130"/>
      <c r="N144" s="35"/>
      <c r="O144" s="34"/>
      <c r="P144" s="25"/>
      <c r="Q144" s="25"/>
      <c r="R144" s="34"/>
      <c r="S144" s="34"/>
      <c r="T144" s="137"/>
      <c r="U144" s="137"/>
      <c r="V144" s="36"/>
      <c r="W144" s="37"/>
      <c r="X144" s="71" t="str">
        <f>IF(C144="Trả lại đơn","",IF((NETWORKDAYS(F144,G144,'Danh sách ngày nghỉ lễ'!$B$5:$B$25)-1-3)&gt;0,"Quá hạn"&amp;" "&amp;(NETWORKDAYS(F144,G144,'Danh sách ngày nghỉ lễ'!$B$5:$B$25)-1-3)&amp;" "&amp;"ngày",""))</f>
        <v/>
      </c>
      <c r="Y144" s="72" t="str">
        <f>IF(S144=0,"",IF(P144="Chuyển","",IF(P144="Nhập vào vụ khác","",IF(P144="CN đối thoại","",IF(P144="CN tại tòa","",IF(P144="BA",IF((S144-R144)&gt;7,"Quá hạn"&amp;" "&amp;(S144-R144-7)&amp;" "&amp;"ngày",""),IF((NETWORKDAYS(R144,S144,'Danh sách ngày nghỉ lễ'!$B$5:$B$25)-VLOOKUP(P144,'Thời hạn'!$D$17:$E$20,2,0))&gt;1,"Quá hạn"&amp;" "&amp;(NETWORKDAYS(R144,S144,'Danh sách ngày nghỉ lễ'!$B$5:$B$25)-1-VLOOKUP(P144,'Thời hạn'!$D$17:$E$20,2,0))&amp;" "&amp;"ngày","")))))))</f>
        <v/>
      </c>
      <c r="Z144" s="23">
        <v>1</v>
      </c>
    </row>
    <row r="145" spans="1:26" x14ac:dyDescent="0.3">
      <c r="A145" s="24">
        <v>1</v>
      </c>
      <c r="B145" s="39"/>
      <c r="C145" s="33"/>
      <c r="D145" s="25"/>
      <c r="E145" s="25"/>
      <c r="F145" s="34"/>
      <c r="G145" s="34"/>
      <c r="H145" s="25"/>
      <c r="I145" s="70" t="str">
        <f>IF(C145="Trả lại đơn","",IF(C145="Hòa giải thành","",IF(F145=0,"",EDATE(F145,VLOOKUP(C145,'Thời hạn'!$G$1:$H$12,2,0))+H145)))</f>
        <v/>
      </c>
      <c r="J145" s="59" t="str">
        <f t="shared" ca="1" si="2"/>
        <v/>
      </c>
      <c r="K145" s="25"/>
      <c r="L145" s="129"/>
      <c r="M145" s="130"/>
      <c r="N145" s="35"/>
      <c r="O145" s="34"/>
      <c r="P145" s="25"/>
      <c r="Q145" s="25"/>
      <c r="R145" s="34"/>
      <c r="S145" s="34"/>
      <c r="T145" s="137"/>
      <c r="U145" s="137"/>
      <c r="V145" s="36"/>
      <c r="W145" s="37"/>
      <c r="X145" s="71" t="str">
        <f>IF(C145="Trả lại đơn","",IF((NETWORKDAYS(F145,G145,'Danh sách ngày nghỉ lễ'!$B$5:$B$25)-1-3)&gt;0,"Quá hạn"&amp;" "&amp;(NETWORKDAYS(F145,G145,'Danh sách ngày nghỉ lễ'!$B$5:$B$25)-1-3)&amp;" "&amp;"ngày",""))</f>
        <v/>
      </c>
      <c r="Y145" s="72" t="str">
        <f>IF(S145=0,"",IF(P145="Chuyển","",IF(P145="Nhập vào vụ khác","",IF(P145="CN đối thoại","",IF(P145="CN tại tòa","",IF(P145="BA",IF((S145-R145)&gt;7,"Quá hạn"&amp;" "&amp;(S145-R145-7)&amp;" "&amp;"ngày",""),IF((NETWORKDAYS(R145,S145,'Danh sách ngày nghỉ lễ'!$B$5:$B$25)-VLOOKUP(P145,'Thời hạn'!$D$17:$E$20,2,0))&gt;1,"Quá hạn"&amp;" "&amp;(NETWORKDAYS(R145,S145,'Danh sách ngày nghỉ lễ'!$B$5:$B$25)-1-VLOOKUP(P145,'Thời hạn'!$D$17:$E$20,2,0))&amp;" "&amp;"ngày","")))))))</f>
        <v/>
      </c>
      <c r="Z145" s="23">
        <v>1</v>
      </c>
    </row>
    <row r="146" spans="1:26" x14ac:dyDescent="0.3">
      <c r="A146" s="24">
        <v>1</v>
      </c>
      <c r="B146" s="39"/>
      <c r="C146" s="33"/>
      <c r="D146" s="25"/>
      <c r="E146" s="25"/>
      <c r="F146" s="34"/>
      <c r="G146" s="34"/>
      <c r="H146" s="25"/>
      <c r="I146" s="70" t="str">
        <f>IF(C146="Trả lại đơn","",IF(C146="Hòa giải thành","",IF(F146=0,"",EDATE(F146,VLOOKUP(C146,'Thời hạn'!$G$1:$H$12,2,0))+H146)))</f>
        <v/>
      </c>
      <c r="J146" s="59" t="str">
        <f t="shared" ca="1" si="2"/>
        <v/>
      </c>
      <c r="K146" s="25"/>
      <c r="L146" s="129"/>
      <c r="M146" s="130"/>
      <c r="N146" s="35"/>
      <c r="O146" s="34"/>
      <c r="P146" s="25"/>
      <c r="Q146" s="25"/>
      <c r="R146" s="34"/>
      <c r="S146" s="34"/>
      <c r="T146" s="137"/>
      <c r="U146" s="137"/>
      <c r="V146" s="36"/>
      <c r="W146" s="37"/>
      <c r="X146" s="71" t="str">
        <f>IF(C146="Trả lại đơn","",IF((NETWORKDAYS(F146,G146,'Danh sách ngày nghỉ lễ'!$B$5:$B$25)-1-3)&gt;0,"Quá hạn"&amp;" "&amp;(NETWORKDAYS(F146,G146,'Danh sách ngày nghỉ lễ'!$B$5:$B$25)-1-3)&amp;" "&amp;"ngày",""))</f>
        <v/>
      </c>
      <c r="Y146" s="72" t="str">
        <f>IF(S146=0,"",IF(P146="Chuyển","",IF(P146="Nhập vào vụ khác","",IF(P146="CN đối thoại","",IF(P146="CN tại tòa","",IF(P146="BA",IF((S146-R146)&gt;7,"Quá hạn"&amp;" "&amp;(S146-R146-7)&amp;" "&amp;"ngày",""),IF((NETWORKDAYS(R146,S146,'Danh sách ngày nghỉ lễ'!$B$5:$B$25)-VLOOKUP(P146,'Thời hạn'!$D$17:$E$20,2,0))&gt;1,"Quá hạn"&amp;" "&amp;(NETWORKDAYS(R146,S146,'Danh sách ngày nghỉ lễ'!$B$5:$B$25)-1-VLOOKUP(P146,'Thời hạn'!$D$17:$E$20,2,0))&amp;" "&amp;"ngày","")))))))</f>
        <v/>
      </c>
      <c r="Z146" s="23">
        <v>1</v>
      </c>
    </row>
    <row r="147" spans="1:26" x14ac:dyDescent="0.3">
      <c r="A147" s="24">
        <v>1</v>
      </c>
      <c r="B147" s="39"/>
      <c r="C147" s="33"/>
      <c r="D147" s="25"/>
      <c r="E147" s="25"/>
      <c r="F147" s="34"/>
      <c r="G147" s="34"/>
      <c r="H147" s="25"/>
      <c r="I147" s="70" t="str">
        <f>IF(C147="Trả lại đơn","",IF(C147="Hòa giải thành","",IF(F147=0,"",EDATE(F147,VLOOKUP(C147,'Thời hạn'!$G$1:$H$12,2,0))+H147)))</f>
        <v/>
      </c>
      <c r="J147" s="59" t="str">
        <f t="shared" ca="1" si="2"/>
        <v/>
      </c>
      <c r="K147" s="25"/>
      <c r="L147" s="129"/>
      <c r="M147" s="130"/>
      <c r="N147" s="35"/>
      <c r="O147" s="34"/>
      <c r="P147" s="25"/>
      <c r="Q147" s="25"/>
      <c r="R147" s="34"/>
      <c r="S147" s="34"/>
      <c r="T147" s="137"/>
      <c r="U147" s="137"/>
      <c r="V147" s="36"/>
      <c r="W147" s="37"/>
      <c r="X147" s="71" t="str">
        <f>IF(C147="Trả lại đơn","",IF((NETWORKDAYS(F147,G147,'Danh sách ngày nghỉ lễ'!$B$5:$B$25)-1-3)&gt;0,"Quá hạn"&amp;" "&amp;(NETWORKDAYS(F147,G147,'Danh sách ngày nghỉ lễ'!$B$5:$B$25)-1-3)&amp;" "&amp;"ngày",""))</f>
        <v/>
      </c>
      <c r="Y147" s="72" t="str">
        <f>IF(S147=0,"",IF(P147="Chuyển","",IF(P147="Nhập vào vụ khác","",IF(P147="CN đối thoại","",IF(P147="CN tại tòa","",IF(P147="BA",IF((S147-R147)&gt;7,"Quá hạn"&amp;" "&amp;(S147-R147-7)&amp;" "&amp;"ngày",""),IF((NETWORKDAYS(R147,S147,'Danh sách ngày nghỉ lễ'!$B$5:$B$25)-VLOOKUP(P147,'Thời hạn'!$D$17:$E$20,2,0))&gt;1,"Quá hạn"&amp;" "&amp;(NETWORKDAYS(R147,S147,'Danh sách ngày nghỉ lễ'!$B$5:$B$25)-1-VLOOKUP(P147,'Thời hạn'!$D$17:$E$20,2,0))&amp;" "&amp;"ngày","")))))))</f>
        <v/>
      </c>
      <c r="Z147" s="23">
        <v>1</v>
      </c>
    </row>
    <row r="148" spans="1:26" x14ac:dyDescent="0.3">
      <c r="A148" s="24">
        <v>1</v>
      </c>
      <c r="B148" s="39"/>
      <c r="C148" s="33"/>
      <c r="D148" s="25"/>
      <c r="E148" s="25"/>
      <c r="F148" s="34"/>
      <c r="G148" s="34"/>
      <c r="H148" s="25"/>
      <c r="I148" s="70" t="str">
        <f>IF(C148="Trả lại đơn","",IF(C148="Hòa giải thành","",IF(F148=0,"",EDATE(F148,VLOOKUP(C148,'Thời hạn'!$G$1:$H$12,2,0))+H148)))</f>
        <v/>
      </c>
      <c r="J148" s="59" t="str">
        <f t="shared" ca="1" si="2"/>
        <v/>
      </c>
      <c r="K148" s="25"/>
      <c r="L148" s="129"/>
      <c r="M148" s="130"/>
      <c r="N148" s="35"/>
      <c r="O148" s="34"/>
      <c r="P148" s="25"/>
      <c r="Q148" s="25"/>
      <c r="R148" s="34"/>
      <c r="S148" s="34"/>
      <c r="T148" s="137"/>
      <c r="U148" s="137"/>
      <c r="V148" s="36"/>
      <c r="W148" s="37"/>
      <c r="X148" s="71" t="str">
        <f>IF(C148="Trả lại đơn","",IF((NETWORKDAYS(F148,G148,'Danh sách ngày nghỉ lễ'!$B$5:$B$25)-1-3)&gt;0,"Quá hạn"&amp;" "&amp;(NETWORKDAYS(F148,G148,'Danh sách ngày nghỉ lễ'!$B$5:$B$25)-1-3)&amp;" "&amp;"ngày",""))</f>
        <v/>
      </c>
      <c r="Y148" s="72" t="str">
        <f>IF(S148=0,"",IF(P148="Chuyển","",IF(P148="Nhập vào vụ khác","",IF(P148="CN đối thoại","",IF(P148="CN tại tòa","",IF(P148="BA",IF((S148-R148)&gt;7,"Quá hạn"&amp;" "&amp;(S148-R148-7)&amp;" "&amp;"ngày",""),IF((NETWORKDAYS(R148,S148,'Danh sách ngày nghỉ lễ'!$B$5:$B$25)-VLOOKUP(P148,'Thời hạn'!$D$17:$E$20,2,0))&gt;1,"Quá hạn"&amp;" "&amp;(NETWORKDAYS(R148,S148,'Danh sách ngày nghỉ lễ'!$B$5:$B$25)-1-VLOOKUP(P148,'Thời hạn'!$D$17:$E$20,2,0))&amp;" "&amp;"ngày","")))))))</f>
        <v/>
      </c>
      <c r="Z148" s="23">
        <v>1</v>
      </c>
    </row>
    <row r="149" spans="1:26" x14ac:dyDescent="0.3">
      <c r="A149" s="24">
        <v>1</v>
      </c>
      <c r="B149" s="39"/>
      <c r="C149" s="33"/>
      <c r="D149" s="25"/>
      <c r="E149" s="25"/>
      <c r="F149" s="34"/>
      <c r="G149" s="34"/>
      <c r="H149" s="25"/>
      <c r="I149" s="70" t="str">
        <f>IF(C149="Trả lại đơn","",IF(C149="Hòa giải thành","",IF(F149=0,"",EDATE(F149,VLOOKUP(C149,'Thời hạn'!$G$1:$H$12,2,0))+H149)))</f>
        <v/>
      </c>
      <c r="J149" s="59" t="str">
        <f t="shared" ca="1" si="2"/>
        <v/>
      </c>
      <c r="K149" s="25"/>
      <c r="L149" s="129"/>
      <c r="M149" s="130"/>
      <c r="N149" s="35"/>
      <c r="O149" s="34"/>
      <c r="P149" s="25"/>
      <c r="Q149" s="25"/>
      <c r="R149" s="34"/>
      <c r="S149" s="34"/>
      <c r="T149" s="137"/>
      <c r="U149" s="137"/>
      <c r="V149" s="36"/>
      <c r="W149" s="37"/>
      <c r="X149" s="71" t="str">
        <f>IF(C149="Trả lại đơn","",IF((NETWORKDAYS(F149,G149,'Danh sách ngày nghỉ lễ'!$B$5:$B$25)-1-3)&gt;0,"Quá hạn"&amp;" "&amp;(NETWORKDAYS(F149,G149,'Danh sách ngày nghỉ lễ'!$B$5:$B$25)-1-3)&amp;" "&amp;"ngày",""))</f>
        <v/>
      </c>
      <c r="Y149" s="72" t="str">
        <f>IF(S149=0,"",IF(P149="Chuyển","",IF(P149="Nhập vào vụ khác","",IF(P149="CN đối thoại","",IF(P149="CN tại tòa","",IF(P149="BA",IF((S149-R149)&gt;7,"Quá hạn"&amp;" "&amp;(S149-R149-7)&amp;" "&amp;"ngày",""),IF((NETWORKDAYS(R149,S149,'Danh sách ngày nghỉ lễ'!$B$5:$B$25)-VLOOKUP(P149,'Thời hạn'!$D$17:$E$20,2,0))&gt;1,"Quá hạn"&amp;" "&amp;(NETWORKDAYS(R149,S149,'Danh sách ngày nghỉ lễ'!$B$5:$B$25)-1-VLOOKUP(P149,'Thời hạn'!$D$17:$E$20,2,0))&amp;" "&amp;"ngày","")))))))</f>
        <v/>
      </c>
      <c r="Z149" s="23">
        <v>1</v>
      </c>
    </row>
    <row r="150" spans="1:26" x14ac:dyDescent="0.3">
      <c r="A150" s="24">
        <v>1</v>
      </c>
      <c r="B150" s="39"/>
      <c r="C150" s="33"/>
      <c r="D150" s="25"/>
      <c r="E150" s="25"/>
      <c r="F150" s="34"/>
      <c r="G150" s="34"/>
      <c r="H150" s="25"/>
      <c r="I150" s="70" t="str">
        <f>IF(C150="Trả lại đơn","",IF(C150="Hòa giải thành","",IF(F150=0,"",EDATE(F150,VLOOKUP(C150,'Thời hạn'!$G$1:$H$12,2,0))+H150)))</f>
        <v/>
      </c>
      <c r="J150" s="59" t="str">
        <f t="shared" ca="1" si="2"/>
        <v/>
      </c>
      <c r="K150" s="25"/>
      <c r="L150" s="129"/>
      <c r="M150" s="130"/>
      <c r="N150" s="35"/>
      <c r="O150" s="34"/>
      <c r="P150" s="25"/>
      <c r="Q150" s="25"/>
      <c r="R150" s="34"/>
      <c r="S150" s="34"/>
      <c r="T150" s="137"/>
      <c r="U150" s="137"/>
      <c r="V150" s="36"/>
      <c r="W150" s="37"/>
      <c r="X150" s="71" t="str">
        <f>IF(C150="Trả lại đơn","",IF((NETWORKDAYS(F150,G150,'Danh sách ngày nghỉ lễ'!$B$5:$B$25)-1-3)&gt;0,"Quá hạn"&amp;" "&amp;(NETWORKDAYS(F150,G150,'Danh sách ngày nghỉ lễ'!$B$5:$B$25)-1-3)&amp;" "&amp;"ngày",""))</f>
        <v/>
      </c>
      <c r="Y150" s="72" t="str">
        <f>IF(S150=0,"",IF(P150="Chuyển","",IF(P150="Nhập vào vụ khác","",IF(P150="CN đối thoại","",IF(P150="CN tại tòa","",IF(P150="BA",IF((S150-R150)&gt;7,"Quá hạn"&amp;" "&amp;(S150-R150-7)&amp;" "&amp;"ngày",""),IF((NETWORKDAYS(R150,S150,'Danh sách ngày nghỉ lễ'!$B$5:$B$25)-VLOOKUP(P150,'Thời hạn'!$D$17:$E$20,2,0))&gt;1,"Quá hạn"&amp;" "&amp;(NETWORKDAYS(R150,S150,'Danh sách ngày nghỉ lễ'!$B$5:$B$25)-1-VLOOKUP(P150,'Thời hạn'!$D$17:$E$20,2,0))&amp;" "&amp;"ngày","")))))))</f>
        <v/>
      </c>
      <c r="Z150" s="23">
        <v>1</v>
      </c>
    </row>
    <row r="151" spans="1:26" x14ac:dyDescent="0.3">
      <c r="A151" s="24">
        <v>1</v>
      </c>
      <c r="B151" s="39"/>
      <c r="C151" s="33"/>
      <c r="D151" s="25"/>
      <c r="E151" s="25"/>
      <c r="F151" s="34"/>
      <c r="G151" s="34"/>
      <c r="H151" s="25"/>
      <c r="I151" s="70" t="str">
        <f>IF(C151="Trả lại đơn","",IF(C151="Hòa giải thành","",IF(F151=0,"",EDATE(F151,VLOOKUP(C151,'Thời hạn'!$G$1:$H$12,2,0))+H151)))</f>
        <v/>
      </c>
      <c r="J151" s="59" t="str">
        <f t="shared" ca="1" si="2"/>
        <v/>
      </c>
      <c r="K151" s="25"/>
      <c r="L151" s="129"/>
      <c r="M151" s="130"/>
      <c r="N151" s="35"/>
      <c r="O151" s="34"/>
      <c r="P151" s="25"/>
      <c r="Q151" s="25"/>
      <c r="R151" s="34"/>
      <c r="S151" s="34"/>
      <c r="T151" s="137"/>
      <c r="U151" s="137"/>
      <c r="V151" s="36"/>
      <c r="W151" s="37"/>
      <c r="X151" s="71" t="str">
        <f>IF(C151="Trả lại đơn","",IF((NETWORKDAYS(F151,G151,'Danh sách ngày nghỉ lễ'!$B$5:$B$25)-1-3)&gt;0,"Quá hạn"&amp;" "&amp;(NETWORKDAYS(F151,G151,'Danh sách ngày nghỉ lễ'!$B$5:$B$25)-1-3)&amp;" "&amp;"ngày",""))</f>
        <v/>
      </c>
      <c r="Y151" s="72" t="str">
        <f>IF(S151=0,"",IF(P151="Chuyển","",IF(P151="Nhập vào vụ khác","",IF(P151="CN đối thoại","",IF(P151="CN tại tòa","",IF(P151="BA",IF((S151-R151)&gt;7,"Quá hạn"&amp;" "&amp;(S151-R151-7)&amp;" "&amp;"ngày",""),IF((NETWORKDAYS(R151,S151,'Danh sách ngày nghỉ lễ'!$B$5:$B$25)-VLOOKUP(P151,'Thời hạn'!$D$17:$E$20,2,0))&gt;1,"Quá hạn"&amp;" "&amp;(NETWORKDAYS(R151,S151,'Danh sách ngày nghỉ lễ'!$B$5:$B$25)-1-VLOOKUP(P151,'Thời hạn'!$D$17:$E$20,2,0))&amp;" "&amp;"ngày","")))))))</f>
        <v/>
      </c>
      <c r="Z151" s="23">
        <v>1</v>
      </c>
    </row>
    <row r="152" spans="1:26" x14ac:dyDescent="0.3">
      <c r="A152" s="24">
        <v>1</v>
      </c>
      <c r="B152" s="39"/>
      <c r="C152" s="33"/>
      <c r="D152" s="25"/>
      <c r="E152" s="25"/>
      <c r="F152" s="34"/>
      <c r="G152" s="34"/>
      <c r="H152" s="25"/>
      <c r="I152" s="70" t="str">
        <f>IF(C152="Trả lại đơn","",IF(C152="Hòa giải thành","",IF(F152=0,"",EDATE(F152,VLOOKUP(C152,'Thời hạn'!$G$1:$H$12,2,0))+H152)))</f>
        <v/>
      </c>
      <c r="J152" s="59" t="str">
        <f t="shared" ca="1" si="2"/>
        <v/>
      </c>
      <c r="K152" s="25"/>
      <c r="L152" s="129"/>
      <c r="M152" s="130"/>
      <c r="N152" s="35"/>
      <c r="O152" s="34"/>
      <c r="P152" s="25"/>
      <c r="Q152" s="25"/>
      <c r="R152" s="34"/>
      <c r="S152" s="34"/>
      <c r="T152" s="137"/>
      <c r="U152" s="137"/>
      <c r="V152" s="36"/>
      <c r="W152" s="37"/>
      <c r="X152" s="71" t="str">
        <f>IF(C152="Trả lại đơn","",IF((NETWORKDAYS(F152,G152,'Danh sách ngày nghỉ lễ'!$B$5:$B$25)-1-3)&gt;0,"Quá hạn"&amp;" "&amp;(NETWORKDAYS(F152,G152,'Danh sách ngày nghỉ lễ'!$B$5:$B$25)-1-3)&amp;" "&amp;"ngày",""))</f>
        <v/>
      </c>
      <c r="Y152" s="72" t="str">
        <f>IF(S152=0,"",IF(P152="Chuyển","",IF(P152="Nhập vào vụ khác","",IF(P152="CN đối thoại","",IF(P152="CN tại tòa","",IF(P152="BA",IF((S152-R152)&gt;7,"Quá hạn"&amp;" "&amp;(S152-R152-7)&amp;" "&amp;"ngày",""),IF((NETWORKDAYS(R152,S152,'Danh sách ngày nghỉ lễ'!$B$5:$B$25)-VLOOKUP(P152,'Thời hạn'!$D$17:$E$20,2,0))&gt;1,"Quá hạn"&amp;" "&amp;(NETWORKDAYS(R152,S152,'Danh sách ngày nghỉ lễ'!$B$5:$B$25)-1-VLOOKUP(P152,'Thời hạn'!$D$17:$E$20,2,0))&amp;" "&amp;"ngày","")))))))</f>
        <v/>
      </c>
      <c r="Z152" s="23">
        <v>1</v>
      </c>
    </row>
    <row r="153" spans="1:26" x14ac:dyDescent="0.3">
      <c r="A153" s="24">
        <v>1</v>
      </c>
      <c r="B153" s="39"/>
      <c r="C153" s="33"/>
      <c r="D153" s="25"/>
      <c r="E153" s="25"/>
      <c r="F153" s="34"/>
      <c r="G153" s="34"/>
      <c r="H153" s="25"/>
      <c r="I153" s="70" t="str">
        <f>IF(C153="Trả lại đơn","",IF(C153="Hòa giải thành","",IF(F153=0,"",EDATE(F153,VLOOKUP(C153,'Thời hạn'!$G$1:$H$12,2,0))+H153)))</f>
        <v/>
      </c>
      <c r="J153" s="59" t="str">
        <f t="shared" ca="1" si="2"/>
        <v/>
      </c>
      <c r="K153" s="25"/>
      <c r="L153" s="129"/>
      <c r="M153" s="130"/>
      <c r="N153" s="35"/>
      <c r="O153" s="34"/>
      <c r="P153" s="25"/>
      <c r="Q153" s="25"/>
      <c r="R153" s="34"/>
      <c r="S153" s="34"/>
      <c r="T153" s="137"/>
      <c r="U153" s="137"/>
      <c r="V153" s="36"/>
      <c r="W153" s="37"/>
      <c r="X153" s="71" t="str">
        <f>IF(C153="Trả lại đơn","",IF((NETWORKDAYS(F153,G153,'Danh sách ngày nghỉ lễ'!$B$5:$B$25)-1-3)&gt;0,"Quá hạn"&amp;" "&amp;(NETWORKDAYS(F153,G153,'Danh sách ngày nghỉ lễ'!$B$5:$B$25)-1-3)&amp;" "&amp;"ngày",""))</f>
        <v/>
      </c>
      <c r="Y153" s="72" t="str">
        <f>IF(S153=0,"",IF(P153="Chuyển","",IF(P153="Nhập vào vụ khác","",IF(P153="CN đối thoại","",IF(P153="CN tại tòa","",IF(P153="BA",IF((S153-R153)&gt;7,"Quá hạn"&amp;" "&amp;(S153-R153-7)&amp;" "&amp;"ngày",""),IF((NETWORKDAYS(R153,S153,'Danh sách ngày nghỉ lễ'!$B$5:$B$25)-VLOOKUP(P153,'Thời hạn'!$D$17:$E$20,2,0))&gt;1,"Quá hạn"&amp;" "&amp;(NETWORKDAYS(R153,S153,'Danh sách ngày nghỉ lễ'!$B$5:$B$25)-1-VLOOKUP(P153,'Thời hạn'!$D$17:$E$20,2,0))&amp;" "&amp;"ngày","")))))))</f>
        <v/>
      </c>
      <c r="Z153" s="23">
        <v>1</v>
      </c>
    </row>
    <row r="154" spans="1:26" x14ac:dyDescent="0.3">
      <c r="A154" s="24">
        <v>1</v>
      </c>
      <c r="B154" s="39"/>
      <c r="C154" s="33"/>
      <c r="D154" s="25"/>
      <c r="E154" s="25"/>
      <c r="F154" s="34"/>
      <c r="G154" s="34"/>
      <c r="H154" s="25"/>
      <c r="I154" s="70" t="str">
        <f>IF(C154="Trả lại đơn","",IF(C154="Hòa giải thành","",IF(F154=0,"",EDATE(F154,VLOOKUP(C154,'Thời hạn'!$G$1:$H$12,2,0))+H154)))</f>
        <v/>
      </c>
      <c r="J154" s="59" t="str">
        <f t="shared" ca="1" si="2"/>
        <v/>
      </c>
      <c r="K154" s="25"/>
      <c r="L154" s="129"/>
      <c r="M154" s="130"/>
      <c r="N154" s="35"/>
      <c r="O154" s="34"/>
      <c r="P154" s="25"/>
      <c r="Q154" s="25"/>
      <c r="R154" s="34"/>
      <c r="S154" s="34"/>
      <c r="T154" s="137"/>
      <c r="U154" s="137"/>
      <c r="V154" s="36"/>
      <c r="W154" s="37"/>
      <c r="X154" s="71" t="str">
        <f>IF(C154="Trả lại đơn","",IF((NETWORKDAYS(F154,G154,'Danh sách ngày nghỉ lễ'!$B$5:$B$25)-1-3)&gt;0,"Quá hạn"&amp;" "&amp;(NETWORKDAYS(F154,G154,'Danh sách ngày nghỉ lễ'!$B$5:$B$25)-1-3)&amp;" "&amp;"ngày",""))</f>
        <v/>
      </c>
      <c r="Y154" s="72" t="str">
        <f>IF(S154=0,"",IF(P154="Chuyển","",IF(P154="Nhập vào vụ khác","",IF(P154="CN đối thoại","",IF(P154="CN tại tòa","",IF(P154="BA",IF((S154-R154)&gt;7,"Quá hạn"&amp;" "&amp;(S154-R154-7)&amp;" "&amp;"ngày",""),IF((NETWORKDAYS(R154,S154,'Danh sách ngày nghỉ lễ'!$B$5:$B$25)-VLOOKUP(P154,'Thời hạn'!$D$17:$E$20,2,0))&gt;1,"Quá hạn"&amp;" "&amp;(NETWORKDAYS(R154,S154,'Danh sách ngày nghỉ lễ'!$B$5:$B$25)-1-VLOOKUP(P154,'Thời hạn'!$D$17:$E$20,2,0))&amp;" "&amp;"ngày","")))))))</f>
        <v/>
      </c>
      <c r="Z154" s="23">
        <v>1</v>
      </c>
    </row>
    <row r="155" spans="1:26" x14ac:dyDescent="0.3">
      <c r="A155" s="24">
        <v>1</v>
      </c>
      <c r="B155" s="39"/>
      <c r="C155" s="33"/>
      <c r="D155" s="25"/>
      <c r="E155" s="25"/>
      <c r="F155" s="34"/>
      <c r="G155" s="34"/>
      <c r="H155" s="25"/>
      <c r="I155" s="70" t="str">
        <f>IF(C155="Trả lại đơn","",IF(C155="Hòa giải thành","",IF(F155=0,"",EDATE(F155,VLOOKUP(C155,'Thời hạn'!$G$1:$H$12,2,0))+H155)))</f>
        <v/>
      </c>
      <c r="J155" s="59" t="str">
        <f t="shared" ca="1" si="2"/>
        <v/>
      </c>
      <c r="K155" s="25"/>
      <c r="L155" s="129"/>
      <c r="M155" s="130"/>
      <c r="N155" s="35"/>
      <c r="O155" s="34"/>
      <c r="P155" s="25"/>
      <c r="Q155" s="25"/>
      <c r="R155" s="34"/>
      <c r="S155" s="34"/>
      <c r="T155" s="137"/>
      <c r="U155" s="137"/>
      <c r="V155" s="36"/>
      <c r="W155" s="37"/>
      <c r="X155" s="71" t="str">
        <f>IF(C155="Trả lại đơn","",IF((NETWORKDAYS(F155,G155,'Danh sách ngày nghỉ lễ'!$B$5:$B$25)-1-3)&gt;0,"Quá hạn"&amp;" "&amp;(NETWORKDAYS(F155,G155,'Danh sách ngày nghỉ lễ'!$B$5:$B$25)-1-3)&amp;" "&amp;"ngày",""))</f>
        <v/>
      </c>
      <c r="Y155" s="72" t="str">
        <f>IF(S155=0,"",IF(P155="Chuyển","",IF(P155="Nhập vào vụ khác","",IF(P155="CN đối thoại","",IF(P155="CN tại tòa","",IF(P155="BA",IF((S155-R155)&gt;7,"Quá hạn"&amp;" "&amp;(S155-R155-7)&amp;" "&amp;"ngày",""),IF((NETWORKDAYS(R155,S155,'Danh sách ngày nghỉ lễ'!$B$5:$B$25)-VLOOKUP(P155,'Thời hạn'!$D$17:$E$20,2,0))&gt;1,"Quá hạn"&amp;" "&amp;(NETWORKDAYS(R155,S155,'Danh sách ngày nghỉ lễ'!$B$5:$B$25)-1-VLOOKUP(P155,'Thời hạn'!$D$17:$E$20,2,0))&amp;" "&amp;"ngày","")))))))</f>
        <v/>
      </c>
      <c r="Z155" s="23">
        <v>1</v>
      </c>
    </row>
    <row r="156" spans="1:26" x14ac:dyDescent="0.3">
      <c r="A156" s="24">
        <v>1</v>
      </c>
      <c r="B156" s="39"/>
      <c r="C156" s="33"/>
      <c r="D156" s="25"/>
      <c r="E156" s="25"/>
      <c r="F156" s="34"/>
      <c r="G156" s="34"/>
      <c r="H156" s="25"/>
      <c r="I156" s="70" t="str">
        <f>IF(C156="Trả lại đơn","",IF(C156="Hòa giải thành","",IF(F156=0,"",EDATE(F156,VLOOKUP(C156,'Thời hạn'!$G$1:$H$12,2,0))+H156)))</f>
        <v/>
      </c>
      <c r="J156" s="59" t="str">
        <f t="shared" ca="1" si="2"/>
        <v/>
      </c>
      <c r="K156" s="25"/>
      <c r="L156" s="129"/>
      <c r="M156" s="130"/>
      <c r="N156" s="35"/>
      <c r="O156" s="34"/>
      <c r="P156" s="25"/>
      <c r="Q156" s="25"/>
      <c r="R156" s="34"/>
      <c r="S156" s="34"/>
      <c r="T156" s="137"/>
      <c r="U156" s="137"/>
      <c r="V156" s="36"/>
      <c r="W156" s="37"/>
      <c r="X156" s="71" t="str">
        <f>IF(C156="Trả lại đơn","",IF((NETWORKDAYS(F156,G156,'Danh sách ngày nghỉ lễ'!$B$5:$B$25)-1-3)&gt;0,"Quá hạn"&amp;" "&amp;(NETWORKDAYS(F156,G156,'Danh sách ngày nghỉ lễ'!$B$5:$B$25)-1-3)&amp;" "&amp;"ngày",""))</f>
        <v/>
      </c>
      <c r="Y156" s="72" t="str">
        <f>IF(S156=0,"",IF(P156="Chuyển","",IF(P156="Nhập vào vụ khác","",IF(P156="CN đối thoại","",IF(P156="CN tại tòa","",IF(P156="BA",IF((S156-R156)&gt;7,"Quá hạn"&amp;" "&amp;(S156-R156-7)&amp;" "&amp;"ngày",""),IF((NETWORKDAYS(R156,S156,'Danh sách ngày nghỉ lễ'!$B$5:$B$25)-VLOOKUP(P156,'Thời hạn'!$D$17:$E$20,2,0))&gt;1,"Quá hạn"&amp;" "&amp;(NETWORKDAYS(R156,S156,'Danh sách ngày nghỉ lễ'!$B$5:$B$25)-1-VLOOKUP(P156,'Thời hạn'!$D$17:$E$20,2,0))&amp;" "&amp;"ngày","")))))))</f>
        <v/>
      </c>
      <c r="Z156" s="23">
        <v>1</v>
      </c>
    </row>
    <row r="157" spans="1:26" x14ac:dyDescent="0.3">
      <c r="A157" s="24">
        <v>1</v>
      </c>
      <c r="B157" s="39"/>
      <c r="C157" s="33"/>
      <c r="D157" s="25"/>
      <c r="E157" s="25"/>
      <c r="F157" s="34"/>
      <c r="G157" s="34"/>
      <c r="H157" s="25"/>
      <c r="I157" s="70" t="str">
        <f>IF(C157="Trả lại đơn","",IF(C157="Hòa giải thành","",IF(F157=0,"",EDATE(F157,VLOOKUP(C157,'Thời hạn'!$G$1:$H$12,2,0))+H157)))</f>
        <v/>
      </c>
      <c r="J157" s="59" t="str">
        <f t="shared" ca="1" si="2"/>
        <v/>
      </c>
      <c r="K157" s="25"/>
      <c r="L157" s="129"/>
      <c r="M157" s="130"/>
      <c r="N157" s="35"/>
      <c r="O157" s="34"/>
      <c r="P157" s="25"/>
      <c r="Q157" s="25"/>
      <c r="R157" s="34"/>
      <c r="S157" s="34"/>
      <c r="T157" s="137"/>
      <c r="U157" s="137"/>
      <c r="V157" s="36"/>
      <c r="W157" s="37"/>
      <c r="X157" s="71" t="str">
        <f>IF(C157="Trả lại đơn","",IF((NETWORKDAYS(F157,G157,'Danh sách ngày nghỉ lễ'!$B$5:$B$25)-1-3)&gt;0,"Quá hạn"&amp;" "&amp;(NETWORKDAYS(F157,G157,'Danh sách ngày nghỉ lễ'!$B$5:$B$25)-1-3)&amp;" "&amp;"ngày",""))</f>
        <v/>
      </c>
      <c r="Y157" s="72" t="str">
        <f>IF(S157=0,"",IF(P157="Chuyển","",IF(P157="Nhập vào vụ khác","",IF(P157="CN đối thoại","",IF(P157="CN tại tòa","",IF(P157="BA",IF((S157-R157)&gt;7,"Quá hạn"&amp;" "&amp;(S157-R157-7)&amp;" "&amp;"ngày",""),IF((NETWORKDAYS(R157,S157,'Danh sách ngày nghỉ lễ'!$B$5:$B$25)-VLOOKUP(P157,'Thời hạn'!$D$17:$E$20,2,0))&gt;1,"Quá hạn"&amp;" "&amp;(NETWORKDAYS(R157,S157,'Danh sách ngày nghỉ lễ'!$B$5:$B$25)-1-VLOOKUP(P157,'Thời hạn'!$D$17:$E$20,2,0))&amp;" "&amp;"ngày","")))))))</f>
        <v/>
      </c>
      <c r="Z157" s="23">
        <v>1</v>
      </c>
    </row>
    <row r="158" spans="1:26" x14ac:dyDescent="0.3">
      <c r="A158" s="24">
        <v>1</v>
      </c>
      <c r="B158" s="39"/>
      <c r="C158" s="33"/>
      <c r="D158" s="25"/>
      <c r="E158" s="25"/>
      <c r="F158" s="34"/>
      <c r="G158" s="34"/>
      <c r="H158" s="25"/>
      <c r="I158" s="70" t="str">
        <f>IF(C158="Trả lại đơn","",IF(C158="Hòa giải thành","",IF(F158=0,"",EDATE(F158,VLOOKUP(C158,'Thời hạn'!$G$1:$H$12,2,0))+H158)))</f>
        <v/>
      </c>
      <c r="J158" s="59" t="str">
        <f t="shared" ca="1" si="2"/>
        <v/>
      </c>
      <c r="K158" s="25"/>
      <c r="L158" s="129"/>
      <c r="M158" s="130"/>
      <c r="N158" s="35"/>
      <c r="O158" s="34"/>
      <c r="P158" s="25"/>
      <c r="Q158" s="25"/>
      <c r="R158" s="34"/>
      <c r="S158" s="34"/>
      <c r="T158" s="137"/>
      <c r="U158" s="137"/>
      <c r="V158" s="36"/>
      <c r="W158" s="37"/>
      <c r="X158" s="71" t="str">
        <f>IF(C158="Trả lại đơn","",IF((NETWORKDAYS(F158,G158,'Danh sách ngày nghỉ lễ'!$B$5:$B$25)-1-3)&gt;0,"Quá hạn"&amp;" "&amp;(NETWORKDAYS(F158,G158,'Danh sách ngày nghỉ lễ'!$B$5:$B$25)-1-3)&amp;" "&amp;"ngày",""))</f>
        <v/>
      </c>
      <c r="Y158" s="72" t="str">
        <f>IF(S158=0,"",IF(P158="Chuyển","",IF(P158="Nhập vào vụ khác","",IF(P158="CN đối thoại","",IF(P158="CN tại tòa","",IF(P158="BA",IF((S158-R158)&gt;7,"Quá hạn"&amp;" "&amp;(S158-R158-7)&amp;" "&amp;"ngày",""),IF((NETWORKDAYS(R158,S158,'Danh sách ngày nghỉ lễ'!$B$5:$B$25)-VLOOKUP(P158,'Thời hạn'!$D$17:$E$20,2,0))&gt;1,"Quá hạn"&amp;" "&amp;(NETWORKDAYS(R158,S158,'Danh sách ngày nghỉ lễ'!$B$5:$B$25)-1-VLOOKUP(P158,'Thời hạn'!$D$17:$E$20,2,0))&amp;" "&amp;"ngày","")))))))</f>
        <v/>
      </c>
      <c r="Z158" s="23">
        <v>1</v>
      </c>
    </row>
    <row r="159" spans="1:26" x14ac:dyDescent="0.3">
      <c r="A159" s="24">
        <v>1</v>
      </c>
      <c r="B159" s="39"/>
      <c r="C159" s="33"/>
      <c r="D159" s="25"/>
      <c r="E159" s="25"/>
      <c r="F159" s="34"/>
      <c r="G159" s="34"/>
      <c r="H159" s="25"/>
      <c r="I159" s="70" t="str">
        <f>IF(C159="Trả lại đơn","",IF(C159="Hòa giải thành","",IF(F159=0,"",EDATE(F159,VLOOKUP(C159,'Thời hạn'!$G$1:$H$12,2,0))+H159)))</f>
        <v/>
      </c>
      <c r="J159" s="59" t="str">
        <f t="shared" ca="1" si="2"/>
        <v/>
      </c>
      <c r="K159" s="25"/>
      <c r="L159" s="129"/>
      <c r="M159" s="130"/>
      <c r="N159" s="35"/>
      <c r="O159" s="34"/>
      <c r="P159" s="25"/>
      <c r="Q159" s="25"/>
      <c r="R159" s="34"/>
      <c r="S159" s="34"/>
      <c r="T159" s="137"/>
      <c r="U159" s="137"/>
      <c r="V159" s="36"/>
      <c r="W159" s="37"/>
      <c r="X159" s="71" t="str">
        <f>IF(C159="Trả lại đơn","",IF((NETWORKDAYS(F159,G159,'Danh sách ngày nghỉ lễ'!$B$5:$B$25)-1-3)&gt;0,"Quá hạn"&amp;" "&amp;(NETWORKDAYS(F159,G159,'Danh sách ngày nghỉ lễ'!$B$5:$B$25)-1-3)&amp;" "&amp;"ngày",""))</f>
        <v/>
      </c>
      <c r="Y159" s="72" t="str">
        <f>IF(S159=0,"",IF(P159="Chuyển","",IF(P159="Nhập vào vụ khác","",IF(P159="CN đối thoại","",IF(P159="CN tại tòa","",IF(P159="BA",IF((S159-R159)&gt;7,"Quá hạn"&amp;" "&amp;(S159-R159-7)&amp;" "&amp;"ngày",""),IF((NETWORKDAYS(R159,S159,'Danh sách ngày nghỉ lễ'!$B$5:$B$25)-VLOOKUP(P159,'Thời hạn'!$D$17:$E$20,2,0))&gt;1,"Quá hạn"&amp;" "&amp;(NETWORKDAYS(R159,S159,'Danh sách ngày nghỉ lễ'!$B$5:$B$25)-1-VLOOKUP(P159,'Thời hạn'!$D$17:$E$20,2,0))&amp;" "&amp;"ngày","")))))))</f>
        <v/>
      </c>
      <c r="Z159" s="23">
        <v>1</v>
      </c>
    </row>
    <row r="160" spans="1:26" x14ac:dyDescent="0.3">
      <c r="A160" s="24">
        <v>1</v>
      </c>
      <c r="B160" s="39"/>
      <c r="C160" s="33"/>
      <c r="D160" s="25"/>
      <c r="E160" s="25"/>
      <c r="F160" s="34"/>
      <c r="G160" s="34"/>
      <c r="H160" s="25"/>
      <c r="I160" s="70" t="str">
        <f>IF(C160="Trả lại đơn","",IF(C160="Hòa giải thành","",IF(F160=0,"",EDATE(F160,VLOOKUP(C160,'Thời hạn'!$G$1:$H$12,2,0))+H160)))</f>
        <v/>
      </c>
      <c r="J160" s="59" t="str">
        <f t="shared" ca="1" si="2"/>
        <v/>
      </c>
      <c r="K160" s="25"/>
      <c r="L160" s="129"/>
      <c r="M160" s="130"/>
      <c r="N160" s="35"/>
      <c r="O160" s="34"/>
      <c r="P160" s="25"/>
      <c r="Q160" s="25"/>
      <c r="R160" s="34"/>
      <c r="S160" s="34"/>
      <c r="T160" s="137"/>
      <c r="U160" s="137"/>
      <c r="V160" s="36"/>
      <c r="W160" s="37"/>
      <c r="X160" s="71" t="str">
        <f>IF(C160="Trả lại đơn","",IF((NETWORKDAYS(F160,G160,'Danh sách ngày nghỉ lễ'!$B$5:$B$25)-1-3)&gt;0,"Quá hạn"&amp;" "&amp;(NETWORKDAYS(F160,G160,'Danh sách ngày nghỉ lễ'!$B$5:$B$25)-1-3)&amp;" "&amp;"ngày",""))</f>
        <v/>
      </c>
      <c r="Y160" s="72" t="str">
        <f>IF(S160=0,"",IF(P160="Chuyển","",IF(P160="Nhập vào vụ khác","",IF(P160="CN đối thoại","",IF(P160="CN tại tòa","",IF(P160="BA",IF((S160-R160)&gt;7,"Quá hạn"&amp;" "&amp;(S160-R160-7)&amp;" "&amp;"ngày",""),IF((NETWORKDAYS(R160,S160,'Danh sách ngày nghỉ lễ'!$B$5:$B$25)-VLOOKUP(P160,'Thời hạn'!$D$17:$E$20,2,0))&gt;1,"Quá hạn"&amp;" "&amp;(NETWORKDAYS(R160,S160,'Danh sách ngày nghỉ lễ'!$B$5:$B$25)-1-VLOOKUP(P160,'Thời hạn'!$D$17:$E$20,2,0))&amp;" "&amp;"ngày","")))))))</f>
        <v/>
      </c>
      <c r="Z160" s="23">
        <v>1</v>
      </c>
    </row>
    <row r="161" spans="1:26" x14ac:dyDescent="0.3">
      <c r="A161" s="24">
        <v>1</v>
      </c>
      <c r="B161" s="39"/>
      <c r="C161" s="33"/>
      <c r="D161" s="25"/>
      <c r="E161" s="25"/>
      <c r="F161" s="34"/>
      <c r="G161" s="34"/>
      <c r="H161" s="25"/>
      <c r="I161" s="70" t="str">
        <f>IF(C161="Trả lại đơn","",IF(C161="Hòa giải thành","",IF(F161=0,"",EDATE(F161,VLOOKUP(C161,'Thời hạn'!$G$1:$H$12,2,0))+H161)))</f>
        <v/>
      </c>
      <c r="J161" s="59" t="str">
        <f t="shared" ca="1" si="2"/>
        <v/>
      </c>
      <c r="K161" s="25"/>
      <c r="L161" s="129"/>
      <c r="M161" s="130"/>
      <c r="N161" s="35"/>
      <c r="O161" s="34"/>
      <c r="P161" s="25"/>
      <c r="Q161" s="25"/>
      <c r="R161" s="34"/>
      <c r="S161" s="34"/>
      <c r="T161" s="137"/>
      <c r="U161" s="137"/>
      <c r="V161" s="36"/>
      <c r="W161" s="37"/>
      <c r="X161" s="71" t="str">
        <f>IF(C161="Trả lại đơn","",IF((NETWORKDAYS(F161,G161,'Danh sách ngày nghỉ lễ'!$B$5:$B$25)-1-3)&gt;0,"Quá hạn"&amp;" "&amp;(NETWORKDAYS(F161,G161,'Danh sách ngày nghỉ lễ'!$B$5:$B$25)-1-3)&amp;" "&amp;"ngày",""))</f>
        <v/>
      </c>
      <c r="Y161" s="72" t="str">
        <f>IF(S161=0,"",IF(P161="Chuyển","",IF(P161="Nhập vào vụ khác","",IF(P161="CN đối thoại","",IF(P161="CN tại tòa","",IF(P161="BA",IF((S161-R161)&gt;7,"Quá hạn"&amp;" "&amp;(S161-R161-7)&amp;" "&amp;"ngày",""),IF((NETWORKDAYS(R161,S161,'Danh sách ngày nghỉ lễ'!$B$5:$B$25)-VLOOKUP(P161,'Thời hạn'!$D$17:$E$20,2,0))&gt;1,"Quá hạn"&amp;" "&amp;(NETWORKDAYS(R161,S161,'Danh sách ngày nghỉ lễ'!$B$5:$B$25)-1-VLOOKUP(P161,'Thời hạn'!$D$17:$E$20,2,0))&amp;" "&amp;"ngày","")))))))</f>
        <v/>
      </c>
      <c r="Z161" s="23">
        <v>1</v>
      </c>
    </row>
    <row r="162" spans="1:26" x14ac:dyDescent="0.3">
      <c r="A162" s="24">
        <v>1</v>
      </c>
      <c r="B162" s="39"/>
      <c r="C162" s="33"/>
      <c r="D162" s="25"/>
      <c r="E162" s="25"/>
      <c r="F162" s="34"/>
      <c r="G162" s="34"/>
      <c r="H162" s="25"/>
      <c r="I162" s="70" t="str">
        <f>IF(C162="Trả lại đơn","",IF(C162="Hòa giải thành","",IF(F162=0,"",EDATE(F162,VLOOKUP(C162,'Thời hạn'!$G$1:$H$12,2,0))+H162)))</f>
        <v/>
      </c>
      <c r="J162" s="59" t="str">
        <f t="shared" ca="1" si="2"/>
        <v/>
      </c>
      <c r="K162" s="25"/>
      <c r="L162" s="129"/>
      <c r="M162" s="130"/>
      <c r="N162" s="35"/>
      <c r="O162" s="34"/>
      <c r="P162" s="25"/>
      <c r="Q162" s="25"/>
      <c r="R162" s="34"/>
      <c r="S162" s="34"/>
      <c r="T162" s="137"/>
      <c r="U162" s="137"/>
      <c r="V162" s="36"/>
      <c r="W162" s="37"/>
      <c r="X162" s="71" t="str">
        <f>IF(C162="Trả lại đơn","",IF((NETWORKDAYS(F162,G162,'Danh sách ngày nghỉ lễ'!$B$5:$B$25)-1-3)&gt;0,"Quá hạn"&amp;" "&amp;(NETWORKDAYS(F162,G162,'Danh sách ngày nghỉ lễ'!$B$5:$B$25)-1-3)&amp;" "&amp;"ngày",""))</f>
        <v/>
      </c>
      <c r="Y162" s="72" t="str">
        <f>IF(S162=0,"",IF(P162="Chuyển","",IF(P162="Nhập vào vụ khác","",IF(P162="CN đối thoại","",IF(P162="CN tại tòa","",IF(P162="BA",IF((S162-R162)&gt;7,"Quá hạn"&amp;" "&amp;(S162-R162-7)&amp;" "&amp;"ngày",""),IF((NETWORKDAYS(R162,S162,'Danh sách ngày nghỉ lễ'!$B$5:$B$25)-VLOOKUP(P162,'Thời hạn'!$D$17:$E$20,2,0))&gt;1,"Quá hạn"&amp;" "&amp;(NETWORKDAYS(R162,S162,'Danh sách ngày nghỉ lễ'!$B$5:$B$25)-1-VLOOKUP(P162,'Thời hạn'!$D$17:$E$20,2,0))&amp;" "&amp;"ngày","")))))))</f>
        <v/>
      </c>
      <c r="Z162" s="23">
        <v>1</v>
      </c>
    </row>
    <row r="163" spans="1:26" x14ac:dyDescent="0.3">
      <c r="A163" s="24">
        <v>1</v>
      </c>
      <c r="B163" s="39"/>
      <c r="C163" s="33"/>
      <c r="D163" s="25"/>
      <c r="E163" s="25"/>
      <c r="F163" s="34"/>
      <c r="G163" s="34"/>
      <c r="H163" s="25"/>
      <c r="I163" s="70" t="str">
        <f>IF(C163="Trả lại đơn","",IF(C163="Hòa giải thành","",IF(F163=0,"",EDATE(F163,VLOOKUP(C163,'Thời hạn'!$G$1:$H$12,2,0))+H163)))</f>
        <v/>
      </c>
      <c r="J163" s="59" t="str">
        <f t="shared" ca="1" si="2"/>
        <v/>
      </c>
      <c r="K163" s="25"/>
      <c r="L163" s="129"/>
      <c r="M163" s="130"/>
      <c r="N163" s="35"/>
      <c r="O163" s="34"/>
      <c r="P163" s="25"/>
      <c r="Q163" s="25"/>
      <c r="R163" s="34"/>
      <c r="S163" s="34"/>
      <c r="T163" s="137"/>
      <c r="U163" s="137"/>
      <c r="V163" s="36"/>
      <c r="W163" s="37"/>
      <c r="X163" s="71" t="str">
        <f>IF(C163="Trả lại đơn","",IF((NETWORKDAYS(F163,G163,'Danh sách ngày nghỉ lễ'!$B$5:$B$25)-1-3)&gt;0,"Quá hạn"&amp;" "&amp;(NETWORKDAYS(F163,G163,'Danh sách ngày nghỉ lễ'!$B$5:$B$25)-1-3)&amp;" "&amp;"ngày",""))</f>
        <v/>
      </c>
      <c r="Y163" s="72" t="str">
        <f>IF(S163=0,"",IF(P163="Chuyển","",IF(P163="Nhập vào vụ khác","",IF(P163="CN đối thoại","",IF(P163="CN tại tòa","",IF(P163="BA",IF((S163-R163)&gt;7,"Quá hạn"&amp;" "&amp;(S163-R163-7)&amp;" "&amp;"ngày",""),IF((NETWORKDAYS(R163,S163,'Danh sách ngày nghỉ lễ'!$B$5:$B$25)-VLOOKUP(P163,'Thời hạn'!$D$17:$E$20,2,0))&gt;1,"Quá hạn"&amp;" "&amp;(NETWORKDAYS(R163,S163,'Danh sách ngày nghỉ lễ'!$B$5:$B$25)-1-VLOOKUP(P163,'Thời hạn'!$D$17:$E$20,2,0))&amp;" "&amp;"ngày","")))))))</f>
        <v/>
      </c>
      <c r="Z163" s="23">
        <v>1</v>
      </c>
    </row>
    <row r="164" spans="1:26" x14ac:dyDescent="0.3">
      <c r="A164" s="24">
        <v>1</v>
      </c>
      <c r="B164" s="39"/>
      <c r="C164" s="33"/>
      <c r="D164" s="25"/>
      <c r="E164" s="25"/>
      <c r="F164" s="34"/>
      <c r="G164" s="34"/>
      <c r="H164" s="25"/>
      <c r="I164" s="70" t="str">
        <f>IF(C164="Trả lại đơn","",IF(C164="Hòa giải thành","",IF(F164=0,"",EDATE(F164,VLOOKUP(C164,'Thời hạn'!$G$1:$H$12,2,0))+H164)))</f>
        <v/>
      </c>
      <c r="J164" s="59" t="str">
        <f t="shared" ca="1" si="2"/>
        <v/>
      </c>
      <c r="K164" s="25"/>
      <c r="L164" s="129"/>
      <c r="M164" s="130"/>
      <c r="N164" s="35"/>
      <c r="O164" s="34"/>
      <c r="P164" s="25"/>
      <c r="Q164" s="25"/>
      <c r="R164" s="34"/>
      <c r="S164" s="34"/>
      <c r="T164" s="137"/>
      <c r="U164" s="137"/>
      <c r="V164" s="36"/>
      <c r="W164" s="37"/>
      <c r="X164" s="71" t="str">
        <f>IF(C164="Trả lại đơn","",IF((NETWORKDAYS(F164,G164,'Danh sách ngày nghỉ lễ'!$B$5:$B$25)-1-3)&gt;0,"Quá hạn"&amp;" "&amp;(NETWORKDAYS(F164,G164,'Danh sách ngày nghỉ lễ'!$B$5:$B$25)-1-3)&amp;" "&amp;"ngày",""))</f>
        <v/>
      </c>
      <c r="Y164" s="72" t="str">
        <f>IF(S164=0,"",IF(P164="Chuyển","",IF(P164="Nhập vào vụ khác","",IF(P164="CN đối thoại","",IF(P164="CN tại tòa","",IF(P164="BA",IF((S164-R164)&gt;7,"Quá hạn"&amp;" "&amp;(S164-R164-7)&amp;" "&amp;"ngày",""),IF((NETWORKDAYS(R164,S164,'Danh sách ngày nghỉ lễ'!$B$5:$B$25)-VLOOKUP(P164,'Thời hạn'!$D$17:$E$20,2,0))&gt;1,"Quá hạn"&amp;" "&amp;(NETWORKDAYS(R164,S164,'Danh sách ngày nghỉ lễ'!$B$5:$B$25)-1-VLOOKUP(P164,'Thời hạn'!$D$17:$E$20,2,0))&amp;" "&amp;"ngày","")))))))</f>
        <v/>
      </c>
      <c r="Z164" s="23">
        <v>1</v>
      </c>
    </row>
    <row r="165" spans="1:26" x14ac:dyDescent="0.3">
      <c r="A165" s="24">
        <v>1</v>
      </c>
      <c r="B165" s="39"/>
      <c r="C165" s="33"/>
      <c r="D165" s="25"/>
      <c r="E165" s="25"/>
      <c r="F165" s="34"/>
      <c r="G165" s="34"/>
      <c r="H165" s="25"/>
      <c r="I165" s="70" t="str">
        <f>IF(C165="Trả lại đơn","",IF(C165="Hòa giải thành","",IF(F165=0,"",EDATE(F165,VLOOKUP(C165,'Thời hạn'!$G$1:$H$12,2,0))+H165)))</f>
        <v/>
      </c>
      <c r="J165" s="59" t="str">
        <f t="shared" ca="1" si="2"/>
        <v/>
      </c>
      <c r="K165" s="25"/>
      <c r="L165" s="129"/>
      <c r="M165" s="130"/>
      <c r="N165" s="35"/>
      <c r="O165" s="34"/>
      <c r="P165" s="25"/>
      <c r="Q165" s="25"/>
      <c r="R165" s="34"/>
      <c r="S165" s="34"/>
      <c r="T165" s="137"/>
      <c r="U165" s="137"/>
      <c r="V165" s="36"/>
      <c r="W165" s="37"/>
      <c r="X165" s="71" t="str">
        <f>IF(C165="Trả lại đơn","",IF((NETWORKDAYS(F165,G165,'Danh sách ngày nghỉ lễ'!$B$5:$B$25)-1-3)&gt;0,"Quá hạn"&amp;" "&amp;(NETWORKDAYS(F165,G165,'Danh sách ngày nghỉ lễ'!$B$5:$B$25)-1-3)&amp;" "&amp;"ngày",""))</f>
        <v/>
      </c>
      <c r="Y165" s="72" t="str">
        <f>IF(S165=0,"",IF(P165="Chuyển","",IF(P165="Nhập vào vụ khác","",IF(P165="CN đối thoại","",IF(P165="CN tại tòa","",IF(P165="BA",IF((S165-R165)&gt;7,"Quá hạn"&amp;" "&amp;(S165-R165-7)&amp;" "&amp;"ngày",""),IF((NETWORKDAYS(R165,S165,'Danh sách ngày nghỉ lễ'!$B$5:$B$25)-VLOOKUP(P165,'Thời hạn'!$D$17:$E$20,2,0))&gt;1,"Quá hạn"&amp;" "&amp;(NETWORKDAYS(R165,S165,'Danh sách ngày nghỉ lễ'!$B$5:$B$25)-1-VLOOKUP(P165,'Thời hạn'!$D$17:$E$20,2,0))&amp;" "&amp;"ngày","")))))))</f>
        <v/>
      </c>
      <c r="Z165" s="23">
        <v>1</v>
      </c>
    </row>
    <row r="166" spans="1:26" x14ac:dyDescent="0.3">
      <c r="A166" s="24">
        <v>1</v>
      </c>
      <c r="B166" s="39"/>
      <c r="C166" s="33"/>
      <c r="D166" s="25"/>
      <c r="E166" s="25"/>
      <c r="F166" s="34"/>
      <c r="G166" s="34"/>
      <c r="H166" s="25"/>
      <c r="I166" s="70" t="str">
        <f>IF(C166="Trả lại đơn","",IF(C166="Hòa giải thành","",IF(F166=0,"",EDATE(F166,VLOOKUP(C166,'Thời hạn'!$G$1:$H$12,2,0))+H166)))</f>
        <v/>
      </c>
      <c r="J166" s="59" t="str">
        <f t="shared" ca="1" si="2"/>
        <v/>
      </c>
      <c r="K166" s="25"/>
      <c r="L166" s="129"/>
      <c r="M166" s="130"/>
      <c r="N166" s="35"/>
      <c r="O166" s="34"/>
      <c r="P166" s="25"/>
      <c r="Q166" s="25"/>
      <c r="R166" s="34"/>
      <c r="S166" s="34"/>
      <c r="T166" s="137"/>
      <c r="U166" s="137"/>
      <c r="V166" s="36"/>
      <c r="W166" s="37"/>
      <c r="X166" s="71" t="str">
        <f>IF(C166="Trả lại đơn","",IF((NETWORKDAYS(F166,G166,'Danh sách ngày nghỉ lễ'!$B$5:$B$25)-1-3)&gt;0,"Quá hạn"&amp;" "&amp;(NETWORKDAYS(F166,G166,'Danh sách ngày nghỉ lễ'!$B$5:$B$25)-1-3)&amp;" "&amp;"ngày",""))</f>
        <v/>
      </c>
      <c r="Y166" s="72" t="str">
        <f>IF(S166=0,"",IF(P166="Chuyển","",IF(P166="Nhập vào vụ khác","",IF(P166="CN đối thoại","",IF(P166="CN tại tòa","",IF(P166="BA",IF((S166-R166)&gt;7,"Quá hạn"&amp;" "&amp;(S166-R166-7)&amp;" "&amp;"ngày",""),IF((NETWORKDAYS(R166,S166,'Danh sách ngày nghỉ lễ'!$B$5:$B$25)-VLOOKUP(P166,'Thời hạn'!$D$17:$E$20,2,0))&gt;1,"Quá hạn"&amp;" "&amp;(NETWORKDAYS(R166,S166,'Danh sách ngày nghỉ lễ'!$B$5:$B$25)-1-VLOOKUP(P166,'Thời hạn'!$D$17:$E$20,2,0))&amp;" "&amp;"ngày","")))))))</f>
        <v/>
      </c>
      <c r="Z166" s="23">
        <v>1</v>
      </c>
    </row>
    <row r="167" spans="1:26" x14ac:dyDescent="0.3">
      <c r="A167" s="24">
        <v>1</v>
      </c>
      <c r="B167" s="39"/>
      <c r="C167" s="33"/>
      <c r="D167" s="25"/>
      <c r="E167" s="25"/>
      <c r="F167" s="34"/>
      <c r="G167" s="34"/>
      <c r="H167" s="25"/>
      <c r="I167" s="70" t="str">
        <f>IF(C167="Trả lại đơn","",IF(C167="Hòa giải thành","",IF(F167=0,"",EDATE(F167,VLOOKUP(C167,'Thời hạn'!$G$1:$H$12,2,0))+H167)))</f>
        <v/>
      </c>
      <c r="J167" s="59" t="str">
        <f t="shared" ca="1" si="2"/>
        <v/>
      </c>
      <c r="K167" s="25"/>
      <c r="L167" s="129"/>
      <c r="M167" s="130"/>
      <c r="N167" s="35"/>
      <c r="O167" s="34"/>
      <c r="P167" s="25"/>
      <c r="Q167" s="25"/>
      <c r="R167" s="34"/>
      <c r="S167" s="34"/>
      <c r="T167" s="137"/>
      <c r="U167" s="137"/>
      <c r="V167" s="36"/>
      <c r="W167" s="37"/>
      <c r="X167" s="71" t="str">
        <f>IF(C167="Trả lại đơn","",IF((NETWORKDAYS(F167,G167,'Danh sách ngày nghỉ lễ'!$B$5:$B$25)-1-3)&gt;0,"Quá hạn"&amp;" "&amp;(NETWORKDAYS(F167,G167,'Danh sách ngày nghỉ lễ'!$B$5:$B$25)-1-3)&amp;" "&amp;"ngày",""))</f>
        <v/>
      </c>
      <c r="Y167" s="72" t="str">
        <f>IF(S167=0,"",IF(P167="Chuyển","",IF(P167="Nhập vào vụ khác","",IF(P167="CN đối thoại","",IF(P167="CN tại tòa","",IF(P167="BA",IF((S167-R167)&gt;7,"Quá hạn"&amp;" "&amp;(S167-R167-7)&amp;" "&amp;"ngày",""),IF((NETWORKDAYS(R167,S167,'Danh sách ngày nghỉ lễ'!$B$5:$B$25)-VLOOKUP(P167,'Thời hạn'!$D$17:$E$20,2,0))&gt;1,"Quá hạn"&amp;" "&amp;(NETWORKDAYS(R167,S167,'Danh sách ngày nghỉ lễ'!$B$5:$B$25)-1-VLOOKUP(P167,'Thời hạn'!$D$17:$E$20,2,0))&amp;" "&amp;"ngày","")))))))</f>
        <v/>
      </c>
      <c r="Z167" s="23">
        <v>1</v>
      </c>
    </row>
    <row r="168" spans="1:26" x14ac:dyDescent="0.3">
      <c r="A168" s="24">
        <v>1</v>
      </c>
      <c r="B168" s="39"/>
      <c r="C168" s="33"/>
      <c r="D168" s="25"/>
      <c r="E168" s="25"/>
      <c r="F168" s="34"/>
      <c r="G168" s="34"/>
      <c r="H168" s="25"/>
      <c r="I168" s="70" t="str">
        <f>IF(C168="Trả lại đơn","",IF(C168="Hòa giải thành","",IF(F168=0,"",EDATE(F168,VLOOKUP(C168,'Thời hạn'!$G$1:$H$12,2,0))+H168)))</f>
        <v/>
      </c>
      <c r="J168" s="59" t="str">
        <f t="shared" ca="1" si="2"/>
        <v/>
      </c>
      <c r="K168" s="25"/>
      <c r="L168" s="129"/>
      <c r="M168" s="130"/>
      <c r="N168" s="35"/>
      <c r="O168" s="34"/>
      <c r="P168" s="25"/>
      <c r="Q168" s="25"/>
      <c r="R168" s="34"/>
      <c r="S168" s="34"/>
      <c r="T168" s="137"/>
      <c r="U168" s="137"/>
      <c r="V168" s="36"/>
      <c r="W168" s="37"/>
      <c r="X168" s="71" t="str">
        <f>IF(C168="Trả lại đơn","",IF((NETWORKDAYS(F168,G168,'Danh sách ngày nghỉ lễ'!$B$5:$B$25)-1-3)&gt;0,"Quá hạn"&amp;" "&amp;(NETWORKDAYS(F168,G168,'Danh sách ngày nghỉ lễ'!$B$5:$B$25)-1-3)&amp;" "&amp;"ngày",""))</f>
        <v/>
      </c>
      <c r="Y168" s="72" t="str">
        <f>IF(S168=0,"",IF(P168="Chuyển","",IF(P168="Nhập vào vụ khác","",IF(P168="CN đối thoại","",IF(P168="CN tại tòa","",IF(P168="BA",IF((S168-R168)&gt;7,"Quá hạn"&amp;" "&amp;(S168-R168-7)&amp;" "&amp;"ngày",""),IF((NETWORKDAYS(R168,S168,'Danh sách ngày nghỉ lễ'!$B$5:$B$25)-VLOOKUP(P168,'Thời hạn'!$D$17:$E$20,2,0))&gt;1,"Quá hạn"&amp;" "&amp;(NETWORKDAYS(R168,S168,'Danh sách ngày nghỉ lễ'!$B$5:$B$25)-1-VLOOKUP(P168,'Thời hạn'!$D$17:$E$20,2,0))&amp;" "&amp;"ngày","")))))))</f>
        <v/>
      </c>
      <c r="Z168" s="23">
        <v>1</v>
      </c>
    </row>
    <row r="169" spans="1:26" x14ac:dyDescent="0.3">
      <c r="A169" s="24">
        <v>1</v>
      </c>
      <c r="B169" s="39"/>
      <c r="C169" s="33"/>
      <c r="D169" s="25"/>
      <c r="E169" s="25"/>
      <c r="F169" s="34"/>
      <c r="G169" s="34"/>
      <c r="H169" s="25"/>
      <c r="I169" s="70" t="str">
        <f>IF(C169="Trả lại đơn","",IF(C169="Hòa giải thành","",IF(F169=0,"",EDATE(F169,VLOOKUP(C169,'Thời hạn'!$G$1:$H$12,2,0))+H169)))</f>
        <v/>
      </c>
      <c r="J169" s="59" t="str">
        <f t="shared" ca="1" si="2"/>
        <v/>
      </c>
      <c r="K169" s="25"/>
      <c r="L169" s="129"/>
      <c r="M169" s="130"/>
      <c r="N169" s="35"/>
      <c r="O169" s="34"/>
      <c r="P169" s="25"/>
      <c r="Q169" s="25"/>
      <c r="R169" s="34"/>
      <c r="S169" s="34"/>
      <c r="T169" s="137"/>
      <c r="U169" s="137"/>
      <c r="V169" s="36"/>
      <c r="W169" s="37"/>
      <c r="X169" s="71" t="str">
        <f>IF(C169="Trả lại đơn","",IF((NETWORKDAYS(F169,G169,'Danh sách ngày nghỉ lễ'!$B$5:$B$25)-1-3)&gt;0,"Quá hạn"&amp;" "&amp;(NETWORKDAYS(F169,G169,'Danh sách ngày nghỉ lễ'!$B$5:$B$25)-1-3)&amp;" "&amp;"ngày",""))</f>
        <v/>
      </c>
      <c r="Y169" s="72" t="str">
        <f>IF(S169=0,"",IF(P169="Chuyển","",IF(P169="Nhập vào vụ khác","",IF(P169="CN đối thoại","",IF(P169="CN tại tòa","",IF(P169="BA",IF((S169-R169)&gt;7,"Quá hạn"&amp;" "&amp;(S169-R169-7)&amp;" "&amp;"ngày",""),IF((NETWORKDAYS(R169,S169,'Danh sách ngày nghỉ lễ'!$B$5:$B$25)-VLOOKUP(P169,'Thời hạn'!$D$17:$E$20,2,0))&gt;1,"Quá hạn"&amp;" "&amp;(NETWORKDAYS(R169,S169,'Danh sách ngày nghỉ lễ'!$B$5:$B$25)-1-VLOOKUP(P169,'Thời hạn'!$D$17:$E$20,2,0))&amp;" "&amp;"ngày","")))))))</f>
        <v/>
      </c>
      <c r="Z169" s="23">
        <v>1</v>
      </c>
    </row>
    <row r="170" spans="1:26" x14ac:dyDescent="0.3">
      <c r="A170" s="24">
        <v>1</v>
      </c>
      <c r="B170" s="39"/>
      <c r="C170" s="33"/>
      <c r="D170" s="25"/>
      <c r="E170" s="25"/>
      <c r="F170" s="34"/>
      <c r="G170" s="34"/>
      <c r="H170" s="25"/>
      <c r="I170" s="70" t="str">
        <f>IF(C170="Trả lại đơn","",IF(C170="Hòa giải thành","",IF(F170=0,"",EDATE(F170,VLOOKUP(C170,'Thời hạn'!$G$1:$H$12,2,0))+H170)))</f>
        <v/>
      </c>
      <c r="J170" s="59" t="str">
        <f t="shared" ca="1" si="2"/>
        <v/>
      </c>
      <c r="K170" s="25"/>
      <c r="L170" s="129"/>
      <c r="M170" s="130"/>
      <c r="N170" s="35"/>
      <c r="O170" s="34"/>
      <c r="P170" s="25"/>
      <c r="Q170" s="25"/>
      <c r="R170" s="34"/>
      <c r="S170" s="34"/>
      <c r="T170" s="137"/>
      <c r="U170" s="137"/>
      <c r="V170" s="36"/>
      <c r="W170" s="37"/>
      <c r="X170" s="71" t="str">
        <f>IF(C170="Trả lại đơn","",IF((NETWORKDAYS(F170,G170,'Danh sách ngày nghỉ lễ'!$B$5:$B$25)-1-3)&gt;0,"Quá hạn"&amp;" "&amp;(NETWORKDAYS(F170,G170,'Danh sách ngày nghỉ lễ'!$B$5:$B$25)-1-3)&amp;" "&amp;"ngày",""))</f>
        <v/>
      </c>
      <c r="Y170" s="72" t="str">
        <f>IF(S170=0,"",IF(P170="Chuyển","",IF(P170="Nhập vào vụ khác","",IF(P170="CN đối thoại","",IF(P170="CN tại tòa","",IF(P170="BA",IF((S170-R170)&gt;7,"Quá hạn"&amp;" "&amp;(S170-R170-7)&amp;" "&amp;"ngày",""),IF((NETWORKDAYS(R170,S170,'Danh sách ngày nghỉ lễ'!$B$5:$B$25)-VLOOKUP(P170,'Thời hạn'!$D$17:$E$20,2,0))&gt;1,"Quá hạn"&amp;" "&amp;(NETWORKDAYS(R170,S170,'Danh sách ngày nghỉ lễ'!$B$5:$B$25)-1-VLOOKUP(P170,'Thời hạn'!$D$17:$E$20,2,0))&amp;" "&amp;"ngày","")))))))</f>
        <v/>
      </c>
      <c r="Z170" s="23">
        <v>1</v>
      </c>
    </row>
    <row r="171" spans="1:26" x14ac:dyDescent="0.3">
      <c r="A171" s="24">
        <v>1</v>
      </c>
      <c r="B171" s="39"/>
      <c r="C171" s="33"/>
      <c r="D171" s="25"/>
      <c r="E171" s="25"/>
      <c r="F171" s="34"/>
      <c r="G171" s="34"/>
      <c r="H171" s="25"/>
      <c r="I171" s="70" t="str">
        <f>IF(C171="Trả lại đơn","",IF(C171="Hòa giải thành","",IF(F171=0,"",EDATE(F171,VLOOKUP(C171,'Thời hạn'!$G$1:$H$12,2,0))+H171)))</f>
        <v/>
      </c>
      <c r="J171" s="59" t="str">
        <f t="shared" ca="1" si="2"/>
        <v/>
      </c>
      <c r="K171" s="25"/>
      <c r="L171" s="129"/>
      <c r="M171" s="130"/>
      <c r="N171" s="35"/>
      <c r="O171" s="34"/>
      <c r="P171" s="25"/>
      <c r="Q171" s="25"/>
      <c r="R171" s="34"/>
      <c r="S171" s="34"/>
      <c r="T171" s="137"/>
      <c r="U171" s="137"/>
      <c r="V171" s="36"/>
      <c r="W171" s="37"/>
      <c r="X171" s="71" t="str">
        <f>IF(C171="Trả lại đơn","",IF((NETWORKDAYS(F171,G171,'Danh sách ngày nghỉ lễ'!$B$5:$B$25)-1-3)&gt;0,"Quá hạn"&amp;" "&amp;(NETWORKDAYS(F171,G171,'Danh sách ngày nghỉ lễ'!$B$5:$B$25)-1-3)&amp;" "&amp;"ngày",""))</f>
        <v/>
      </c>
      <c r="Y171" s="72" t="str">
        <f>IF(S171=0,"",IF(P171="Chuyển","",IF(P171="Nhập vào vụ khác","",IF(P171="CN đối thoại","",IF(P171="CN tại tòa","",IF(P171="BA",IF((S171-R171)&gt;7,"Quá hạn"&amp;" "&amp;(S171-R171-7)&amp;" "&amp;"ngày",""),IF((NETWORKDAYS(R171,S171,'Danh sách ngày nghỉ lễ'!$B$5:$B$25)-VLOOKUP(P171,'Thời hạn'!$D$17:$E$20,2,0))&gt;1,"Quá hạn"&amp;" "&amp;(NETWORKDAYS(R171,S171,'Danh sách ngày nghỉ lễ'!$B$5:$B$25)-1-VLOOKUP(P171,'Thời hạn'!$D$17:$E$20,2,0))&amp;" "&amp;"ngày","")))))))</f>
        <v/>
      </c>
      <c r="Z171" s="23">
        <v>1</v>
      </c>
    </row>
    <row r="172" spans="1:26" x14ac:dyDescent="0.3">
      <c r="A172" s="24">
        <v>1</v>
      </c>
      <c r="B172" s="39"/>
      <c r="C172" s="33"/>
      <c r="D172" s="25"/>
      <c r="E172" s="25"/>
      <c r="F172" s="34"/>
      <c r="G172" s="34"/>
      <c r="H172" s="25"/>
      <c r="I172" s="70" t="str">
        <f>IF(C172="Trả lại đơn","",IF(C172="Hòa giải thành","",IF(F172=0,"",EDATE(F172,VLOOKUP(C172,'Thời hạn'!$G$1:$H$12,2,0))+H172)))</f>
        <v/>
      </c>
      <c r="J172" s="59" t="str">
        <f t="shared" ca="1" si="2"/>
        <v/>
      </c>
      <c r="K172" s="25"/>
      <c r="L172" s="129"/>
      <c r="M172" s="130"/>
      <c r="N172" s="35"/>
      <c r="O172" s="34"/>
      <c r="P172" s="25"/>
      <c r="Q172" s="25"/>
      <c r="R172" s="34"/>
      <c r="S172" s="34"/>
      <c r="T172" s="137"/>
      <c r="U172" s="137"/>
      <c r="V172" s="36"/>
      <c r="W172" s="37"/>
      <c r="X172" s="71" t="str">
        <f>IF(C172="Trả lại đơn","",IF((NETWORKDAYS(F172,G172,'Danh sách ngày nghỉ lễ'!$B$5:$B$25)-1-3)&gt;0,"Quá hạn"&amp;" "&amp;(NETWORKDAYS(F172,G172,'Danh sách ngày nghỉ lễ'!$B$5:$B$25)-1-3)&amp;" "&amp;"ngày",""))</f>
        <v/>
      </c>
      <c r="Y172" s="72" t="str">
        <f>IF(S172=0,"",IF(P172="Chuyển","",IF(P172="Nhập vào vụ khác","",IF(P172="CN đối thoại","",IF(P172="CN tại tòa","",IF(P172="BA",IF((S172-R172)&gt;7,"Quá hạn"&amp;" "&amp;(S172-R172-7)&amp;" "&amp;"ngày",""),IF((NETWORKDAYS(R172,S172,'Danh sách ngày nghỉ lễ'!$B$5:$B$25)-VLOOKUP(P172,'Thời hạn'!$D$17:$E$20,2,0))&gt;1,"Quá hạn"&amp;" "&amp;(NETWORKDAYS(R172,S172,'Danh sách ngày nghỉ lễ'!$B$5:$B$25)-1-VLOOKUP(P172,'Thời hạn'!$D$17:$E$20,2,0))&amp;" "&amp;"ngày","")))))))</f>
        <v/>
      </c>
      <c r="Z172" s="23">
        <v>1</v>
      </c>
    </row>
    <row r="173" spans="1:26" x14ac:dyDescent="0.3">
      <c r="A173" s="24">
        <v>1</v>
      </c>
      <c r="B173" s="39"/>
      <c r="C173" s="33"/>
      <c r="D173" s="25"/>
      <c r="E173" s="25"/>
      <c r="F173" s="34"/>
      <c r="G173" s="34"/>
      <c r="H173" s="25"/>
      <c r="I173" s="70" t="str">
        <f>IF(C173="Trả lại đơn","",IF(C173="Hòa giải thành","",IF(F173=0,"",EDATE(F173,VLOOKUP(C173,'Thời hạn'!$G$1:$H$12,2,0))+H173)))</f>
        <v/>
      </c>
      <c r="J173" s="59" t="str">
        <f t="shared" ca="1" si="2"/>
        <v/>
      </c>
      <c r="K173" s="25"/>
      <c r="L173" s="129"/>
      <c r="M173" s="130"/>
      <c r="N173" s="35"/>
      <c r="O173" s="34"/>
      <c r="P173" s="25"/>
      <c r="Q173" s="25"/>
      <c r="R173" s="34"/>
      <c r="S173" s="34"/>
      <c r="T173" s="137"/>
      <c r="U173" s="137"/>
      <c r="V173" s="36"/>
      <c r="W173" s="37"/>
      <c r="X173" s="71" t="str">
        <f>IF(C173="Trả lại đơn","",IF((NETWORKDAYS(F173,G173,'Danh sách ngày nghỉ lễ'!$B$5:$B$25)-1-3)&gt;0,"Quá hạn"&amp;" "&amp;(NETWORKDAYS(F173,G173,'Danh sách ngày nghỉ lễ'!$B$5:$B$25)-1-3)&amp;" "&amp;"ngày",""))</f>
        <v/>
      </c>
      <c r="Y173" s="72" t="str">
        <f>IF(S173=0,"",IF(P173="Chuyển","",IF(P173="Nhập vào vụ khác","",IF(P173="CN đối thoại","",IF(P173="CN tại tòa","",IF(P173="BA",IF((S173-R173)&gt;7,"Quá hạn"&amp;" "&amp;(S173-R173-7)&amp;" "&amp;"ngày",""),IF((NETWORKDAYS(R173,S173,'Danh sách ngày nghỉ lễ'!$B$5:$B$25)-VLOOKUP(P173,'Thời hạn'!$D$17:$E$20,2,0))&gt;1,"Quá hạn"&amp;" "&amp;(NETWORKDAYS(R173,S173,'Danh sách ngày nghỉ lễ'!$B$5:$B$25)-1-VLOOKUP(P173,'Thời hạn'!$D$17:$E$20,2,0))&amp;" "&amp;"ngày","")))))))</f>
        <v/>
      </c>
      <c r="Z173" s="23">
        <v>1</v>
      </c>
    </row>
    <row r="174" spans="1:26" x14ac:dyDescent="0.3">
      <c r="A174" s="24">
        <v>1</v>
      </c>
      <c r="B174" s="39"/>
      <c r="C174" s="33"/>
      <c r="D174" s="25"/>
      <c r="E174" s="25"/>
      <c r="F174" s="34"/>
      <c r="G174" s="34"/>
      <c r="H174" s="25"/>
      <c r="I174" s="70" t="str">
        <f>IF(C174="Trả lại đơn","",IF(C174="Hòa giải thành","",IF(F174=0,"",EDATE(F174,VLOOKUP(C174,'Thời hạn'!$G$1:$H$12,2,0))+H174)))</f>
        <v/>
      </c>
      <c r="J174" s="59" t="str">
        <f t="shared" ca="1" si="2"/>
        <v/>
      </c>
      <c r="K174" s="25"/>
      <c r="L174" s="129"/>
      <c r="M174" s="130"/>
      <c r="N174" s="35"/>
      <c r="O174" s="34"/>
      <c r="P174" s="25"/>
      <c r="Q174" s="25"/>
      <c r="R174" s="34"/>
      <c r="S174" s="34"/>
      <c r="T174" s="137"/>
      <c r="U174" s="137"/>
      <c r="V174" s="36"/>
      <c r="W174" s="37"/>
      <c r="X174" s="71" t="str">
        <f>IF(C174="Trả lại đơn","",IF((NETWORKDAYS(F174,G174,'Danh sách ngày nghỉ lễ'!$B$5:$B$25)-1-3)&gt;0,"Quá hạn"&amp;" "&amp;(NETWORKDAYS(F174,G174,'Danh sách ngày nghỉ lễ'!$B$5:$B$25)-1-3)&amp;" "&amp;"ngày",""))</f>
        <v/>
      </c>
      <c r="Y174" s="72" t="str">
        <f>IF(S174=0,"",IF(P174="Chuyển","",IF(P174="Nhập vào vụ khác","",IF(P174="CN đối thoại","",IF(P174="CN tại tòa","",IF(P174="BA",IF((S174-R174)&gt;7,"Quá hạn"&amp;" "&amp;(S174-R174-7)&amp;" "&amp;"ngày",""),IF((NETWORKDAYS(R174,S174,'Danh sách ngày nghỉ lễ'!$B$5:$B$25)-VLOOKUP(P174,'Thời hạn'!$D$17:$E$20,2,0))&gt;1,"Quá hạn"&amp;" "&amp;(NETWORKDAYS(R174,S174,'Danh sách ngày nghỉ lễ'!$B$5:$B$25)-1-VLOOKUP(P174,'Thời hạn'!$D$17:$E$20,2,0))&amp;" "&amp;"ngày","")))))))</f>
        <v/>
      </c>
      <c r="Z174" s="23">
        <v>1</v>
      </c>
    </row>
    <row r="175" spans="1:26" x14ac:dyDescent="0.3">
      <c r="A175" s="24">
        <v>1</v>
      </c>
      <c r="B175" s="39"/>
      <c r="C175" s="33"/>
      <c r="D175" s="25"/>
      <c r="E175" s="25"/>
      <c r="F175" s="34"/>
      <c r="G175" s="34"/>
      <c r="H175" s="25"/>
      <c r="I175" s="70" t="str">
        <f>IF(C175="Trả lại đơn","",IF(C175="Hòa giải thành","",IF(F175=0,"",EDATE(F175,VLOOKUP(C175,'Thời hạn'!$G$1:$H$12,2,0))+H175)))</f>
        <v/>
      </c>
      <c r="J175" s="59" t="str">
        <f t="shared" ca="1" si="2"/>
        <v/>
      </c>
      <c r="K175" s="25"/>
      <c r="L175" s="129"/>
      <c r="M175" s="130"/>
      <c r="N175" s="35"/>
      <c r="O175" s="34"/>
      <c r="P175" s="25"/>
      <c r="Q175" s="25"/>
      <c r="R175" s="34"/>
      <c r="S175" s="34"/>
      <c r="T175" s="137"/>
      <c r="U175" s="137"/>
      <c r="V175" s="36"/>
      <c r="W175" s="37"/>
      <c r="X175" s="71" t="str">
        <f>IF(C175="Trả lại đơn","",IF((NETWORKDAYS(F175,G175,'Danh sách ngày nghỉ lễ'!$B$5:$B$25)-1-3)&gt;0,"Quá hạn"&amp;" "&amp;(NETWORKDAYS(F175,G175,'Danh sách ngày nghỉ lễ'!$B$5:$B$25)-1-3)&amp;" "&amp;"ngày",""))</f>
        <v/>
      </c>
      <c r="Y175" s="72" t="str">
        <f>IF(S175=0,"",IF(P175="Chuyển","",IF(P175="Nhập vào vụ khác","",IF(P175="CN đối thoại","",IF(P175="CN tại tòa","",IF(P175="BA",IF((S175-R175)&gt;7,"Quá hạn"&amp;" "&amp;(S175-R175-7)&amp;" "&amp;"ngày",""),IF((NETWORKDAYS(R175,S175,'Danh sách ngày nghỉ lễ'!$B$5:$B$25)-VLOOKUP(P175,'Thời hạn'!$D$17:$E$20,2,0))&gt;1,"Quá hạn"&amp;" "&amp;(NETWORKDAYS(R175,S175,'Danh sách ngày nghỉ lễ'!$B$5:$B$25)-1-VLOOKUP(P175,'Thời hạn'!$D$17:$E$20,2,0))&amp;" "&amp;"ngày","")))))))</f>
        <v/>
      </c>
      <c r="Z175" s="23">
        <v>1</v>
      </c>
    </row>
    <row r="176" spans="1:26" x14ac:dyDescent="0.3">
      <c r="A176" s="24">
        <v>1</v>
      </c>
      <c r="B176" s="39"/>
      <c r="C176" s="33"/>
      <c r="D176" s="25"/>
      <c r="E176" s="25"/>
      <c r="F176" s="34"/>
      <c r="G176" s="34"/>
      <c r="H176" s="25"/>
      <c r="I176" s="70" t="str">
        <f>IF(C176="Trả lại đơn","",IF(C176="Hòa giải thành","",IF(F176=0,"",EDATE(F176,VLOOKUP(C176,'Thời hạn'!$G$1:$H$12,2,0))+H176)))</f>
        <v/>
      </c>
      <c r="J176" s="59" t="str">
        <f t="shared" ca="1" si="2"/>
        <v/>
      </c>
      <c r="K176" s="25"/>
      <c r="L176" s="129"/>
      <c r="M176" s="130"/>
      <c r="N176" s="35"/>
      <c r="O176" s="34"/>
      <c r="P176" s="25"/>
      <c r="Q176" s="25"/>
      <c r="R176" s="34"/>
      <c r="S176" s="34"/>
      <c r="T176" s="137"/>
      <c r="U176" s="137"/>
      <c r="V176" s="36"/>
      <c r="W176" s="37"/>
      <c r="X176" s="71" t="str">
        <f>IF(C176="Trả lại đơn","",IF((NETWORKDAYS(F176,G176,'Danh sách ngày nghỉ lễ'!$B$5:$B$25)-1-3)&gt;0,"Quá hạn"&amp;" "&amp;(NETWORKDAYS(F176,G176,'Danh sách ngày nghỉ lễ'!$B$5:$B$25)-1-3)&amp;" "&amp;"ngày",""))</f>
        <v/>
      </c>
      <c r="Y176" s="72" t="str">
        <f>IF(S176=0,"",IF(P176="Chuyển","",IF(P176="Nhập vào vụ khác","",IF(P176="CN đối thoại","",IF(P176="CN tại tòa","",IF(P176="BA",IF((S176-R176)&gt;7,"Quá hạn"&amp;" "&amp;(S176-R176-7)&amp;" "&amp;"ngày",""),IF((NETWORKDAYS(R176,S176,'Danh sách ngày nghỉ lễ'!$B$5:$B$25)-VLOOKUP(P176,'Thời hạn'!$D$17:$E$20,2,0))&gt;1,"Quá hạn"&amp;" "&amp;(NETWORKDAYS(R176,S176,'Danh sách ngày nghỉ lễ'!$B$5:$B$25)-1-VLOOKUP(P176,'Thời hạn'!$D$17:$E$20,2,0))&amp;" "&amp;"ngày","")))))))</f>
        <v/>
      </c>
      <c r="Z176" s="23">
        <v>1</v>
      </c>
    </row>
    <row r="177" spans="1:26" x14ac:dyDescent="0.3">
      <c r="A177" s="24">
        <v>1</v>
      </c>
      <c r="B177" s="39"/>
      <c r="C177" s="33"/>
      <c r="D177" s="25"/>
      <c r="E177" s="25"/>
      <c r="F177" s="34"/>
      <c r="G177" s="34"/>
      <c r="H177" s="25"/>
      <c r="I177" s="70" t="str">
        <f>IF(C177="Trả lại đơn","",IF(C177="Hòa giải thành","",IF(F177=0,"",EDATE(F177,VLOOKUP(C177,'Thời hạn'!$G$1:$H$12,2,0))+H177)))</f>
        <v/>
      </c>
      <c r="J177" s="59" t="str">
        <f t="shared" ca="1" si="2"/>
        <v/>
      </c>
      <c r="K177" s="25"/>
      <c r="L177" s="129"/>
      <c r="M177" s="130"/>
      <c r="N177" s="35"/>
      <c r="O177" s="34"/>
      <c r="P177" s="25"/>
      <c r="Q177" s="25"/>
      <c r="R177" s="34"/>
      <c r="S177" s="34"/>
      <c r="T177" s="137"/>
      <c r="U177" s="137"/>
      <c r="V177" s="36"/>
      <c r="W177" s="37"/>
      <c r="X177" s="71" t="str">
        <f>IF(C177="Trả lại đơn","",IF((NETWORKDAYS(F177,G177,'Danh sách ngày nghỉ lễ'!$B$5:$B$25)-1-3)&gt;0,"Quá hạn"&amp;" "&amp;(NETWORKDAYS(F177,G177,'Danh sách ngày nghỉ lễ'!$B$5:$B$25)-1-3)&amp;" "&amp;"ngày",""))</f>
        <v/>
      </c>
      <c r="Y177" s="72" t="str">
        <f>IF(S177=0,"",IF(P177="Chuyển","",IF(P177="Nhập vào vụ khác","",IF(P177="CN đối thoại","",IF(P177="CN tại tòa","",IF(P177="BA",IF((S177-R177)&gt;7,"Quá hạn"&amp;" "&amp;(S177-R177-7)&amp;" "&amp;"ngày",""),IF((NETWORKDAYS(R177,S177,'Danh sách ngày nghỉ lễ'!$B$5:$B$25)-VLOOKUP(P177,'Thời hạn'!$D$17:$E$20,2,0))&gt;1,"Quá hạn"&amp;" "&amp;(NETWORKDAYS(R177,S177,'Danh sách ngày nghỉ lễ'!$B$5:$B$25)-1-VLOOKUP(P177,'Thời hạn'!$D$17:$E$20,2,0))&amp;" "&amp;"ngày","")))))))</f>
        <v/>
      </c>
      <c r="Z177" s="23">
        <v>1</v>
      </c>
    </row>
    <row r="178" spans="1:26" x14ac:dyDescent="0.3">
      <c r="A178" s="24">
        <v>1</v>
      </c>
      <c r="B178" s="39"/>
      <c r="C178" s="33"/>
      <c r="D178" s="25"/>
      <c r="E178" s="25"/>
      <c r="F178" s="34"/>
      <c r="G178" s="34"/>
      <c r="H178" s="25"/>
      <c r="I178" s="70" t="str">
        <f>IF(C178="Trả lại đơn","",IF(C178="Hòa giải thành","",IF(F178=0,"",EDATE(F178,VLOOKUP(C178,'Thời hạn'!$G$1:$H$12,2,0))+H178)))</f>
        <v/>
      </c>
      <c r="J178" s="59" t="str">
        <f t="shared" ca="1" si="2"/>
        <v/>
      </c>
      <c r="K178" s="25"/>
      <c r="L178" s="129"/>
      <c r="M178" s="130"/>
      <c r="N178" s="35"/>
      <c r="O178" s="34"/>
      <c r="P178" s="25"/>
      <c r="Q178" s="25"/>
      <c r="R178" s="34"/>
      <c r="S178" s="34"/>
      <c r="T178" s="137"/>
      <c r="U178" s="137"/>
      <c r="V178" s="36"/>
      <c r="W178" s="37"/>
      <c r="X178" s="71" t="str">
        <f>IF(C178="Trả lại đơn","",IF((NETWORKDAYS(F178,G178,'Danh sách ngày nghỉ lễ'!$B$5:$B$25)-1-3)&gt;0,"Quá hạn"&amp;" "&amp;(NETWORKDAYS(F178,G178,'Danh sách ngày nghỉ lễ'!$B$5:$B$25)-1-3)&amp;" "&amp;"ngày",""))</f>
        <v/>
      </c>
      <c r="Y178" s="72" t="str">
        <f>IF(S178=0,"",IF(P178="Chuyển","",IF(P178="Nhập vào vụ khác","",IF(P178="CN đối thoại","",IF(P178="CN tại tòa","",IF(P178="BA",IF((S178-R178)&gt;7,"Quá hạn"&amp;" "&amp;(S178-R178-7)&amp;" "&amp;"ngày",""),IF((NETWORKDAYS(R178,S178,'Danh sách ngày nghỉ lễ'!$B$5:$B$25)-VLOOKUP(P178,'Thời hạn'!$D$17:$E$20,2,0))&gt;1,"Quá hạn"&amp;" "&amp;(NETWORKDAYS(R178,S178,'Danh sách ngày nghỉ lễ'!$B$5:$B$25)-1-VLOOKUP(P178,'Thời hạn'!$D$17:$E$20,2,0))&amp;" "&amp;"ngày","")))))))</f>
        <v/>
      </c>
      <c r="Z178" s="23">
        <v>1</v>
      </c>
    </row>
    <row r="179" spans="1:26" x14ac:dyDescent="0.3">
      <c r="A179" s="24">
        <v>1</v>
      </c>
      <c r="B179" s="39"/>
      <c r="C179" s="33"/>
      <c r="D179" s="25"/>
      <c r="E179" s="25"/>
      <c r="F179" s="34"/>
      <c r="G179" s="34"/>
      <c r="H179" s="25"/>
      <c r="I179" s="70" t="str">
        <f>IF(C179="Trả lại đơn","",IF(C179="Hòa giải thành","",IF(F179=0,"",EDATE(F179,VLOOKUP(C179,'Thời hạn'!$G$1:$H$12,2,0))+H179)))</f>
        <v/>
      </c>
      <c r="J179" s="59" t="str">
        <f t="shared" ca="1" si="2"/>
        <v/>
      </c>
      <c r="K179" s="25"/>
      <c r="L179" s="129"/>
      <c r="M179" s="130"/>
      <c r="N179" s="35"/>
      <c r="O179" s="34"/>
      <c r="P179" s="25"/>
      <c r="Q179" s="25"/>
      <c r="R179" s="34"/>
      <c r="S179" s="34"/>
      <c r="T179" s="137"/>
      <c r="U179" s="137"/>
      <c r="V179" s="36"/>
      <c r="W179" s="37"/>
      <c r="X179" s="71" t="str">
        <f>IF(C179="Trả lại đơn","",IF((NETWORKDAYS(F179,G179,'Danh sách ngày nghỉ lễ'!$B$5:$B$25)-1-3)&gt;0,"Quá hạn"&amp;" "&amp;(NETWORKDAYS(F179,G179,'Danh sách ngày nghỉ lễ'!$B$5:$B$25)-1-3)&amp;" "&amp;"ngày",""))</f>
        <v/>
      </c>
      <c r="Y179" s="72" t="str">
        <f>IF(S179=0,"",IF(P179="Chuyển","",IF(P179="Nhập vào vụ khác","",IF(P179="CN đối thoại","",IF(P179="CN tại tòa","",IF(P179="BA",IF((S179-R179)&gt;7,"Quá hạn"&amp;" "&amp;(S179-R179-7)&amp;" "&amp;"ngày",""),IF((NETWORKDAYS(R179,S179,'Danh sách ngày nghỉ lễ'!$B$5:$B$25)-VLOOKUP(P179,'Thời hạn'!$D$17:$E$20,2,0))&gt;1,"Quá hạn"&amp;" "&amp;(NETWORKDAYS(R179,S179,'Danh sách ngày nghỉ lễ'!$B$5:$B$25)-1-VLOOKUP(P179,'Thời hạn'!$D$17:$E$20,2,0))&amp;" "&amp;"ngày","")))))))</f>
        <v/>
      </c>
      <c r="Z179" s="23">
        <v>1</v>
      </c>
    </row>
    <row r="180" spans="1:26" x14ac:dyDescent="0.3">
      <c r="A180" s="24">
        <v>1</v>
      </c>
      <c r="B180" s="39"/>
      <c r="C180" s="33"/>
      <c r="D180" s="25"/>
      <c r="E180" s="25"/>
      <c r="F180" s="34"/>
      <c r="G180" s="34"/>
      <c r="H180" s="25"/>
      <c r="I180" s="70" t="str">
        <f>IF(C180="Trả lại đơn","",IF(C180="Hòa giải thành","",IF(F180=0,"",EDATE(F180,VLOOKUP(C180,'Thời hạn'!$G$1:$H$12,2,0))+H180)))</f>
        <v/>
      </c>
      <c r="J180" s="59" t="str">
        <f t="shared" ca="1" si="2"/>
        <v/>
      </c>
      <c r="K180" s="25"/>
      <c r="L180" s="129"/>
      <c r="M180" s="130"/>
      <c r="N180" s="35"/>
      <c r="O180" s="34"/>
      <c r="P180" s="25"/>
      <c r="Q180" s="25"/>
      <c r="R180" s="34"/>
      <c r="S180" s="34"/>
      <c r="T180" s="137"/>
      <c r="U180" s="137"/>
      <c r="V180" s="36"/>
      <c r="W180" s="37"/>
      <c r="X180" s="71" t="str">
        <f>IF(C180="Trả lại đơn","",IF((NETWORKDAYS(F180,G180,'Danh sách ngày nghỉ lễ'!$B$5:$B$25)-1-3)&gt;0,"Quá hạn"&amp;" "&amp;(NETWORKDAYS(F180,G180,'Danh sách ngày nghỉ lễ'!$B$5:$B$25)-1-3)&amp;" "&amp;"ngày",""))</f>
        <v/>
      </c>
      <c r="Y180" s="72" t="str">
        <f>IF(S180=0,"",IF(P180="Chuyển","",IF(P180="Nhập vào vụ khác","",IF(P180="CN đối thoại","",IF(P180="CN tại tòa","",IF(P180="BA",IF((S180-R180)&gt;7,"Quá hạn"&amp;" "&amp;(S180-R180-7)&amp;" "&amp;"ngày",""),IF((NETWORKDAYS(R180,S180,'Danh sách ngày nghỉ lễ'!$B$5:$B$25)-VLOOKUP(P180,'Thời hạn'!$D$17:$E$20,2,0))&gt;1,"Quá hạn"&amp;" "&amp;(NETWORKDAYS(R180,S180,'Danh sách ngày nghỉ lễ'!$B$5:$B$25)-1-VLOOKUP(P180,'Thời hạn'!$D$17:$E$20,2,0))&amp;" "&amp;"ngày","")))))))</f>
        <v/>
      </c>
      <c r="Z180" s="23">
        <v>1</v>
      </c>
    </row>
    <row r="181" spans="1:26" x14ac:dyDescent="0.3">
      <c r="A181" s="24">
        <v>1</v>
      </c>
      <c r="B181" s="39"/>
      <c r="C181" s="33"/>
      <c r="D181" s="25"/>
      <c r="E181" s="25"/>
      <c r="F181" s="34"/>
      <c r="G181" s="34"/>
      <c r="H181" s="25"/>
      <c r="I181" s="70" t="str">
        <f>IF(C181="Trả lại đơn","",IF(C181="Hòa giải thành","",IF(F181=0,"",EDATE(F181,VLOOKUP(C181,'Thời hạn'!$G$1:$H$12,2,0))+H181)))</f>
        <v/>
      </c>
      <c r="J181" s="59" t="str">
        <f t="shared" ca="1" si="2"/>
        <v/>
      </c>
      <c r="K181" s="25"/>
      <c r="L181" s="129"/>
      <c r="M181" s="130"/>
      <c r="N181" s="35"/>
      <c r="O181" s="34"/>
      <c r="P181" s="25"/>
      <c r="Q181" s="25"/>
      <c r="R181" s="34"/>
      <c r="S181" s="34"/>
      <c r="T181" s="137"/>
      <c r="U181" s="137"/>
      <c r="V181" s="36"/>
      <c r="W181" s="37"/>
      <c r="X181" s="71" t="str">
        <f>IF(C181="Trả lại đơn","",IF((NETWORKDAYS(F181,G181,'Danh sách ngày nghỉ lễ'!$B$5:$B$25)-1-3)&gt;0,"Quá hạn"&amp;" "&amp;(NETWORKDAYS(F181,G181,'Danh sách ngày nghỉ lễ'!$B$5:$B$25)-1-3)&amp;" "&amp;"ngày",""))</f>
        <v/>
      </c>
      <c r="Y181" s="72" t="str">
        <f>IF(S181=0,"",IF(P181="Chuyển","",IF(P181="Nhập vào vụ khác","",IF(P181="CN đối thoại","",IF(P181="CN tại tòa","",IF(P181="BA",IF((S181-R181)&gt;7,"Quá hạn"&amp;" "&amp;(S181-R181-7)&amp;" "&amp;"ngày",""),IF((NETWORKDAYS(R181,S181,'Danh sách ngày nghỉ lễ'!$B$5:$B$25)-VLOOKUP(P181,'Thời hạn'!$D$17:$E$20,2,0))&gt;1,"Quá hạn"&amp;" "&amp;(NETWORKDAYS(R181,S181,'Danh sách ngày nghỉ lễ'!$B$5:$B$25)-1-VLOOKUP(P181,'Thời hạn'!$D$17:$E$20,2,0))&amp;" "&amp;"ngày","")))))))</f>
        <v/>
      </c>
      <c r="Z181" s="23">
        <v>1</v>
      </c>
    </row>
    <row r="182" spans="1:26" x14ac:dyDescent="0.3">
      <c r="A182" s="24">
        <v>1</v>
      </c>
      <c r="B182" s="39"/>
      <c r="C182" s="33"/>
      <c r="D182" s="25"/>
      <c r="E182" s="25"/>
      <c r="F182" s="34"/>
      <c r="G182" s="34"/>
      <c r="H182" s="25"/>
      <c r="I182" s="70" t="str">
        <f>IF(C182="Trả lại đơn","",IF(C182="Hòa giải thành","",IF(F182=0,"",EDATE(F182,VLOOKUP(C182,'Thời hạn'!$G$1:$H$12,2,0))+H182)))</f>
        <v/>
      </c>
      <c r="J182" s="59" t="str">
        <f t="shared" ca="1" si="2"/>
        <v/>
      </c>
      <c r="K182" s="25"/>
      <c r="L182" s="129"/>
      <c r="M182" s="130"/>
      <c r="N182" s="35"/>
      <c r="O182" s="34"/>
      <c r="P182" s="25"/>
      <c r="Q182" s="25"/>
      <c r="R182" s="34"/>
      <c r="S182" s="34"/>
      <c r="T182" s="137"/>
      <c r="U182" s="137"/>
      <c r="V182" s="36"/>
      <c r="W182" s="37"/>
      <c r="X182" s="71" t="str">
        <f>IF(C182="Trả lại đơn","",IF((NETWORKDAYS(F182,G182,'Danh sách ngày nghỉ lễ'!$B$5:$B$25)-1-3)&gt;0,"Quá hạn"&amp;" "&amp;(NETWORKDAYS(F182,G182,'Danh sách ngày nghỉ lễ'!$B$5:$B$25)-1-3)&amp;" "&amp;"ngày",""))</f>
        <v/>
      </c>
      <c r="Y182" s="72" t="str">
        <f>IF(S182=0,"",IF(P182="Chuyển","",IF(P182="Nhập vào vụ khác","",IF(P182="CN đối thoại","",IF(P182="CN tại tòa","",IF(P182="BA",IF((S182-R182)&gt;7,"Quá hạn"&amp;" "&amp;(S182-R182-7)&amp;" "&amp;"ngày",""),IF((NETWORKDAYS(R182,S182,'Danh sách ngày nghỉ lễ'!$B$5:$B$25)-VLOOKUP(P182,'Thời hạn'!$D$17:$E$20,2,0))&gt;1,"Quá hạn"&amp;" "&amp;(NETWORKDAYS(R182,S182,'Danh sách ngày nghỉ lễ'!$B$5:$B$25)-1-VLOOKUP(P182,'Thời hạn'!$D$17:$E$20,2,0))&amp;" "&amp;"ngày","")))))))</f>
        <v/>
      </c>
      <c r="Z182" s="23">
        <v>1</v>
      </c>
    </row>
    <row r="183" spans="1:26" x14ac:dyDescent="0.3">
      <c r="A183" s="24">
        <v>1</v>
      </c>
      <c r="B183" s="39"/>
      <c r="C183" s="33"/>
      <c r="D183" s="25"/>
      <c r="E183" s="25"/>
      <c r="F183" s="34"/>
      <c r="G183" s="34"/>
      <c r="H183" s="25"/>
      <c r="I183" s="70" t="str">
        <f>IF(C183="Trả lại đơn","",IF(C183="Hòa giải thành","",IF(F183=0,"",EDATE(F183,VLOOKUP(C183,'Thời hạn'!$G$1:$H$12,2,0))+H183)))</f>
        <v/>
      </c>
      <c r="J183" s="59" t="str">
        <f t="shared" ca="1" si="2"/>
        <v/>
      </c>
      <c r="K183" s="25"/>
      <c r="L183" s="129"/>
      <c r="M183" s="130"/>
      <c r="N183" s="35"/>
      <c r="O183" s="34"/>
      <c r="P183" s="25"/>
      <c r="Q183" s="25"/>
      <c r="R183" s="34"/>
      <c r="S183" s="34"/>
      <c r="T183" s="137"/>
      <c r="U183" s="137"/>
      <c r="V183" s="36"/>
      <c r="W183" s="37"/>
      <c r="X183" s="71" t="str">
        <f>IF(C183="Trả lại đơn","",IF((NETWORKDAYS(F183,G183,'Danh sách ngày nghỉ lễ'!$B$5:$B$25)-1-3)&gt;0,"Quá hạn"&amp;" "&amp;(NETWORKDAYS(F183,G183,'Danh sách ngày nghỉ lễ'!$B$5:$B$25)-1-3)&amp;" "&amp;"ngày",""))</f>
        <v/>
      </c>
      <c r="Y183" s="72" t="str">
        <f>IF(S183=0,"",IF(P183="Chuyển","",IF(P183="Nhập vào vụ khác","",IF(P183="CN đối thoại","",IF(P183="CN tại tòa","",IF(P183="BA",IF((S183-R183)&gt;7,"Quá hạn"&amp;" "&amp;(S183-R183-7)&amp;" "&amp;"ngày",""),IF((NETWORKDAYS(R183,S183,'Danh sách ngày nghỉ lễ'!$B$5:$B$25)-VLOOKUP(P183,'Thời hạn'!$D$17:$E$20,2,0))&gt;1,"Quá hạn"&amp;" "&amp;(NETWORKDAYS(R183,S183,'Danh sách ngày nghỉ lễ'!$B$5:$B$25)-1-VLOOKUP(P183,'Thời hạn'!$D$17:$E$20,2,0))&amp;" "&amp;"ngày","")))))))</f>
        <v/>
      </c>
      <c r="Z183" s="23">
        <v>1</v>
      </c>
    </row>
    <row r="184" spans="1:26" x14ac:dyDescent="0.3">
      <c r="A184" s="24">
        <v>1</v>
      </c>
      <c r="B184" s="39"/>
      <c r="C184" s="33"/>
      <c r="D184" s="25"/>
      <c r="E184" s="25"/>
      <c r="F184" s="34"/>
      <c r="G184" s="34"/>
      <c r="H184" s="25"/>
      <c r="I184" s="70" t="str">
        <f>IF(C184="Trả lại đơn","",IF(C184="Hòa giải thành","",IF(F184=0,"",EDATE(F184,VLOOKUP(C184,'Thời hạn'!$G$1:$H$12,2,0))+H184)))</f>
        <v/>
      </c>
      <c r="J184" s="59" t="str">
        <f t="shared" ca="1" si="2"/>
        <v/>
      </c>
      <c r="K184" s="25"/>
      <c r="L184" s="129"/>
      <c r="M184" s="130"/>
      <c r="N184" s="35"/>
      <c r="O184" s="34"/>
      <c r="P184" s="25"/>
      <c r="Q184" s="25"/>
      <c r="R184" s="34"/>
      <c r="S184" s="34"/>
      <c r="T184" s="137"/>
      <c r="U184" s="137"/>
      <c r="V184" s="36"/>
      <c r="W184" s="37"/>
      <c r="X184" s="71" t="str">
        <f>IF(C184="Trả lại đơn","",IF((NETWORKDAYS(F184,G184,'Danh sách ngày nghỉ lễ'!$B$5:$B$25)-1-3)&gt;0,"Quá hạn"&amp;" "&amp;(NETWORKDAYS(F184,G184,'Danh sách ngày nghỉ lễ'!$B$5:$B$25)-1-3)&amp;" "&amp;"ngày",""))</f>
        <v/>
      </c>
      <c r="Y184" s="72" t="str">
        <f>IF(S184=0,"",IF(P184="Chuyển","",IF(P184="Nhập vào vụ khác","",IF(P184="CN đối thoại","",IF(P184="CN tại tòa","",IF(P184="BA",IF((S184-R184)&gt;7,"Quá hạn"&amp;" "&amp;(S184-R184-7)&amp;" "&amp;"ngày",""),IF((NETWORKDAYS(R184,S184,'Danh sách ngày nghỉ lễ'!$B$5:$B$25)-VLOOKUP(P184,'Thời hạn'!$D$17:$E$20,2,0))&gt;1,"Quá hạn"&amp;" "&amp;(NETWORKDAYS(R184,S184,'Danh sách ngày nghỉ lễ'!$B$5:$B$25)-1-VLOOKUP(P184,'Thời hạn'!$D$17:$E$20,2,0))&amp;" "&amp;"ngày","")))))))</f>
        <v/>
      </c>
      <c r="Z184" s="23">
        <v>1</v>
      </c>
    </row>
    <row r="185" spans="1:26" x14ac:dyDescent="0.3">
      <c r="A185" s="24">
        <v>1</v>
      </c>
      <c r="B185" s="39"/>
      <c r="C185" s="33"/>
      <c r="D185" s="25"/>
      <c r="E185" s="25"/>
      <c r="F185" s="34"/>
      <c r="G185" s="34"/>
      <c r="H185" s="25"/>
      <c r="I185" s="70" t="str">
        <f>IF(C185="Trả lại đơn","",IF(C185="Hòa giải thành","",IF(F185=0,"",EDATE(F185,VLOOKUP(C185,'Thời hạn'!$G$1:$H$12,2,0))+H185)))</f>
        <v/>
      </c>
      <c r="J185" s="59" t="str">
        <f t="shared" ca="1" si="2"/>
        <v/>
      </c>
      <c r="K185" s="25"/>
      <c r="L185" s="129"/>
      <c r="M185" s="130"/>
      <c r="N185" s="35"/>
      <c r="O185" s="34"/>
      <c r="P185" s="25"/>
      <c r="Q185" s="25"/>
      <c r="R185" s="34"/>
      <c r="S185" s="34"/>
      <c r="T185" s="137"/>
      <c r="U185" s="137"/>
      <c r="V185" s="36"/>
      <c r="W185" s="37"/>
      <c r="X185" s="71" t="str">
        <f>IF(C185="Trả lại đơn","",IF((NETWORKDAYS(F185,G185,'Danh sách ngày nghỉ lễ'!$B$5:$B$25)-1-3)&gt;0,"Quá hạn"&amp;" "&amp;(NETWORKDAYS(F185,G185,'Danh sách ngày nghỉ lễ'!$B$5:$B$25)-1-3)&amp;" "&amp;"ngày",""))</f>
        <v/>
      </c>
      <c r="Y185" s="72" t="str">
        <f>IF(S185=0,"",IF(P185="Chuyển","",IF(P185="Nhập vào vụ khác","",IF(P185="CN đối thoại","",IF(P185="CN tại tòa","",IF(P185="BA",IF((S185-R185)&gt;7,"Quá hạn"&amp;" "&amp;(S185-R185-7)&amp;" "&amp;"ngày",""),IF((NETWORKDAYS(R185,S185,'Danh sách ngày nghỉ lễ'!$B$5:$B$25)-VLOOKUP(P185,'Thời hạn'!$D$17:$E$20,2,0))&gt;1,"Quá hạn"&amp;" "&amp;(NETWORKDAYS(R185,S185,'Danh sách ngày nghỉ lễ'!$B$5:$B$25)-1-VLOOKUP(P185,'Thời hạn'!$D$17:$E$20,2,0))&amp;" "&amp;"ngày","")))))))</f>
        <v/>
      </c>
      <c r="Z185" s="23">
        <v>1</v>
      </c>
    </row>
    <row r="186" spans="1:26" x14ac:dyDescent="0.3">
      <c r="A186" s="24">
        <v>1</v>
      </c>
      <c r="B186" s="39"/>
      <c r="C186" s="33"/>
      <c r="D186" s="25"/>
      <c r="E186" s="25"/>
      <c r="F186" s="34"/>
      <c r="G186" s="34"/>
      <c r="H186" s="25"/>
      <c r="I186" s="70" t="str">
        <f>IF(C186="Trả lại đơn","",IF(C186="Hòa giải thành","",IF(F186=0,"",EDATE(F186,VLOOKUP(C186,'Thời hạn'!$G$1:$H$12,2,0))+H186)))</f>
        <v/>
      </c>
      <c r="J186" s="59" t="str">
        <f t="shared" ca="1" si="2"/>
        <v/>
      </c>
      <c r="K186" s="25"/>
      <c r="L186" s="129"/>
      <c r="M186" s="130"/>
      <c r="N186" s="35"/>
      <c r="O186" s="34"/>
      <c r="P186" s="25"/>
      <c r="Q186" s="25"/>
      <c r="R186" s="34"/>
      <c r="S186" s="34"/>
      <c r="T186" s="137"/>
      <c r="U186" s="137"/>
      <c r="V186" s="36"/>
      <c r="W186" s="37"/>
      <c r="X186" s="71" t="str">
        <f>IF(C186="Trả lại đơn","",IF((NETWORKDAYS(F186,G186,'Danh sách ngày nghỉ lễ'!$B$5:$B$25)-1-3)&gt;0,"Quá hạn"&amp;" "&amp;(NETWORKDAYS(F186,G186,'Danh sách ngày nghỉ lễ'!$B$5:$B$25)-1-3)&amp;" "&amp;"ngày",""))</f>
        <v/>
      </c>
      <c r="Y186" s="72" t="str">
        <f>IF(S186=0,"",IF(P186="Chuyển","",IF(P186="Nhập vào vụ khác","",IF(P186="CN đối thoại","",IF(P186="CN tại tòa","",IF(P186="BA",IF((S186-R186)&gt;7,"Quá hạn"&amp;" "&amp;(S186-R186-7)&amp;" "&amp;"ngày",""),IF((NETWORKDAYS(R186,S186,'Danh sách ngày nghỉ lễ'!$B$5:$B$25)-VLOOKUP(P186,'Thời hạn'!$D$17:$E$20,2,0))&gt;1,"Quá hạn"&amp;" "&amp;(NETWORKDAYS(R186,S186,'Danh sách ngày nghỉ lễ'!$B$5:$B$25)-1-VLOOKUP(P186,'Thời hạn'!$D$17:$E$20,2,0))&amp;" "&amp;"ngày","")))))))</f>
        <v/>
      </c>
      <c r="Z186" s="23">
        <v>1</v>
      </c>
    </row>
    <row r="187" spans="1:26" x14ac:dyDescent="0.3">
      <c r="A187" s="24">
        <v>1</v>
      </c>
      <c r="B187" s="39"/>
      <c r="C187" s="33"/>
      <c r="D187" s="25"/>
      <c r="E187" s="25"/>
      <c r="F187" s="34"/>
      <c r="G187" s="34"/>
      <c r="H187" s="25"/>
      <c r="I187" s="70" t="str">
        <f>IF(C187="Trả lại đơn","",IF(C187="Hòa giải thành","",IF(F187=0,"",EDATE(F187,VLOOKUP(C187,'Thời hạn'!$G$1:$H$12,2,0))+H187)))</f>
        <v/>
      </c>
      <c r="J187" s="59" t="str">
        <f t="shared" ca="1" si="2"/>
        <v/>
      </c>
      <c r="K187" s="25"/>
      <c r="L187" s="129"/>
      <c r="M187" s="130"/>
      <c r="N187" s="35"/>
      <c r="O187" s="34"/>
      <c r="P187" s="25"/>
      <c r="Q187" s="25"/>
      <c r="R187" s="34"/>
      <c r="S187" s="34"/>
      <c r="T187" s="137"/>
      <c r="U187" s="137"/>
      <c r="V187" s="36"/>
      <c r="W187" s="37"/>
      <c r="X187" s="71" t="str">
        <f>IF(C187="Trả lại đơn","",IF((NETWORKDAYS(F187,G187,'Danh sách ngày nghỉ lễ'!$B$5:$B$25)-1-3)&gt;0,"Quá hạn"&amp;" "&amp;(NETWORKDAYS(F187,G187,'Danh sách ngày nghỉ lễ'!$B$5:$B$25)-1-3)&amp;" "&amp;"ngày",""))</f>
        <v/>
      </c>
      <c r="Y187" s="72" t="str">
        <f>IF(S187=0,"",IF(P187="Chuyển","",IF(P187="Nhập vào vụ khác","",IF(P187="CN đối thoại","",IF(P187="CN tại tòa","",IF(P187="BA",IF((S187-R187)&gt;7,"Quá hạn"&amp;" "&amp;(S187-R187-7)&amp;" "&amp;"ngày",""),IF((NETWORKDAYS(R187,S187,'Danh sách ngày nghỉ lễ'!$B$5:$B$25)-VLOOKUP(P187,'Thời hạn'!$D$17:$E$20,2,0))&gt;1,"Quá hạn"&amp;" "&amp;(NETWORKDAYS(R187,S187,'Danh sách ngày nghỉ lễ'!$B$5:$B$25)-1-VLOOKUP(P187,'Thời hạn'!$D$17:$E$20,2,0))&amp;" "&amp;"ngày","")))))))</f>
        <v/>
      </c>
      <c r="Z187" s="23">
        <v>1</v>
      </c>
    </row>
    <row r="188" spans="1:26" x14ac:dyDescent="0.3">
      <c r="A188" s="24">
        <v>1</v>
      </c>
      <c r="B188" s="39"/>
      <c r="C188" s="33"/>
      <c r="D188" s="25"/>
      <c r="E188" s="25"/>
      <c r="F188" s="34"/>
      <c r="G188" s="34"/>
      <c r="H188" s="25"/>
      <c r="I188" s="70" t="str">
        <f>IF(C188="Trả lại đơn","",IF(C188="Hòa giải thành","",IF(F188=0,"",EDATE(F188,VLOOKUP(C188,'Thời hạn'!$G$1:$H$12,2,0))+H188)))</f>
        <v/>
      </c>
      <c r="J188" s="59" t="str">
        <f t="shared" ca="1" si="2"/>
        <v/>
      </c>
      <c r="K188" s="25"/>
      <c r="L188" s="129"/>
      <c r="M188" s="130"/>
      <c r="N188" s="35"/>
      <c r="O188" s="34"/>
      <c r="P188" s="25"/>
      <c r="Q188" s="25"/>
      <c r="R188" s="34"/>
      <c r="S188" s="34"/>
      <c r="T188" s="137"/>
      <c r="U188" s="137"/>
      <c r="V188" s="36"/>
      <c r="W188" s="37"/>
      <c r="X188" s="71" t="str">
        <f>IF(C188="Trả lại đơn","",IF((NETWORKDAYS(F188,G188,'Danh sách ngày nghỉ lễ'!$B$5:$B$25)-1-3)&gt;0,"Quá hạn"&amp;" "&amp;(NETWORKDAYS(F188,G188,'Danh sách ngày nghỉ lễ'!$B$5:$B$25)-1-3)&amp;" "&amp;"ngày",""))</f>
        <v/>
      </c>
      <c r="Y188" s="72" t="str">
        <f>IF(S188=0,"",IF(P188="Chuyển","",IF(P188="Nhập vào vụ khác","",IF(P188="CN đối thoại","",IF(P188="CN tại tòa","",IF(P188="BA",IF((S188-R188)&gt;7,"Quá hạn"&amp;" "&amp;(S188-R188-7)&amp;" "&amp;"ngày",""),IF((NETWORKDAYS(R188,S188,'Danh sách ngày nghỉ lễ'!$B$5:$B$25)-VLOOKUP(P188,'Thời hạn'!$D$17:$E$20,2,0))&gt;1,"Quá hạn"&amp;" "&amp;(NETWORKDAYS(R188,S188,'Danh sách ngày nghỉ lễ'!$B$5:$B$25)-1-VLOOKUP(P188,'Thời hạn'!$D$17:$E$20,2,0))&amp;" "&amp;"ngày","")))))))</f>
        <v/>
      </c>
      <c r="Z188" s="23">
        <v>1</v>
      </c>
    </row>
    <row r="189" spans="1:26" x14ac:dyDescent="0.3">
      <c r="A189" s="24">
        <v>1</v>
      </c>
      <c r="B189" s="39"/>
      <c r="C189" s="33"/>
      <c r="D189" s="25"/>
      <c r="E189" s="25"/>
      <c r="F189" s="34"/>
      <c r="G189" s="34"/>
      <c r="H189" s="25"/>
      <c r="I189" s="70" t="str">
        <f>IF(C189="Trả lại đơn","",IF(C189="Hòa giải thành","",IF(F189=0,"",EDATE(F189,VLOOKUP(C189,'Thời hạn'!$G$1:$H$12,2,0))+H189)))</f>
        <v/>
      </c>
      <c r="J189" s="59" t="str">
        <f t="shared" ca="1" si="2"/>
        <v/>
      </c>
      <c r="K189" s="25"/>
      <c r="L189" s="129"/>
      <c r="M189" s="130"/>
      <c r="N189" s="35"/>
      <c r="O189" s="34"/>
      <c r="P189" s="25"/>
      <c r="Q189" s="25"/>
      <c r="R189" s="34"/>
      <c r="S189" s="34"/>
      <c r="T189" s="137"/>
      <c r="U189" s="137"/>
      <c r="V189" s="36"/>
      <c r="W189" s="37"/>
      <c r="X189" s="71" t="str">
        <f>IF(C189="Trả lại đơn","",IF((NETWORKDAYS(F189,G189,'Danh sách ngày nghỉ lễ'!$B$5:$B$25)-1-3)&gt;0,"Quá hạn"&amp;" "&amp;(NETWORKDAYS(F189,G189,'Danh sách ngày nghỉ lễ'!$B$5:$B$25)-1-3)&amp;" "&amp;"ngày",""))</f>
        <v/>
      </c>
      <c r="Y189" s="72" t="str">
        <f>IF(S189=0,"",IF(P189="Chuyển","",IF(P189="Nhập vào vụ khác","",IF(P189="CN đối thoại","",IF(P189="CN tại tòa","",IF(P189="BA",IF((S189-R189)&gt;7,"Quá hạn"&amp;" "&amp;(S189-R189-7)&amp;" "&amp;"ngày",""),IF((NETWORKDAYS(R189,S189,'Danh sách ngày nghỉ lễ'!$B$5:$B$25)-VLOOKUP(P189,'Thời hạn'!$D$17:$E$20,2,0))&gt;1,"Quá hạn"&amp;" "&amp;(NETWORKDAYS(R189,S189,'Danh sách ngày nghỉ lễ'!$B$5:$B$25)-1-VLOOKUP(P189,'Thời hạn'!$D$17:$E$20,2,0))&amp;" "&amp;"ngày","")))))))</f>
        <v/>
      </c>
      <c r="Z189" s="23">
        <v>1</v>
      </c>
    </row>
    <row r="190" spans="1:26" x14ac:dyDescent="0.3">
      <c r="A190" s="24">
        <v>1</v>
      </c>
      <c r="B190" s="39"/>
      <c r="C190" s="33"/>
      <c r="D190" s="25"/>
      <c r="E190" s="25"/>
      <c r="F190" s="34"/>
      <c r="G190" s="34"/>
      <c r="H190" s="25"/>
      <c r="I190" s="70" t="str">
        <f>IF(C190="Trả lại đơn","",IF(C190="Hòa giải thành","",IF(F190=0,"",EDATE(F190,VLOOKUP(C190,'Thời hạn'!$G$1:$H$12,2,0))+H190)))</f>
        <v/>
      </c>
      <c r="J190" s="59" t="str">
        <f t="shared" ca="1" si="2"/>
        <v/>
      </c>
      <c r="K190" s="25"/>
      <c r="L190" s="129"/>
      <c r="M190" s="130"/>
      <c r="N190" s="35"/>
      <c r="O190" s="34"/>
      <c r="P190" s="25"/>
      <c r="Q190" s="25"/>
      <c r="R190" s="34"/>
      <c r="S190" s="34"/>
      <c r="T190" s="137"/>
      <c r="U190" s="137"/>
      <c r="V190" s="36"/>
      <c r="W190" s="37"/>
      <c r="X190" s="71" t="str">
        <f>IF(C190="Trả lại đơn","",IF((NETWORKDAYS(F190,G190,'Danh sách ngày nghỉ lễ'!$B$5:$B$25)-1-3)&gt;0,"Quá hạn"&amp;" "&amp;(NETWORKDAYS(F190,G190,'Danh sách ngày nghỉ lễ'!$B$5:$B$25)-1-3)&amp;" "&amp;"ngày",""))</f>
        <v/>
      </c>
      <c r="Y190" s="72" t="str">
        <f>IF(S190=0,"",IF(P190="Chuyển","",IF(P190="Nhập vào vụ khác","",IF(P190="CN đối thoại","",IF(P190="CN tại tòa","",IF(P190="BA",IF((S190-R190)&gt;7,"Quá hạn"&amp;" "&amp;(S190-R190-7)&amp;" "&amp;"ngày",""),IF((NETWORKDAYS(R190,S190,'Danh sách ngày nghỉ lễ'!$B$5:$B$25)-VLOOKUP(P190,'Thời hạn'!$D$17:$E$20,2,0))&gt;1,"Quá hạn"&amp;" "&amp;(NETWORKDAYS(R190,S190,'Danh sách ngày nghỉ lễ'!$B$5:$B$25)-1-VLOOKUP(P190,'Thời hạn'!$D$17:$E$20,2,0))&amp;" "&amp;"ngày","")))))))</f>
        <v/>
      </c>
      <c r="Z190" s="23">
        <v>1</v>
      </c>
    </row>
    <row r="191" spans="1:26" x14ac:dyDescent="0.3">
      <c r="A191" s="24">
        <v>1</v>
      </c>
      <c r="B191" s="39"/>
      <c r="C191" s="33"/>
      <c r="D191" s="25"/>
      <c r="E191" s="25"/>
      <c r="F191" s="34"/>
      <c r="G191" s="34"/>
      <c r="H191" s="25"/>
      <c r="I191" s="70" t="str">
        <f>IF(C191="Trả lại đơn","",IF(C191="Hòa giải thành","",IF(F191=0,"",EDATE(F191,VLOOKUP(C191,'Thời hạn'!$G$1:$H$12,2,0))+H191)))</f>
        <v/>
      </c>
      <c r="J191" s="59" t="str">
        <f t="shared" ca="1" si="2"/>
        <v/>
      </c>
      <c r="K191" s="25"/>
      <c r="L191" s="129"/>
      <c r="M191" s="130"/>
      <c r="N191" s="35"/>
      <c r="O191" s="34"/>
      <c r="P191" s="25"/>
      <c r="Q191" s="25"/>
      <c r="R191" s="34"/>
      <c r="S191" s="34"/>
      <c r="T191" s="137"/>
      <c r="U191" s="137"/>
      <c r="V191" s="36"/>
      <c r="W191" s="37"/>
      <c r="X191" s="71" t="str">
        <f>IF(C191="Trả lại đơn","",IF((NETWORKDAYS(F191,G191,'Danh sách ngày nghỉ lễ'!$B$5:$B$25)-1-3)&gt;0,"Quá hạn"&amp;" "&amp;(NETWORKDAYS(F191,G191,'Danh sách ngày nghỉ lễ'!$B$5:$B$25)-1-3)&amp;" "&amp;"ngày",""))</f>
        <v/>
      </c>
      <c r="Y191" s="72" t="str">
        <f>IF(S191=0,"",IF(P191="Chuyển","",IF(P191="Nhập vào vụ khác","",IF(P191="CN đối thoại","",IF(P191="CN tại tòa","",IF(P191="BA",IF((S191-R191)&gt;7,"Quá hạn"&amp;" "&amp;(S191-R191-7)&amp;" "&amp;"ngày",""),IF((NETWORKDAYS(R191,S191,'Danh sách ngày nghỉ lễ'!$B$5:$B$25)-VLOOKUP(P191,'Thời hạn'!$D$17:$E$20,2,0))&gt;1,"Quá hạn"&amp;" "&amp;(NETWORKDAYS(R191,S191,'Danh sách ngày nghỉ lễ'!$B$5:$B$25)-1-VLOOKUP(P191,'Thời hạn'!$D$17:$E$20,2,0))&amp;" "&amp;"ngày","")))))))</f>
        <v/>
      </c>
      <c r="Z191" s="23">
        <v>1</v>
      </c>
    </row>
    <row r="192" spans="1:26" x14ac:dyDescent="0.3">
      <c r="A192" s="24">
        <v>1</v>
      </c>
      <c r="B192" s="39"/>
      <c r="C192" s="33"/>
      <c r="D192" s="25"/>
      <c r="E192" s="25"/>
      <c r="F192" s="34"/>
      <c r="G192" s="34"/>
      <c r="H192" s="25"/>
      <c r="I192" s="70" t="str">
        <f>IF(C192="Trả lại đơn","",IF(C192="Hòa giải thành","",IF(F192=0,"",EDATE(F192,VLOOKUP(C192,'Thời hạn'!$G$1:$H$12,2,0))+H192)))</f>
        <v/>
      </c>
      <c r="J192" s="59" t="str">
        <f t="shared" ca="1" si="2"/>
        <v/>
      </c>
      <c r="K192" s="25"/>
      <c r="L192" s="129"/>
      <c r="M192" s="130"/>
      <c r="N192" s="35"/>
      <c r="O192" s="34"/>
      <c r="P192" s="25"/>
      <c r="Q192" s="25"/>
      <c r="R192" s="34"/>
      <c r="S192" s="34"/>
      <c r="T192" s="137"/>
      <c r="U192" s="137"/>
      <c r="V192" s="36"/>
      <c r="W192" s="37"/>
      <c r="X192" s="71" t="str">
        <f>IF(C192="Trả lại đơn","",IF((NETWORKDAYS(F192,G192,'Danh sách ngày nghỉ lễ'!$B$5:$B$25)-1-3)&gt;0,"Quá hạn"&amp;" "&amp;(NETWORKDAYS(F192,G192,'Danh sách ngày nghỉ lễ'!$B$5:$B$25)-1-3)&amp;" "&amp;"ngày",""))</f>
        <v/>
      </c>
      <c r="Y192" s="72" t="str">
        <f>IF(S192=0,"",IF(P192="Chuyển","",IF(P192="Nhập vào vụ khác","",IF(P192="CN đối thoại","",IF(P192="CN tại tòa","",IF(P192="BA",IF((S192-R192)&gt;7,"Quá hạn"&amp;" "&amp;(S192-R192-7)&amp;" "&amp;"ngày",""),IF((NETWORKDAYS(R192,S192,'Danh sách ngày nghỉ lễ'!$B$5:$B$25)-VLOOKUP(P192,'Thời hạn'!$D$17:$E$20,2,0))&gt;1,"Quá hạn"&amp;" "&amp;(NETWORKDAYS(R192,S192,'Danh sách ngày nghỉ lễ'!$B$5:$B$25)-1-VLOOKUP(P192,'Thời hạn'!$D$17:$E$20,2,0))&amp;" "&amp;"ngày","")))))))</f>
        <v/>
      </c>
      <c r="Z192" s="23">
        <v>1</v>
      </c>
    </row>
    <row r="193" spans="1:26" x14ac:dyDescent="0.3">
      <c r="A193" s="24">
        <v>1</v>
      </c>
      <c r="B193" s="39"/>
      <c r="C193" s="33"/>
      <c r="D193" s="25"/>
      <c r="E193" s="25"/>
      <c r="F193" s="34"/>
      <c r="G193" s="34"/>
      <c r="H193" s="25"/>
      <c r="I193" s="70" t="str">
        <f>IF(C193="Trả lại đơn","",IF(C193="Hòa giải thành","",IF(F193=0,"",EDATE(F193,VLOOKUP(C193,'Thời hạn'!$G$1:$H$12,2,0))+H193)))</f>
        <v/>
      </c>
      <c r="J193" s="59" t="str">
        <f t="shared" ca="1" si="2"/>
        <v/>
      </c>
      <c r="K193" s="25"/>
      <c r="L193" s="129"/>
      <c r="M193" s="130"/>
      <c r="N193" s="35"/>
      <c r="O193" s="34"/>
      <c r="P193" s="25"/>
      <c r="Q193" s="25"/>
      <c r="R193" s="34"/>
      <c r="S193" s="34"/>
      <c r="T193" s="137"/>
      <c r="U193" s="137"/>
      <c r="V193" s="36"/>
      <c r="W193" s="37"/>
      <c r="X193" s="71" t="str">
        <f>IF(C193="Trả lại đơn","",IF((NETWORKDAYS(F193,G193,'Danh sách ngày nghỉ lễ'!$B$5:$B$25)-1-3)&gt;0,"Quá hạn"&amp;" "&amp;(NETWORKDAYS(F193,G193,'Danh sách ngày nghỉ lễ'!$B$5:$B$25)-1-3)&amp;" "&amp;"ngày",""))</f>
        <v/>
      </c>
      <c r="Y193" s="72" t="str">
        <f>IF(S193=0,"",IF(P193="Chuyển","",IF(P193="Nhập vào vụ khác","",IF(P193="CN đối thoại","",IF(P193="CN tại tòa","",IF(P193="BA",IF((S193-R193)&gt;7,"Quá hạn"&amp;" "&amp;(S193-R193-7)&amp;" "&amp;"ngày",""),IF((NETWORKDAYS(R193,S193,'Danh sách ngày nghỉ lễ'!$B$5:$B$25)-VLOOKUP(P193,'Thời hạn'!$D$17:$E$20,2,0))&gt;1,"Quá hạn"&amp;" "&amp;(NETWORKDAYS(R193,S193,'Danh sách ngày nghỉ lễ'!$B$5:$B$25)-1-VLOOKUP(P193,'Thời hạn'!$D$17:$E$20,2,0))&amp;" "&amp;"ngày","")))))))</f>
        <v/>
      </c>
      <c r="Z193" s="23">
        <v>1</v>
      </c>
    </row>
    <row r="194" spans="1:26" x14ac:dyDescent="0.3">
      <c r="A194" s="24">
        <v>1</v>
      </c>
      <c r="B194" s="39"/>
      <c r="C194" s="33"/>
      <c r="D194" s="25"/>
      <c r="E194" s="25"/>
      <c r="F194" s="34"/>
      <c r="G194" s="34"/>
      <c r="H194" s="25"/>
      <c r="I194" s="70" t="str">
        <f>IF(C194="Trả lại đơn","",IF(C194="Hòa giải thành","",IF(F194=0,"",EDATE(F194,VLOOKUP(C194,'Thời hạn'!$G$1:$H$12,2,0))+H194)))</f>
        <v/>
      </c>
      <c r="J194" s="59" t="str">
        <f t="shared" ca="1" si="2"/>
        <v/>
      </c>
      <c r="K194" s="25"/>
      <c r="L194" s="129"/>
      <c r="M194" s="130"/>
      <c r="N194" s="35"/>
      <c r="O194" s="34"/>
      <c r="P194" s="25"/>
      <c r="Q194" s="25"/>
      <c r="R194" s="34"/>
      <c r="S194" s="34"/>
      <c r="T194" s="137"/>
      <c r="U194" s="137"/>
      <c r="V194" s="36"/>
      <c r="W194" s="37"/>
      <c r="X194" s="71" t="str">
        <f>IF(C194="Trả lại đơn","",IF((NETWORKDAYS(F194,G194,'Danh sách ngày nghỉ lễ'!$B$5:$B$25)-1-3)&gt;0,"Quá hạn"&amp;" "&amp;(NETWORKDAYS(F194,G194,'Danh sách ngày nghỉ lễ'!$B$5:$B$25)-1-3)&amp;" "&amp;"ngày",""))</f>
        <v/>
      </c>
      <c r="Y194" s="72" t="str">
        <f>IF(S194=0,"",IF(P194="Chuyển","",IF(P194="Nhập vào vụ khác","",IF(P194="CN đối thoại","",IF(P194="CN tại tòa","",IF(P194="BA",IF((S194-R194)&gt;7,"Quá hạn"&amp;" "&amp;(S194-R194-7)&amp;" "&amp;"ngày",""),IF((NETWORKDAYS(R194,S194,'Danh sách ngày nghỉ lễ'!$B$5:$B$25)-VLOOKUP(P194,'Thời hạn'!$D$17:$E$20,2,0))&gt;1,"Quá hạn"&amp;" "&amp;(NETWORKDAYS(R194,S194,'Danh sách ngày nghỉ lễ'!$B$5:$B$25)-1-VLOOKUP(P194,'Thời hạn'!$D$17:$E$20,2,0))&amp;" "&amp;"ngày","")))))))</f>
        <v/>
      </c>
      <c r="Z194" s="23">
        <v>1</v>
      </c>
    </row>
    <row r="195" spans="1:26" x14ac:dyDescent="0.3">
      <c r="A195" s="24">
        <v>1</v>
      </c>
      <c r="B195" s="39"/>
      <c r="C195" s="33"/>
      <c r="D195" s="25"/>
      <c r="E195" s="25"/>
      <c r="F195" s="34"/>
      <c r="G195" s="34"/>
      <c r="H195" s="25"/>
      <c r="I195" s="70" t="str">
        <f>IF(C195="Trả lại đơn","",IF(C195="Hòa giải thành","",IF(F195=0,"",EDATE(F195,VLOOKUP(C195,'Thời hạn'!$G$1:$H$12,2,0))+H195)))</f>
        <v/>
      </c>
      <c r="J195" s="59" t="str">
        <f t="shared" ca="1" si="2"/>
        <v/>
      </c>
      <c r="K195" s="25"/>
      <c r="L195" s="129"/>
      <c r="M195" s="130"/>
      <c r="N195" s="35"/>
      <c r="O195" s="34"/>
      <c r="P195" s="25"/>
      <c r="Q195" s="25"/>
      <c r="R195" s="34"/>
      <c r="S195" s="34"/>
      <c r="T195" s="137"/>
      <c r="U195" s="137"/>
      <c r="V195" s="36"/>
      <c r="W195" s="37"/>
      <c r="X195" s="71" t="str">
        <f>IF(C195="Trả lại đơn","",IF((NETWORKDAYS(F195,G195,'Danh sách ngày nghỉ lễ'!$B$5:$B$25)-1-3)&gt;0,"Quá hạn"&amp;" "&amp;(NETWORKDAYS(F195,G195,'Danh sách ngày nghỉ lễ'!$B$5:$B$25)-1-3)&amp;" "&amp;"ngày",""))</f>
        <v/>
      </c>
      <c r="Y195" s="72" t="str">
        <f>IF(S195=0,"",IF(P195="Chuyển","",IF(P195="Nhập vào vụ khác","",IF(P195="CN đối thoại","",IF(P195="CN tại tòa","",IF(P195="BA",IF((S195-R195)&gt;7,"Quá hạn"&amp;" "&amp;(S195-R195-7)&amp;" "&amp;"ngày",""),IF((NETWORKDAYS(R195,S195,'Danh sách ngày nghỉ lễ'!$B$5:$B$25)-VLOOKUP(P195,'Thời hạn'!$D$17:$E$20,2,0))&gt;1,"Quá hạn"&amp;" "&amp;(NETWORKDAYS(R195,S195,'Danh sách ngày nghỉ lễ'!$B$5:$B$25)-1-VLOOKUP(P195,'Thời hạn'!$D$17:$E$20,2,0))&amp;" "&amp;"ngày","")))))))</f>
        <v/>
      </c>
      <c r="Z195" s="23">
        <v>1</v>
      </c>
    </row>
    <row r="196" spans="1:26" x14ac:dyDescent="0.3">
      <c r="A196" s="24">
        <v>1</v>
      </c>
      <c r="B196" s="39"/>
      <c r="C196" s="33"/>
      <c r="D196" s="25"/>
      <c r="E196" s="25"/>
      <c r="F196" s="34"/>
      <c r="G196" s="34"/>
      <c r="H196" s="25"/>
      <c r="I196" s="70" t="str">
        <f>IF(C196="Trả lại đơn","",IF(C196="Hòa giải thành","",IF(F196=0,"",EDATE(F196,VLOOKUP(C196,'Thời hạn'!$G$1:$H$12,2,0))+H196)))</f>
        <v/>
      </c>
      <c r="J196" s="59" t="str">
        <f t="shared" ca="1" si="2"/>
        <v/>
      </c>
      <c r="K196" s="25"/>
      <c r="L196" s="129"/>
      <c r="M196" s="130"/>
      <c r="N196" s="35"/>
      <c r="O196" s="34"/>
      <c r="P196" s="25"/>
      <c r="Q196" s="25"/>
      <c r="R196" s="34"/>
      <c r="S196" s="34"/>
      <c r="T196" s="137"/>
      <c r="U196" s="137"/>
      <c r="V196" s="36"/>
      <c r="W196" s="37"/>
      <c r="X196" s="71" t="str">
        <f>IF(C196="Trả lại đơn","",IF((NETWORKDAYS(F196,G196,'Danh sách ngày nghỉ lễ'!$B$5:$B$25)-1-3)&gt;0,"Quá hạn"&amp;" "&amp;(NETWORKDAYS(F196,G196,'Danh sách ngày nghỉ lễ'!$B$5:$B$25)-1-3)&amp;" "&amp;"ngày",""))</f>
        <v/>
      </c>
      <c r="Y196" s="72" t="str">
        <f>IF(S196=0,"",IF(P196="Chuyển","",IF(P196="Nhập vào vụ khác","",IF(P196="CN đối thoại","",IF(P196="CN tại tòa","",IF(P196="BA",IF((S196-R196)&gt;7,"Quá hạn"&amp;" "&amp;(S196-R196-7)&amp;" "&amp;"ngày",""),IF((NETWORKDAYS(R196,S196,'Danh sách ngày nghỉ lễ'!$B$5:$B$25)-VLOOKUP(P196,'Thời hạn'!$D$17:$E$20,2,0))&gt;1,"Quá hạn"&amp;" "&amp;(NETWORKDAYS(R196,S196,'Danh sách ngày nghỉ lễ'!$B$5:$B$25)-1-VLOOKUP(P196,'Thời hạn'!$D$17:$E$20,2,0))&amp;" "&amp;"ngày","")))))))</f>
        <v/>
      </c>
      <c r="Z196" s="23">
        <v>1</v>
      </c>
    </row>
    <row r="197" spans="1:26" x14ac:dyDescent="0.3">
      <c r="A197" s="24">
        <v>1</v>
      </c>
      <c r="B197" s="39"/>
      <c r="C197" s="33"/>
      <c r="D197" s="25"/>
      <c r="E197" s="25"/>
      <c r="F197" s="34"/>
      <c r="G197" s="34"/>
      <c r="H197" s="25"/>
      <c r="I197" s="70" t="str">
        <f>IF(C197="Trả lại đơn","",IF(C197="Hòa giải thành","",IF(F197=0,"",EDATE(F197,VLOOKUP(C197,'Thời hạn'!$G$1:$H$12,2,0))+H197)))</f>
        <v/>
      </c>
      <c r="J197" s="59" t="str">
        <f t="shared" ca="1" si="2"/>
        <v/>
      </c>
      <c r="K197" s="25"/>
      <c r="L197" s="129"/>
      <c r="M197" s="130"/>
      <c r="N197" s="35"/>
      <c r="O197" s="34"/>
      <c r="P197" s="25"/>
      <c r="Q197" s="25"/>
      <c r="R197" s="34"/>
      <c r="S197" s="34"/>
      <c r="T197" s="137"/>
      <c r="U197" s="137"/>
      <c r="V197" s="36"/>
      <c r="W197" s="37"/>
      <c r="X197" s="71" t="str">
        <f>IF(C197="Trả lại đơn","",IF((NETWORKDAYS(F197,G197,'Danh sách ngày nghỉ lễ'!$B$5:$B$25)-1-3)&gt;0,"Quá hạn"&amp;" "&amp;(NETWORKDAYS(F197,G197,'Danh sách ngày nghỉ lễ'!$B$5:$B$25)-1-3)&amp;" "&amp;"ngày",""))</f>
        <v/>
      </c>
      <c r="Y197" s="72" t="str">
        <f>IF(S197=0,"",IF(P197="Chuyển","",IF(P197="Nhập vào vụ khác","",IF(P197="CN đối thoại","",IF(P197="CN tại tòa","",IF(P197="BA",IF((S197-R197)&gt;7,"Quá hạn"&amp;" "&amp;(S197-R197-7)&amp;" "&amp;"ngày",""),IF((NETWORKDAYS(R197,S197,'Danh sách ngày nghỉ lễ'!$B$5:$B$25)-VLOOKUP(P197,'Thời hạn'!$D$17:$E$20,2,0))&gt;1,"Quá hạn"&amp;" "&amp;(NETWORKDAYS(R197,S197,'Danh sách ngày nghỉ lễ'!$B$5:$B$25)-1-VLOOKUP(P197,'Thời hạn'!$D$17:$E$20,2,0))&amp;" "&amp;"ngày","")))))))</f>
        <v/>
      </c>
      <c r="Z197" s="23">
        <v>1</v>
      </c>
    </row>
    <row r="198" spans="1:26" x14ac:dyDescent="0.3">
      <c r="A198" s="24">
        <v>1</v>
      </c>
      <c r="B198" s="39"/>
      <c r="C198" s="33"/>
      <c r="D198" s="25"/>
      <c r="E198" s="25"/>
      <c r="F198" s="34"/>
      <c r="G198" s="34"/>
      <c r="H198" s="25"/>
      <c r="I198" s="70" t="str">
        <f>IF(C198="Trả lại đơn","",IF(C198="Hòa giải thành","",IF(F198=0,"",EDATE(F198,VLOOKUP(C198,'Thời hạn'!$G$1:$H$12,2,0))+H198)))</f>
        <v/>
      </c>
      <c r="J198" s="59" t="str">
        <f t="shared" ca="1" si="2"/>
        <v/>
      </c>
      <c r="K198" s="25"/>
      <c r="L198" s="129"/>
      <c r="M198" s="130"/>
      <c r="N198" s="35"/>
      <c r="O198" s="34"/>
      <c r="P198" s="25"/>
      <c r="Q198" s="25"/>
      <c r="R198" s="34"/>
      <c r="S198" s="34"/>
      <c r="T198" s="137"/>
      <c r="U198" s="137"/>
      <c r="V198" s="36"/>
      <c r="W198" s="37"/>
      <c r="X198" s="71" t="str">
        <f>IF(C198="Trả lại đơn","",IF((NETWORKDAYS(F198,G198,'Danh sách ngày nghỉ lễ'!$B$5:$B$25)-1-3)&gt;0,"Quá hạn"&amp;" "&amp;(NETWORKDAYS(F198,G198,'Danh sách ngày nghỉ lễ'!$B$5:$B$25)-1-3)&amp;" "&amp;"ngày",""))</f>
        <v/>
      </c>
      <c r="Y198" s="72" t="str">
        <f>IF(S198=0,"",IF(P198="Chuyển","",IF(P198="Nhập vào vụ khác","",IF(P198="CN đối thoại","",IF(P198="CN tại tòa","",IF(P198="BA",IF((S198-R198)&gt;7,"Quá hạn"&amp;" "&amp;(S198-R198-7)&amp;" "&amp;"ngày",""),IF((NETWORKDAYS(R198,S198,'Danh sách ngày nghỉ lễ'!$B$5:$B$25)-VLOOKUP(P198,'Thời hạn'!$D$17:$E$20,2,0))&gt;1,"Quá hạn"&amp;" "&amp;(NETWORKDAYS(R198,S198,'Danh sách ngày nghỉ lễ'!$B$5:$B$25)-1-VLOOKUP(P198,'Thời hạn'!$D$17:$E$20,2,0))&amp;" "&amp;"ngày","")))))))</f>
        <v/>
      </c>
      <c r="Z198" s="23">
        <v>1</v>
      </c>
    </row>
    <row r="199" spans="1:26" x14ac:dyDescent="0.3">
      <c r="A199" s="24">
        <v>1</v>
      </c>
      <c r="B199" s="39"/>
      <c r="C199" s="33"/>
      <c r="D199" s="25"/>
      <c r="E199" s="25"/>
      <c r="F199" s="34"/>
      <c r="G199" s="34"/>
      <c r="H199" s="25"/>
      <c r="I199" s="70" t="str">
        <f>IF(C199="Trả lại đơn","",IF(C199="Hòa giải thành","",IF(F199=0,"",EDATE(F199,VLOOKUP(C199,'Thời hạn'!$G$1:$H$12,2,0))+H199)))</f>
        <v/>
      </c>
      <c r="J199" s="59" t="str">
        <f t="shared" ca="1" si="2"/>
        <v/>
      </c>
      <c r="K199" s="25"/>
      <c r="L199" s="129"/>
      <c r="M199" s="130"/>
      <c r="N199" s="35"/>
      <c r="O199" s="34"/>
      <c r="P199" s="25"/>
      <c r="Q199" s="25"/>
      <c r="R199" s="34"/>
      <c r="S199" s="34"/>
      <c r="T199" s="137"/>
      <c r="U199" s="137"/>
      <c r="V199" s="36"/>
      <c r="W199" s="37"/>
      <c r="X199" s="71" t="str">
        <f>IF(C199="Trả lại đơn","",IF((NETWORKDAYS(F199,G199,'Danh sách ngày nghỉ lễ'!$B$5:$B$25)-1-3)&gt;0,"Quá hạn"&amp;" "&amp;(NETWORKDAYS(F199,G199,'Danh sách ngày nghỉ lễ'!$B$5:$B$25)-1-3)&amp;" "&amp;"ngày",""))</f>
        <v/>
      </c>
      <c r="Y199" s="72" t="str">
        <f>IF(S199=0,"",IF(P199="Chuyển","",IF(P199="Nhập vào vụ khác","",IF(P199="CN đối thoại","",IF(P199="CN tại tòa","",IF(P199="BA",IF((S199-R199)&gt;7,"Quá hạn"&amp;" "&amp;(S199-R199-7)&amp;" "&amp;"ngày",""),IF((NETWORKDAYS(R199,S199,'Danh sách ngày nghỉ lễ'!$B$5:$B$25)-VLOOKUP(P199,'Thời hạn'!$D$17:$E$20,2,0))&gt;1,"Quá hạn"&amp;" "&amp;(NETWORKDAYS(R199,S199,'Danh sách ngày nghỉ lễ'!$B$5:$B$25)-1-VLOOKUP(P199,'Thời hạn'!$D$17:$E$20,2,0))&amp;" "&amp;"ngày","")))))))</f>
        <v/>
      </c>
      <c r="Z199" s="23">
        <v>1</v>
      </c>
    </row>
    <row r="200" spans="1:26" x14ac:dyDescent="0.3">
      <c r="A200" s="24">
        <v>1</v>
      </c>
      <c r="B200" s="39"/>
      <c r="C200" s="33"/>
      <c r="D200" s="25"/>
      <c r="E200" s="25"/>
      <c r="F200" s="34"/>
      <c r="G200" s="34"/>
      <c r="H200" s="25"/>
      <c r="I200" s="70" t="str">
        <f>IF(C200="Trả lại đơn","",IF(C200="Hòa giải thành","",IF(F200=0,"",EDATE(F200,VLOOKUP(C200,'Thời hạn'!$G$1:$H$12,2,0))+H200)))</f>
        <v/>
      </c>
      <c r="J200" s="59" t="str">
        <f t="shared" ca="1" si="2"/>
        <v/>
      </c>
      <c r="K200" s="25"/>
      <c r="L200" s="129"/>
      <c r="M200" s="130"/>
      <c r="N200" s="35"/>
      <c r="O200" s="34"/>
      <c r="P200" s="25"/>
      <c r="Q200" s="25"/>
      <c r="R200" s="34"/>
      <c r="S200" s="34"/>
      <c r="T200" s="137"/>
      <c r="U200" s="137"/>
      <c r="V200" s="36"/>
      <c r="W200" s="37"/>
      <c r="X200" s="71" t="str">
        <f>IF(C200="Trả lại đơn","",IF((NETWORKDAYS(F200,G200,'Danh sách ngày nghỉ lễ'!$B$5:$B$25)-1-3)&gt;0,"Quá hạn"&amp;" "&amp;(NETWORKDAYS(F200,G200,'Danh sách ngày nghỉ lễ'!$B$5:$B$25)-1-3)&amp;" "&amp;"ngày",""))</f>
        <v/>
      </c>
      <c r="Y200" s="72" t="str">
        <f>IF(S200=0,"",IF(P200="Chuyển","",IF(P200="Nhập vào vụ khác","",IF(P200="CN đối thoại","",IF(P200="CN tại tòa","",IF(P200="BA",IF((S200-R200)&gt;7,"Quá hạn"&amp;" "&amp;(S200-R200-7)&amp;" "&amp;"ngày",""),IF((NETWORKDAYS(R200,S200,'Danh sách ngày nghỉ lễ'!$B$5:$B$25)-VLOOKUP(P200,'Thời hạn'!$D$17:$E$20,2,0))&gt;1,"Quá hạn"&amp;" "&amp;(NETWORKDAYS(R200,S200,'Danh sách ngày nghỉ lễ'!$B$5:$B$25)-1-VLOOKUP(P200,'Thời hạn'!$D$17:$E$20,2,0))&amp;" "&amp;"ngày","")))))))</f>
        <v/>
      </c>
      <c r="Z200" s="23">
        <v>1</v>
      </c>
    </row>
    <row r="201" spans="1:26" x14ac:dyDescent="0.3">
      <c r="A201" s="24">
        <v>1</v>
      </c>
      <c r="B201" s="39"/>
      <c r="C201" s="33"/>
      <c r="D201" s="25"/>
      <c r="E201" s="25"/>
      <c r="F201" s="34"/>
      <c r="G201" s="34"/>
      <c r="H201" s="25"/>
      <c r="I201" s="70" t="str">
        <f>IF(C201="Trả lại đơn","",IF(C201="Hòa giải thành","",IF(F201=0,"",EDATE(F201,VLOOKUP(C201,'Thời hạn'!$G$1:$H$12,2,0))+H201)))</f>
        <v/>
      </c>
      <c r="J201" s="59" t="str">
        <f t="shared" ca="1" si="2"/>
        <v/>
      </c>
      <c r="K201" s="25"/>
      <c r="L201" s="129"/>
      <c r="M201" s="130"/>
      <c r="N201" s="35"/>
      <c r="O201" s="34"/>
      <c r="P201" s="25"/>
      <c r="Q201" s="25"/>
      <c r="R201" s="34"/>
      <c r="S201" s="34"/>
      <c r="T201" s="137"/>
      <c r="U201" s="137"/>
      <c r="V201" s="36"/>
      <c r="W201" s="37"/>
      <c r="X201" s="71" t="str">
        <f>IF(C201="Trả lại đơn","",IF((NETWORKDAYS(F201,G201,'Danh sách ngày nghỉ lễ'!$B$5:$B$25)-1-3)&gt;0,"Quá hạn"&amp;" "&amp;(NETWORKDAYS(F201,G201,'Danh sách ngày nghỉ lễ'!$B$5:$B$25)-1-3)&amp;" "&amp;"ngày",""))</f>
        <v/>
      </c>
      <c r="Y201" s="72" t="str">
        <f>IF(S201=0,"",IF(P201="Chuyển","",IF(P201="Nhập vào vụ khác","",IF(P201="CN đối thoại","",IF(P201="CN tại tòa","",IF(P201="BA",IF((S201-R201)&gt;7,"Quá hạn"&amp;" "&amp;(S201-R201-7)&amp;" "&amp;"ngày",""),IF((NETWORKDAYS(R201,S201,'Danh sách ngày nghỉ lễ'!$B$5:$B$25)-VLOOKUP(P201,'Thời hạn'!$D$17:$E$20,2,0))&gt;1,"Quá hạn"&amp;" "&amp;(NETWORKDAYS(R201,S201,'Danh sách ngày nghỉ lễ'!$B$5:$B$25)-1-VLOOKUP(P201,'Thời hạn'!$D$17:$E$20,2,0))&amp;" "&amp;"ngày","")))))))</f>
        <v/>
      </c>
      <c r="Z201" s="23">
        <v>1</v>
      </c>
    </row>
    <row r="202" spans="1:26" x14ac:dyDescent="0.3">
      <c r="A202" s="24">
        <v>1</v>
      </c>
      <c r="B202" s="39"/>
      <c r="C202" s="33"/>
      <c r="D202" s="25"/>
      <c r="E202" s="25"/>
      <c r="F202" s="34"/>
      <c r="G202" s="34"/>
      <c r="H202" s="25"/>
      <c r="I202" s="70" t="str">
        <f>IF(C202="Trả lại đơn","",IF(C202="Hòa giải thành","",IF(F202=0,"",EDATE(F202,VLOOKUP(C202,'Thời hạn'!$G$1:$H$12,2,0))+H202)))</f>
        <v/>
      </c>
      <c r="J202" s="59" t="str">
        <f t="shared" ca="1" si="2"/>
        <v/>
      </c>
      <c r="K202" s="25"/>
      <c r="L202" s="129"/>
      <c r="M202" s="130"/>
      <c r="N202" s="35"/>
      <c r="O202" s="34"/>
      <c r="P202" s="25"/>
      <c r="Q202" s="25"/>
      <c r="R202" s="34"/>
      <c r="S202" s="34"/>
      <c r="T202" s="137"/>
      <c r="U202" s="137"/>
      <c r="V202" s="36"/>
      <c r="W202" s="37"/>
      <c r="X202" s="71" t="str">
        <f>IF(C202="Trả lại đơn","",IF((NETWORKDAYS(F202,G202,'Danh sách ngày nghỉ lễ'!$B$5:$B$25)-1-3)&gt;0,"Quá hạn"&amp;" "&amp;(NETWORKDAYS(F202,G202,'Danh sách ngày nghỉ lễ'!$B$5:$B$25)-1-3)&amp;" "&amp;"ngày",""))</f>
        <v/>
      </c>
      <c r="Y202" s="72" t="str">
        <f>IF(S202=0,"",IF(P202="Chuyển","",IF(P202="Nhập vào vụ khác","",IF(P202="CN đối thoại","",IF(P202="CN tại tòa","",IF(P202="BA",IF((S202-R202)&gt;7,"Quá hạn"&amp;" "&amp;(S202-R202-7)&amp;" "&amp;"ngày",""),IF((NETWORKDAYS(R202,S202,'Danh sách ngày nghỉ lễ'!$B$5:$B$25)-VLOOKUP(P202,'Thời hạn'!$D$17:$E$20,2,0))&gt;1,"Quá hạn"&amp;" "&amp;(NETWORKDAYS(R202,S202,'Danh sách ngày nghỉ lễ'!$B$5:$B$25)-1-VLOOKUP(P202,'Thời hạn'!$D$17:$E$20,2,0))&amp;" "&amp;"ngày","")))))))</f>
        <v/>
      </c>
      <c r="Z202" s="23">
        <v>1</v>
      </c>
    </row>
    <row r="203" spans="1:26" x14ac:dyDescent="0.3">
      <c r="A203" s="24">
        <v>1</v>
      </c>
      <c r="B203" s="39"/>
      <c r="C203" s="33"/>
      <c r="D203" s="25"/>
      <c r="E203" s="25"/>
      <c r="F203" s="34"/>
      <c r="G203" s="34"/>
      <c r="H203" s="25"/>
      <c r="I203" s="70" t="str">
        <f>IF(C203="Trả lại đơn","",IF(C203="Hòa giải thành","",IF(F203=0,"",EDATE(F203,VLOOKUP(C203,'Thời hạn'!$G$1:$H$12,2,0))+H203)))</f>
        <v/>
      </c>
      <c r="J203" s="59" t="str">
        <f t="shared" ref="J203:J213" ca="1" si="3">IF(C203="Trả lại đơn","",IF(C203="Hòa giải thành","",IF(N203=0,IF(P203=0,IF(F203=0,"",I203-TODAY()+1),""),"")))</f>
        <v/>
      </c>
      <c r="K203" s="25"/>
      <c r="L203" s="129"/>
      <c r="M203" s="130"/>
      <c r="N203" s="35"/>
      <c r="O203" s="34"/>
      <c r="P203" s="25"/>
      <c r="Q203" s="25"/>
      <c r="R203" s="34"/>
      <c r="S203" s="34"/>
      <c r="T203" s="137"/>
      <c r="U203" s="137"/>
      <c r="V203" s="36"/>
      <c r="W203" s="37"/>
      <c r="X203" s="71" t="str">
        <f>IF(C203="Trả lại đơn","",IF((NETWORKDAYS(F203,G203,'Danh sách ngày nghỉ lễ'!$B$5:$B$25)-1-3)&gt;0,"Quá hạn"&amp;" "&amp;(NETWORKDAYS(F203,G203,'Danh sách ngày nghỉ lễ'!$B$5:$B$25)-1-3)&amp;" "&amp;"ngày",""))</f>
        <v/>
      </c>
      <c r="Y203" s="72" t="str">
        <f>IF(S203=0,"",IF(P203="Chuyển","",IF(P203="Nhập vào vụ khác","",IF(P203="CN đối thoại","",IF(P203="CN tại tòa","",IF(P203="BA",IF((S203-R203)&gt;7,"Quá hạn"&amp;" "&amp;(S203-R203-7)&amp;" "&amp;"ngày",""),IF((NETWORKDAYS(R203,S203,'Danh sách ngày nghỉ lễ'!$B$5:$B$25)-VLOOKUP(P203,'Thời hạn'!$D$17:$E$20,2,0))&gt;1,"Quá hạn"&amp;" "&amp;(NETWORKDAYS(R203,S203,'Danh sách ngày nghỉ lễ'!$B$5:$B$25)-1-VLOOKUP(P203,'Thời hạn'!$D$17:$E$20,2,0))&amp;" "&amp;"ngày","")))))))</f>
        <v/>
      </c>
      <c r="Z203" s="23">
        <v>1</v>
      </c>
    </row>
    <row r="204" spans="1:26" x14ac:dyDescent="0.3">
      <c r="A204" s="24">
        <v>1</v>
      </c>
      <c r="B204" s="39"/>
      <c r="C204" s="33"/>
      <c r="D204" s="25"/>
      <c r="E204" s="25"/>
      <c r="F204" s="34"/>
      <c r="G204" s="34"/>
      <c r="H204" s="25"/>
      <c r="I204" s="70" t="str">
        <f>IF(C204="Trả lại đơn","",IF(C204="Hòa giải thành","",IF(F204=0,"",EDATE(F204,VLOOKUP(C204,'Thời hạn'!$G$1:$H$12,2,0))+H204)))</f>
        <v/>
      </c>
      <c r="J204" s="59" t="str">
        <f t="shared" ca="1" si="3"/>
        <v/>
      </c>
      <c r="K204" s="25"/>
      <c r="L204" s="129"/>
      <c r="M204" s="130"/>
      <c r="N204" s="35"/>
      <c r="O204" s="34"/>
      <c r="P204" s="25"/>
      <c r="Q204" s="25"/>
      <c r="R204" s="34"/>
      <c r="S204" s="34"/>
      <c r="T204" s="137"/>
      <c r="U204" s="137"/>
      <c r="V204" s="36"/>
      <c r="W204" s="37"/>
      <c r="X204" s="71" t="str">
        <f>IF(C204="Trả lại đơn","",IF((NETWORKDAYS(F204,G204,'Danh sách ngày nghỉ lễ'!$B$5:$B$25)-1-3)&gt;0,"Quá hạn"&amp;" "&amp;(NETWORKDAYS(F204,G204,'Danh sách ngày nghỉ lễ'!$B$5:$B$25)-1-3)&amp;" "&amp;"ngày",""))</f>
        <v/>
      </c>
      <c r="Y204" s="72" t="str">
        <f>IF(S204=0,"",IF(P204="Chuyển","",IF(P204="Nhập vào vụ khác","",IF(P204="CN đối thoại","",IF(P204="CN tại tòa","",IF(P204="BA",IF((S204-R204)&gt;7,"Quá hạn"&amp;" "&amp;(S204-R204-7)&amp;" "&amp;"ngày",""),IF((NETWORKDAYS(R204,S204,'Danh sách ngày nghỉ lễ'!$B$5:$B$25)-VLOOKUP(P204,'Thời hạn'!$D$17:$E$20,2,0))&gt;1,"Quá hạn"&amp;" "&amp;(NETWORKDAYS(R204,S204,'Danh sách ngày nghỉ lễ'!$B$5:$B$25)-1-VLOOKUP(P204,'Thời hạn'!$D$17:$E$20,2,0))&amp;" "&amp;"ngày","")))))))</f>
        <v/>
      </c>
      <c r="Z204" s="23">
        <v>1</v>
      </c>
    </row>
    <row r="205" spans="1:26" x14ac:dyDescent="0.3">
      <c r="A205" s="24">
        <v>1</v>
      </c>
      <c r="B205" s="39"/>
      <c r="C205" s="33"/>
      <c r="D205" s="25"/>
      <c r="E205" s="25"/>
      <c r="F205" s="34"/>
      <c r="G205" s="34"/>
      <c r="H205" s="25"/>
      <c r="I205" s="70" t="str">
        <f>IF(C205="Trả lại đơn","",IF(C205="Hòa giải thành","",IF(F205=0,"",EDATE(F205,VLOOKUP(C205,'Thời hạn'!$G$1:$H$12,2,0))+H205)))</f>
        <v/>
      </c>
      <c r="J205" s="59" t="str">
        <f t="shared" ca="1" si="3"/>
        <v/>
      </c>
      <c r="K205" s="25"/>
      <c r="L205" s="129"/>
      <c r="M205" s="130"/>
      <c r="N205" s="35"/>
      <c r="O205" s="34"/>
      <c r="P205" s="25"/>
      <c r="Q205" s="25"/>
      <c r="R205" s="34"/>
      <c r="S205" s="34"/>
      <c r="T205" s="137"/>
      <c r="U205" s="137"/>
      <c r="V205" s="36"/>
      <c r="W205" s="37"/>
      <c r="X205" s="71" t="str">
        <f>IF(C205="Trả lại đơn","",IF((NETWORKDAYS(F205,G205,'Danh sách ngày nghỉ lễ'!$B$5:$B$25)-1-3)&gt;0,"Quá hạn"&amp;" "&amp;(NETWORKDAYS(F205,G205,'Danh sách ngày nghỉ lễ'!$B$5:$B$25)-1-3)&amp;" "&amp;"ngày",""))</f>
        <v/>
      </c>
      <c r="Y205" s="72" t="str">
        <f>IF(S205=0,"",IF(P205="Chuyển","",IF(P205="Nhập vào vụ khác","",IF(P205="CN đối thoại","",IF(P205="CN tại tòa","",IF(P205="BA",IF((S205-R205)&gt;7,"Quá hạn"&amp;" "&amp;(S205-R205-7)&amp;" "&amp;"ngày",""),IF((NETWORKDAYS(R205,S205,'Danh sách ngày nghỉ lễ'!$B$5:$B$25)-VLOOKUP(P205,'Thời hạn'!$D$17:$E$20,2,0))&gt;1,"Quá hạn"&amp;" "&amp;(NETWORKDAYS(R205,S205,'Danh sách ngày nghỉ lễ'!$B$5:$B$25)-1-VLOOKUP(P205,'Thời hạn'!$D$17:$E$20,2,0))&amp;" "&amp;"ngày","")))))))</f>
        <v/>
      </c>
      <c r="Z205" s="23">
        <v>1</v>
      </c>
    </row>
    <row r="206" spans="1:26" x14ac:dyDescent="0.3">
      <c r="A206" s="24">
        <v>1</v>
      </c>
      <c r="B206" s="39"/>
      <c r="C206" s="33"/>
      <c r="D206" s="25"/>
      <c r="E206" s="25"/>
      <c r="F206" s="34"/>
      <c r="G206" s="34"/>
      <c r="H206" s="25"/>
      <c r="I206" s="70" t="str">
        <f>IF(C206="Trả lại đơn","",IF(C206="Hòa giải thành","",IF(F206=0,"",EDATE(F206,VLOOKUP(C206,'Thời hạn'!$G$1:$H$12,2,0))+H206)))</f>
        <v/>
      </c>
      <c r="J206" s="59" t="str">
        <f t="shared" ca="1" si="3"/>
        <v/>
      </c>
      <c r="K206" s="25"/>
      <c r="L206" s="129"/>
      <c r="M206" s="130"/>
      <c r="N206" s="35"/>
      <c r="O206" s="34"/>
      <c r="P206" s="25"/>
      <c r="Q206" s="25"/>
      <c r="R206" s="34"/>
      <c r="S206" s="34"/>
      <c r="T206" s="137"/>
      <c r="U206" s="137"/>
      <c r="V206" s="36"/>
      <c r="W206" s="37"/>
      <c r="X206" s="71" t="str">
        <f>IF(C206="Trả lại đơn","",IF((NETWORKDAYS(F206,G206,'Danh sách ngày nghỉ lễ'!$B$5:$B$25)-1-3)&gt;0,"Quá hạn"&amp;" "&amp;(NETWORKDAYS(F206,G206,'Danh sách ngày nghỉ lễ'!$B$5:$B$25)-1-3)&amp;" "&amp;"ngày",""))</f>
        <v/>
      </c>
      <c r="Y206" s="72" t="str">
        <f>IF(S206=0,"",IF(P206="Chuyển","",IF(P206="Nhập vào vụ khác","",IF(P206="CN đối thoại","",IF(P206="CN tại tòa","",IF(P206="BA",IF((S206-R206)&gt;7,"Quá hạn"&amp;" "&amp;(S206-R206-7)&amp;" "&amp;"ngày",""),IF((NETWORKDAYS(R206,S206,'Danh sách ngày nghỉ lễ'!$B$5:$B$25)-VLOOKUP(P206,'Thời hạn'!$D$17:$E$20,2,0))&gt;1,"Quá hạn"&amp;" "&amp;(NETWORKDAYS(R206,S206,'Danh sách ngày nghỉ lễ'!$B$5:$B$25)-1-VLOOKUP(P206,'Thời hạn'!$D$17:$E$20,2,0))&amp;" "&amp;"ngày","")))))))</f>
        <v/>
      </c>
      <c r="Z206" s="23">
        <v>1</v>
      </c>
    </row>
    <row r="207" spans="1:26" x14ac:dyDescent="0.3">
      <c r="A207" s="24">
        <v>1</v>
      </c>
      <c r="B207" s="39"/>
      <c r="C207" s="33"/>
      <c r="D207" s="25"/>
      <c r="E207" s="25"/>
      <c r="F207" s="34"/>
      <c r="G207" s="34"/>
      <c r="H207" s="25"/>
      <c r="I207" s="70" t="str">
        <f>IF(C207="Trả lại đơn","",IF(C207="Hòa giải thành","",IF(F207=0,"",EDATE(F207,VLOOKUP(C207,'Thời hạn'!$G$1:$H$12,2,0))+H207)))</f>
        <v/>
      </c>
      <c r="J207" s="59" t="str">
        <f t="shared" ca="1" si="3"/>
        <v/>
      </c>
      <c r="K207" s="25"/>
      <c r="L207" s="129"/>
      <c r="M207" s="130"/>
      <c r="N207" s="35"/>
      <c r="O207" s="34"/>
      <c r="P207" s="25"/>
      <c r="Q207" s="25"/>
      <c r="R207" s="34"/>
      <c r="S207" s="34"/>
      <c r="T207" s="137"/>
      <c r="U207" s="137"/>
      <c r="V207" s="36"/>
      <c r="W207" s="37"/>
      <c r="X207" s="71" t="str">
        <f>IF(C207="Trả lại đơn","",IF((NETWORKDAYS(F207,G207,'Danh sách ngày nghỉ lễ'!$B$5:$B$25)-1-3)&gt;0,"Quá hạn"&amp;" "&amp;(NETWORKDAYS(F207,G207,'Danh sách ngày nghỉ lễ'!$B$5:$B$25)-1-3)&amp;" "&amp;"ngày",""))</f>
        <v/>
      </c>
      <c r="Y207" s="72" t="str">
        <f>IF(S207=0,"",IF(P207="Chuyển","",IF(P207="Nhập vào vụ khác","",IF(P207="CN đối thoại","",IF(P207="CN tại tòa","",IF(P207="BA",IF((S207-R207)&gt;7,"Quá hạn"&amp;" "&amp;(S207-R207-7)&amp;" "&amp;"ngày",""),IF((NETWORKDAYS(R207,S207,'Danh sách ngày nghỉ lễ'!$B$5:$B$25)-VLOOKUP(P207,'Thời hạn'!$D$17:$E$20,2,0))&gt;1,"Quá hạn"&amp;" "&amp;(NETWORKDAYS(R207,S207,'Danh sách ngày nghỉ lễ'!$B$5:$B$25)-1-VLOOKUP(P207,'Thời hạn'!$D$17:$E$20,2,0))&amp;" "&amp;"ngày","")))))))</f>
        <v/>
      </c>
      <c r="Z207" s="23">
        <v>1</v>
      </c>
    </row>
    <row r="208" spans="1:26" x14ac:dyDescent="0.3">
      <c r="A208" s="24">
        <v>1</v>
      </c>
      <c r="B208" s="39"/>
      <c r="C208" s="33"/>
      <c r="D208" s="25"/>
      <c r="E208" s="25"/>
      <c r="F208" s="34"/>
      <c r="G208" s="34"/>
      <c r="H208" s="25"/>
      <c r="I208" s="70" t="str">
        <f>IF(C208="Trả lại đơn","",IF(C208="Hòa giải thành","",IF(F208=0,"",EDATE(F208,VLOOKUP(C208,'Thời hạn'!$G$1:$H$12,2,0))+H208)))</f>
        <v/>
      </c>
      <c r="J208" s="59" t="str">
        <f t="shared" ca="1" si="3"/>
        <v/>
      </c>
      <c r="K208" s="25"/>
      <c r="L208" s="129"/>
      <c r="M208" s="130"/>
      <c r="N208" s="35"/>
      <c r="O208" s="34"/>
      <c r="P208" s="25"/>
      <c r="Q208" s="25"/>
      <c r="R208" s="34"/>
      <c r="S208" s="34"/>
      <c r="T208" s="137"/>
      <c r="U208" s="137"/>
      <c r="V208" s="36"/>
      <c r="W208" s="37"/>
      <c r="X208" s="71" t="str">
        <f>IF(C208="Trả lại đơn","",IF((NETWORKDAYS(F208,G208,'Danh sách ngày nghỉ lễ'!$B$5:$B$25)-1-3)&gt;0,"Quá hạn"&amp;" "&amp;(NETWORKDAYS(F208,G208,'Danh sách ngày nghỉ lễ'!$B$5:$B$25)-1-3)&amp;" "&amp;"ngày",""))</f>
        <v/>
      </c>
      <c r="Y208" s="72" t="str">
        <f>IF(S208=0,"",IF(P208="Chuyển","",IF(P208="Nhập vào vụ khác","",IF(P208="CN đối thoại","",IF(P208="CN tại tòa","",IF(P208="BA",IF((S208-R208)&gt;7,"Quá hạn"&amp;" "&amp;(S208-R208-7)&amp;" "&amp;"ngày",""),IF((NETWORKDAYS(R208,S208,'Danh sách ngày nghỉ lễ'!$B$5:$B$25)-VLOOKUP(P208,'Thời hạn'!$D$17:$E$20,2,0))&gt;1,"Quá hạn"&amp;" "&amp;(NETWORKDAYS(R208,S208,'Danh sách ngày nghỉ lễ'!$B$5:$B$25)-1-VLOOKUP(P208,'Thời hạn'!$D$17:$E$20,2,0))&amp;" "&amp;"ngày","")))))))</f>
        <v/>
      </c>
      <c r="Z208" s="23">
        <v>1</v>
      </c>
    </row>
    <row r="209" spans="1:26" x14ac:dyDescent="0.3">
      <c r="A209" s="24">
        <v>1</v>
      </c>
      <c r="B209" s="39"/>
      <c r="C209" s="33"/>
      <c r="D209" s="25"/>
      <c r="E209" s="25"/>
      <c r="F209" s="34"/>
      <c r="G209" s="34"/>
      <c r="H209" s="25"/>
      <c r="I209" s="70" t="str">
        <f>IF(C209="Trả lại đơn","",IF(C209="Hòa giải thành","",IF(F209=0,"",EDATE(F209,VLOOKUP(C209,'Thời hạn'!$G$1:$H$12,2,0))+H209)))</f>
        <v/>
      </c>
      <c r="J209" s="59" t="str">
        <f t="shared" ca="1" si="3"/>
        <v/>
      </c>
      <c r="K209" s="25"/>
      <c r="L209" s="129"/>
      <c r="M209" s="130"/>
      <c r="N209" s="35"/>
      <c r="O209" s="34"/>
      <c r="P209" s="25"/>
      <c r="Q209" s="25"/>
      <c r="R209" s="34"/>
      <c r="S209" s="34"/>
      <c r="T209" s="137"/>
      <c r="U209" s="137"/>
      <c r="V209" s="36"/>
      <c r="W209" s="37"/>
      <c r="X209" s="71" t="str">
        <f>IF(C209="Trả lại đơn","",IF((NETWORKDAYS(F209,G209,'Danh sách ngày nghỉ lễ'!$B$5:$B$25)-1-3)&gt;0,"Quá hạn"&amp;" "&amp;(NETWORKDAYS(F209,G209,'Danh sách ngày nghỉ lễ'!$B$5:$B$25)-1-3)&amp;" "&amp;"ngày",""))</f>
        <v/>
      </c>
      <c r="Y209" s="72" t="str">
        <f>IF(S209=0,"",IF(P209="Chuyển","",IF(P209="Nhập vào vụ khác","",IF(P209="CN đối thoại","",IF(P209="CN tại tòa","",IF(P209="BA",IF((S209-R209)&gt;7,"Quá hạn"&amp;" "&amp;(S209-R209-7)&amp;" "&amp;"ngày",""),IF((NETWORKDAYS(R209,S209,'Danh sách ngày nghỉ lễ'!$B$5:$B$25)-VLOOKUP(P209,'Thời hạn'!$D$17:$E$20,2,0))&gt;1,"Quá hạn"&amp;" "&amp;(NETWORKDAYS(R209,S209,'Danh sách ngày nghỉ lễ'!$B$5:$B$25)-1-VLOOKUP(P209,'Thời hạn'!$D$17:$E$20,2,0))&amp;" "&amp;"ngày","")))))))</f>
        <v/>
      </c>
      <c r="Z209" s="23">
        <v>1</v>
      </c>
    </row>
    <row r="210" spans="1:26" x14ac:dyDescent="0.3">
      <c r="A210" s="24">
        <v>1</v>
      </c>
      <c r="B210" s="39"/>
      <c r="C210" s="33"/>
      <c r="D210" s="25"/>
      <c r="E210" s="25"/>
      <c r="F210" s="34"/>
      <c r="G210" s="34"/>
      <c r="H210" s="25"/>
      <c r="I210" s="70" t="str">
        <f>IF(C210="Trả lại đơn","",IF(C210="Hòa giải thành","",IF(F210=0,"",EDATE(F210,VLOOKUP(C210,'Thời hạn'!$G$1:$H$12,2,0))+H210)))</f>
        <v/>
      </c>
      <c r="J210" s="59" t="str">
        <f t="shared" ca="1" si="3"/>
        <v/>
      </c>
      <c r="K210" s="25"/>
      <c r="L210" s="129"/>
      <c r="M210" s="130"/>
      <c r="N210" s="35"/>
      <c r="O210" s="34"/>
      <c r="P210" s="25"/>
      <c r="Q210" s="25"/>
      <c r="R210" s="34"/>
      <c r="S210" s="34"/>
      <c r="T210" s="137"/>
      <c r="U210" s="137"/>
      <c r="V210" s="36"/>
      <c r="W210" s="37"/>
      <c r="X210" s="71" t="str">
        <f>IF(C210="Trả lại đơn","",IF((NETWORKDAYS(F210,G210,'Danh sách ngày nghỉ lễ'!$B$5:$B$25)-1-3)&gt;0,"Quá hạn"&amp;" "&amp;(NETWORKDAYS(F210,G210,'Danh sách ngày nghỉ lễ'!$B$5:$B$25)-1-3)&amp;" "&amp;"ngày",""))</f>
        <v/>
      </c>
      <c r="Y210" s="72" t="str">
        <f>IF(S210=0,"",IF(P210="Chuyển","",IF(P210="Nhập vào vụ khác","",IF(P210="CN đối thoại","",IF(P210="CN tại tòa","",IF(P210="BA",IF((S210-R210)&gt;7,"Quá hạn"&amp;" "&amp;(S210-R210-7)&amp;" "&amp;"ngày",""),IF((NETWORKDAYS(R210,S210,'Danh sách ngày nghỉ lễ'!$B$5:$B$25)-VLOOKUP(P210,'Thời hạn'!$D$17:$E$20,2,0))&gt;1,"Quá hạn"&amp;" "&amp;(NETWORKDAYS(R210,S210,'Danh sách ngày nghỉ lễ'!$B$5:$B$25)-1-VLOOKUP(P210,'Thời hạn'!$D$17:$E$20,2,0))&amp;" "&amp;"ngày","")))))))</f>
        <v/>
      </c>
      <c r="Z210" s="23">
        <v>1</v>
      </c>
    </row>
    <row r="211" spans="1:26" x14ac:dyDescent="0.3">
      <c r="A211" s="24">
        <v>1</v>
      </c>
      <c r="B211" s="39"/>
      <c r="C211" s="33"/>
      <c r="D211" s="25"/>
      <c r="E211" s="25"/>
      <c r="F211" s="34"/>
      <c r="G211" s="34"/>
      <c r="H211" s="25"/>
      <c r="I211" s="70" t="str">
        <f>IF(C211="Trả lại đơn","",IF(C211="Hòa giải thành","",IF(F211=0,"",EDATE(F211,VLOOKUP(C211,'Thời hạn'!$G$1:$H$12,2,0))+H211)))</f>
        <v/>
      </c>
      <c r="J211" s="59" t="str">
        <f t="shared" ca="1" si="3"/>
        <v/>
      </c>
      <c r="K211" s="25"/>
      <c r="L211" s="129"/>
      <c r="M211" s="130"/>
      <c r="N211" s="35"/>
      <c r="O211" s="34"/>
      <c r="P211" s="25"/>
      <c r="Q211" s="25"/>
      <c r="R211" s="34"/>
      <c r="S211" s="34"/>
      <c r="T211" s="137"/>
      <c r="U211" s="137"/>
      <c r="V211" s="36"/>
      <c r="W211" s="37"/>
      <c r="X211" s="71" t="str">
        <f>IF(C211="Trả lại đơn","",IF((NETWORKDAYS(F211,G211,'Danh sách ngày nghỉ lễ'!$B$5:$B$25)-1-3)&gt;0,"Quá hạn"&amp;" "&amp;(NETWORKDAYS(F211,G211,'Danh sách ngày nghỉ lễ'!$B$5:$B$25)-1-3)&amp;" "&amp;"ngày",""))</f>
        <v/>
      </c>
      <c r="Y211" s="72" t="str">
        <f>IF(S211=0,"",IF(P211="Chuyển","",IF(P211="Nhập vào vụ khác","",IF(P211="CN đối thoại","",IF(P211="CN tại tòa","",IF(P211="BA",IF((S211-R211)&gt;7,"Quá hạn"&amp;" "&amp;(S211-R211-7)&amp;" "&amp;"ngày",""),IF((NETWORKDAYS(R211,S211,'Danh sách ngày nghỉ lễ'!$B$5:$B$25)-VLOOKUP(P211,'Thời hạn'!$D$17:$E$20,2,0))&gt;1,"Quá hạn"&amp;" "&amp;(NETWORKDAYS(R211,S211,'Danh sách ngày nghỉ lễ'!$B$5:$B$25)-1-VLOOKUP(P211,'Thời hạn'!$D$17:$E$20,2,0))&amp;" "&amp;"ngày","")))))))</f>
        <v/>
      </c>
      <c r="Z211" s="23">
        <v>1</v>
      </c>
    </row>
    <row r="212" spans="1:26" x14ac:dyDescent="0.3">
      <c r="A212" s="24">
        <v>1</v>
      </c>
      <c r="B212" s="39"/>
      <c r="C212" s="33"/>
      <c r="D212" s="25"/>
      <c r="E212" s="25"/>
      <c r="F212" s="34"/>
      <c r="G212" s="34"/>
      <c r="H212" s="25"/>
      <c r="I212" s="70" t="str">
        <f>IF(C212="Trả lại đơn","",IF(C212="Hòa giải thành","",IF(F212=0,"",EDATE(F212,VLOOKUP(C212,'Thời hạn'!$G$1:$H$12,2,0))+H212)))</f>
        <v/>
      </c>
      <c r="J212" s="59" t="str">
        <f t="shared" ca="1" si="3"/>
        <v/>
      </c>
      <c r="K212" s="25"/>
      <c r="L212" s="129"/>
      <c r="M212" s="130"/>
      <c r="N212" s="35"/>
      <c r="O212" s="34"/>
      <c r="P212" s="25"/>
      <c r="Q212" s="25"/>
      <c r="R212" s="34"/>
      <c r="S212" s="34"/>
      <c r="T212" s="137"/>
      <c r="U212" s="137"/>
      <c r="V212" s="36"/>
      <c r="W212" s="37"/>
      <c r="X212" s="71" t="str">
        <f>IF(C212="Trả lại đơn","",IF((NETWORKDAYS(F212,G212,'Danh sách ngày nghỉ lễ'!$B$5:$B$25)-1-3)&gt;0,"Quá hạn"&amp;" "&amp;(NETWORKDAYS(F212,G212,'Danh sách ngày nghỉ lễ'!$B$5:$B$25)-1-3)&amp;" "&amp;"ngày",""))</f>
        <v/>
      </c>
      <c r="Y212" s="72" t="str">
        <f>IF(S212=0,"",IF(P212="Chuyển","",IF(P212="Nhập vào vụ khác","",IF(P212="CN đối thoại","",IF(P212="CN tại tòa","",IF(P212="BA",IF((S212-R212)&gt;7,"Quá hạn"&amp;" "&amp;(S212-R212-7)&amp;" "&amp;"ngày",""),IF((NETWORKDAYS(R212,S212,'Danh sách ngày nghỉ lễ'!$B$5:$B$25)-VLOOKUP(P212,'Thời hạn'!$D$17:$E$20,2,0))&gt;1,"Quá hạn"&amp;" "&amp;(NETWORKDAYS(R212,S212,'Danh sách ngày nghỉ lễ'!$B$5:$B$25)-1-VLOOKUP(P212,'Thời hạn'!$D$17:$E$20,2,0))&amp;" "&amp;"ngày","")))))))</f>
        <v/>
      </c>
      <c r="Z212" s="23">
        <v>1</v>
      </c>
    </row>
    <row r="213" spans="1:26" x14ac:dyDescent="0.3">
      <c r="A213" s="24">
        <v>1</v>
      </c>
      <c r="B213" s="39"/>
      <c r="C213" s="33"/>
      <c r="D213" s="25"/>
      <c r="E213" s="25"/>
      <c r="F213" s="34"/>
      <c r="G213" s="34"/>
      <c r="H213" s="25"/>
      <c r="I213" s="70" t="str">
        <f>IF(C213="Trả lại đơn","",IF(C213="Hòa giải thành","",IF(F213=0,"",EDATE(F213,VLOOKUP(C213,'Thời hạn'!$G$1:$H$12,2,0))+H213)))</f>
        <v/>
      </c>
      <c r="J213" s="59" t="str">
        <f t="shared" ca="1" si="3"/>
        <v/>
      </c>
      <c r="K213" s="25"/>
      <c r="L213" s="129"/>
      <c r="M213" s="130"/>
      <c r="N213" s="35"/>
      <c r="O213" s="34"/>
      <c r="P213" s="25"/>
      <c r="Q213" s="25"/>
      <c r="R213" s="34"/>
      <c r="S213" s="34"/>
      <c r="T213" s="137"/>
      <c r="U213" s="137"/>
      <c r="V213" s="36"/>
      <c r="W213" s="37"/>
      <c r="X213" s="71" t="str">
        <f>IF(C213="Trả lại đơn","",IF((NETWORKDAYS(F213,G213,'Danh sách ngày nghỉ lễ'!$B$5:$B$25)-1-3)&gt;0,"Quá hạn"&amp;" "&amp;(NETWORKDAYS(F213,G213,'Danh sách ngày nghỉ lễ'!$B$5:$B$25)-1-3)&amp;" "&amp;"ngày",""))</f>
        <v/>
      </c>
      <c r="Y213" s="72" t="str">
        <f>IF(S213=0,"",IF(P213="Chuyển","",IF(P213="Nhập vào vụ khác","",IF(P213="CN đối thoại","",IF(P213="CN tại tòa","",IF(P213="BA",IF((S213-R213)&gt;7,"Quá hạn"&amp;" "&amp;(S213-R213-7)&amp;" "&amp;"ngày",""),IF((NETWORKDAYS(R213,S213,'Danh sách ngày nghỉ lễ'!$B$5:$B$25)-VLOOKUP(P213,'Thời hạn'!$D$17:$E$20,2,0))&gt;1,"Quá hạn"&amp;" "&amp;(NETWORKDAYS(R213,S213,'Danh sách ngày nghỉ lễ'!$B$5:$B$25)-1-VLOOKUP(P213,'Thời hạn'!$D$17:$E$20,2,0))&amp;" "&amp;"ngày","")))))))</f>
        <v/>
      </c>
      <c r="Z213" s="23">
        <v>1</v>
      </c>
    </row>
    <row r="214" spans="1:26" x14ac:dyDescent="0.3">
      <c r="A214" s="24">
        <v>1</v>
      </c>
      <c r="B214" s="39"/>
      <c r="C214" s="33"/>
      <c r="D214" s="25"/>
      <c r="E214" s="25"/>
      <c r="F214" s="34"/>
      <c r="G214" s="34"/>
      <c r="H214" s="25"/>
      <c r="I214" s="70" t="str">
        <f>IF(C214="Trả lại đơn","",IF(C214="Hòa giải thành","",IF(F214=0,"",EDATE(F214,VLOOKUP(C214,'Thời hạn'!$G$1:$H$12,2,0))+H214)))</f>
        <v/>
      </c>
      <c r="J214" s="59" t="str">
        <f t="shared" ref="J214:J264" ca="1" si="4">IF(C214="Trả lại đơn","",IF(C214="Hòa giải thành","",IF(N214=0,IF(P214=0,IF(F214=0,"",I214-TODAY()+1),""),"")))</f>
        <v/>
      </c>
      <c r="K214" s="25"/>
      <c r="L214" s="129"/>
      <c r="M214" s="130"/>
      <c r="N214" s="35"/>
      <c r="O214" s="34"/>
      <c r="P214" s="25"/>
      <c r="Q214" s="25"/>
      <c r="R214" s="34"/>
      <c r="S214" s="34"/>
      <c r="T214" s="137"/>
      <c r="U214" s="137"/>
      <c r="V214" s="36"/>
      <c r="W214" s="37"/>
      <c r="X214" s="71" t="str">
        <f>IF(C214="Trả lại đơn","",IF((NETWORKDAYS(F214,G214,'Danh sách ngày nghỉ lễ'!$B$5:$B$25)-1-3)&gt;0,"Quá hạn"&amp;" "&amp;(NETWORKDAYS(F214,G214,'Danh sách ngày nghỉ lễ'!$B$5:$B$25)-1-3)&amp;" "&amp;"ngày",""))</f>
        <v/>
      </c>
      <c r="Y214" s="72" t="str">
        <f>IF(S214=0,"",IF(P214="Chuyển","",IF(P214="Nhập vào vụ khác","",IF(P214="CN đối thoại","",IF(P214="CN tại tòa","",IF(P214="BA",IF((S214-R214)&gt;7,"Quá hạn"&amp;" "&amp;(S214-R214-7)&amp;" "&amp;"ngày",""),IF((NETWORKDAYS(R214,S214,'Danh sách ngày nghỉ lễ'!$B$5:$B$25)-VLOOKUP(P214,'Thời hạn'!$D$17:$E$20,2,0))&gt;1,"Quá hạn"&amp;" "&amp;(NETWORKDAYS(R214,S214,'Danh sách ngày nghỉ lễ'!$B$5:$B$25)-1-VLOOKUP(P214,'Thời hạn'!$D$17:$E$20,2,0))&amp;" "&amp;"ngày","")))))))</f>
        <v/>
      </c>
      <c r="Z214" s="23">
        <v>1</v>
      </c>
    </row>
    <row r="215" spans="1:26" x14ac:dyDescent="0.3">
      <c r="A215" s="24">
        <v>1</v>
      </c>
      <c r="B215" s="39"/>
      <c r="C215" s="33"/>
      <c r="D215" s="25"/>
      <c r="E215" s="25"/>
      <c r="F215" s="34"/>
      <c r="G215" s="34"/>
      <c r="H215" s="25"/>
      <c r="I215" s="70" t="str">
        <f>IF(C215="Trả lại đơn","",IF(C215="Hòa giải thành","",IF(F215=0,"",EDATE(F215,VLOOKUP(C215,'Thời hạn'!$G$1:$H$12,2,0))+H215)))</f>
        <v/>
      </c>
      <c r="J215" s="59" t="str">
        <f t="shared" ca="1" si="4"/>
        <v/>
      </c>
      <c r="K215" s="25"/>
      <c r="L215" s="129"/>
      <c r="M215" s="130"/>
      <c r="N215" s="35"/>
      <c r="O215" s="34"/>
      <c r="P215" s="25"/>
      <c r="Q215" s="25"/>
      <c r="R215" s="34"/>
      <c r="S215" s="34"/>
      <c r="T215" s="137"/>
      <c r="U215" s="137"/>
      <c r="V215" s="36"/>
      <c r="W215" s="37"/>
      <c r="X215" s="71" t="str">
        <f>IF(C215="Trả lại đơn","",IF((NETWORKDAYS(F215,G215,'Danh sách ngày nghỉ lễ'!$B$5:$B$25)-1-3)&gt;0,"Quá hạn"&amp;" "&amp;(NETWORKDAYS(F215,G215,'Danh sách ngày nghỉ lễ'!$B$5:$B$25)-1-3)&amp;" "&amp;"ngày",""))</f>
        <v/>
      </c>
      <c r="Y215" s="72" t="str">
        <f>IF(S215=0,"",IF(P215="Chuyển","",IF(P215="Nhập vào vụ khác","",IF(P215="CN đối thoại","",IF(P215="CN tại tòa","",IF(P215="BA",IF((S215-R215)&gt;7,"Quá hạn"&amp;" "&amp;(S215-R215-7)&amp;" "&amp;"ngày",""),IF((NETWORKDAYS(R215,S215,'Danh sách ngày nghỉ lễ'!$B$5:$B$25)-VLOOKUP(P215,'Thời hạn'!$D$17:$E$20,2,0))&gt;1,"Quá hạn"&amp;" "&amp;(NETWORKDAYS(R215,S215,'Danh sách ngày nghỉ lễ'!$B$5:$B$25)-1-VLOOKUP(P215,'Thời hạn'!$D$17:$E$20,2,0))&amp;" "&amp;"ngày","")))))))</f>
        <v/>
      </c>
      <c r="Z215" s="23">
        <v>1</v>
      </c>
    </row>
    <row r="216" spans="1:26" x14ac:dyDescent="0.3">
      <c r="A216" s="24">
        <v>1</v>
      </c>
      <c r="B216" s="39"/>
      <c r="C216" s="33"/>
      <c r="D216" s="25"/>
      <c r="E216" s="25"/>
      <c r="F216" s="34"/>
      <c r="G216" s="34"/>
      <c r="H216" s="25"/>
      <c r="I216" s="70" t="str">
        <f>IF(C216="Trả lại đơn","",IF(C216="Hòa giải thành","",IF(F216=0,"",EDATE(F216,VLOOKUP(C216,'Thời hạn'!$G$1:$H$12,2,0))+H216)))</f>
        <v/>
      </c>
      <c r="J216" s="59" t="str">
        <f t="shared" ca="1" si="4"/>
        <v/>
      </c>
      <c r="K216" s="25"/>
      <c r="L216" s="129"/>
      <c r="M216" s="130"/>
      <c r="N216" s="35"/>
      <c r="O216" s="34"/>
      <c r="P216" s="25"/>
      <c r="Q216" s="25"/>
      <c r="R216" s="34"/>
      <c r="S216" s="34"/>
      <c r="T216" s="137"/>
      <c r="U216" s="137"/>
      <c r="V216" s="36"/>
      <c r="W216" s="37"/>
      <c r="X216" s="71" t="str">
        <f>IF(C216="Trả lại đơn","",IF((NETWORKDAYS(F216,G216,'Danh sách ngày nghỉ lễ'!$B$5:$B$25)-1-3)&gt;0,"Quá hạn"&amp;" "&amp;(NETWORKDAYS(F216,G216,'Danh sách ngày nghỉ lễ'!$B$5:$B$25)-1-3)&amp;" "&amp;"ngày",""))</f>
        <v/>
      </c>
      <c r="Y216" s="72" t="str">
        <f>IF(S216=0,"",IF(P216="Chuyển","",IF(P216="Nhập vào vụ khác","",IF(P216="CN đối thoại","",IF(P216="CN tại tòa","",IF(P216="BA",IF((S216-R216)&gt;7,"Quá hạn"&amp;" "&amp;(S216-R216-7)&amp;" "&amp;"ngày",""),IF((NETWORKDAYS(R216,S216,'Danh sách ngày nghỉ lễ'!$B$5:$B$25)-VLOOKUP(P216,'Thời hạn'!$D$17:$E$20,2,0))&gt;1,"Quá hạn"&amp;" "&amp;(NETWORKDAYS(R216,S216,'Danh sách ngày nghỉ lễ'!$B$5:$B$25)-1-VLOOKUP(P216,'Thời hạn'!$D$17:$E$20,2,0))&amp;" "&amp;"ngày","")))))))</f>
        <v/>
      </c>
      <c r="Z216" s="23">
        <v>1</v>
      </c>
    </row>
    <row r="217" spans="1:26" x14ac:dyDescent="0.3">
      <c r="A217" s="24">
        <v>1</v>
      </c>
      <c r="B217" s="39"/>
      <c r="C217" s="33"/>
      <c r="D217" s="25"/>
      <c r="E217" s="25"/>
      <c r="F217" s="34"/>
      <c r="G217" s="34"/>
      <c r="H217" s="25"/>
      <c r="I217" s="70" t="str">
        <f>IF(C217="Trả lại đơn","",IF(C217="Hòa giải thành","",IF(F217=0,"",EDATE(F217,VLOOKUP(C217,'Thời hạn'!$G$1:$H$12,2,0))+H217)))</f>
        <v/>
      </c>
      <c r="J217" s="59" t="str">
        <f t="shared" ca="1" si="4"/>
        <v/>
      </c>
      <c r="K217" s="25"/>
      <c r="L217" s="129"/>
      <c r="M217" s="130"/>
      <c r="N217" s="35"/>
      <c r="O217" s="34"/>
      <c r="P217" s="25"/>
      <c r="Q217" s="25"/>
      <c r="R217" s="34"/>
      <c r="S217" s="34"/>
      <c r="T217" s="137"/>
      <c r="U217" s="137"/>
      <c r="V217" s="36"/>
      <c r="W217" s="37"/>
      <c r="X217" s="71" t="str">
        <f>IF(C217="Trả lại đơn","",IF((NETWORKDAYS(F217,G217,'Danh sách ngày nghỉ lễ'!$B$5:$B$25)-1-3)&gt;0,"Quá hạn"&amp;" "&amp;(NETWORKDAYS(F217,G217,'Danh sách ngày nghỉ lễ'!$B$5:$B$25)-1-3)&amp;" "&amp;"ngày",""))</f>
        <v/>
      </c>
      <c r="Y217" s="72" t="str">
        <f>IF(S217=0,"",IF(P217="Chuyển","",IF(P217="Nhập vào vụ khác","",IF(P217="CN đối thoại","",IF(P217="CN tại tòa","",IF(P217="BA",IF((S217-R217)&gt;7,"Quá hạn"&amp;" "&amp;(S217-R217-7)&amp;" "&amp;"ngày",""),IF((NETWORKDAYS(R217,S217,'Danh sách ngày nghỉ lễ'!$B$5:$B$25)-VLOOKUP(P217,'Thời hạn'!$D$17:$E$20,2,0))&gt;1,"Quá hạn"&amp;" "&amp;(NETWORKDAYS(R217,S217,'Danh sách ngày nghỉ lễ'!$B$5:$B$25)-1-VLOOKUP(P217,'Thời hạn'!$D$17:$E$20,2,0))&amp;" "&amp;"ngày","")))))))</f>
        <v/>
      </c>
      <c r="Z217" s="23">
        <v>1</v>
      </c>
    </row>
    <row r="218" spans="1:26" x14ac:dyDescent="0.3">
      <c r="A218" s="24">
        <v>1</v>
      </c>
      <c r="B218" s="39"/>
      <c r="C218" s="33"/>
      <c r="D218" s="25"/>
      <c r="E218" s="25"/>
      <c r="F218" s="34"/>
      <c r="G218" s="34"/>
      <c r="H218" s="25"/>
      <c r="I218" s="70" t="str">
        <f>IF(C218="Trả lại đơn","",IF(C218="Hòa giải thành","",IF(F218=0,"",EDATE(F218,VLOOKUP(C218,'Thời hạn'!$G$1:$H$12,2,0))+H218)))</f>
        <v/>
      </c>
      <c r="J218" s="59" t="str">
        <f t="shared" ca="1" si="4"/>
        <v/>
      </c>
      <c r="K218" s="25"/>
      <c r="L218" s="129"/>
      <c r="M218" s="130"/>
      <c r="N218" s="35"/>
      <c r="O218" s="34"/>
      <c r="P218" s="25"/>
      <c r="Q218" s="25"/>
      <c r="R218" s="34"/>
      <c r="S218" s="34"/>
      <c r="T218" s="137"/>
      <c r="U218" s="137"/>
      <c r="V218" s="36"/>
      <c r="W218" s="37"/>
      <c r="X218" s="71" t="str">
        <f>IF(C218="Trả lại đơn","",IF((NETWORKDAYS(F218,G218,'Danh sách ngày nghỉ lễ'!$B$5:$B$25)-1-3)&gt;0,"Quá hạn"&amp;" "&amp;(NETWORKDAYS(F218,G218,'Danh sách ngày nghỉ lễ'!$B$5:$B$25)-1-3)&amp;" "&amp;"ngày",""))</f>
        <v/>
      </c>
      <c r="Y218" s="72" t="str">
        <f>IF(S218=0,"",IF(P218="Chuyển","",IF(P218="Nhập vào vụ khác","",IF(P218="CN đối thoại","",IF(P218="CN tại tòa","",IF(P218="BA",IF((S218-R218)&gt;7,"Quá hạn"&amp;" "&amp;(S218-R218-7)&amp;" "&amp;"ngày",""),IF((NETWORKDAYS(R218,S218,'Danh sách ngày nghỉ lễ'!$B$5:$B$25)-VLOOKUP(P218,'Thời hạn'!$D$17:$E$20,2,0))&gt;1,"Quá hạn"&amp;" "&amp;(NETWORKDAYS(R218,S218,'Danh sách ngày nghỉ lễ'!$B$5:$B$25)-1-VLOOKUP(P218,'Thời hạn'!$D$17:$E$20,2,0))&amp;" "&amp;"ngày","")))))))</f>
        <v/>
      </c>
      <c r="Z218" s="23">
        <v>1</v>
      </c>
    </row>
    <row r="219" spans="1:26" x14ac:dyDescent="0.3">
      <c r="A219" s="24">
        <v>1</v>
      </c>
      <c r="B219" s="39"/>
      <c r="C219" s="33"/>
      <c r="D219" s="25"/>
      <c r="E219" s="25"/>
      <c r="F219" s="34"/>
      <c r="G219" s="34"/>
      <c r="H219" s="25"/>
      <c r="I219" s="70" t="str">
        <f>IF(C219="Trả lại đơn","",IF(C219="Hòa giải thành","",IF(F219=0,"",EDATE(F219,VLOOKUP(C219,'Thời hạn'!$G$1:$H$12,2,0))+H219)))</f>
        <v/>
      </c>
      <c r="J219" s="59" t="str">
        <f t="shared" ca="1" si="4"/>
        <v/>
      </c>
      <c r="K219" s="25"/>
      <c r="L219" s="129"/>
      <c r="M219" s="130"/>
      <c r="N219" s="35"/>
      <c r="O219" s="34"/>
      <c r="P219" s="25"/>
      <c r="Q219" s="25"/>
      <c r="R219" s="34"/>
      <c r="S219" s="34"/>
      <c r="T219" s="137"/>
      <c r="U219" s="137"/>
      <c r="V219" s="36"/>
      <c r="W219" s="37"/>
      <c r="X219" s="71" t="str">
        <f>IF(C219="Trả lại đơn","",IF((NETWORKDAYS(F219,G219,'Danh sách ngày nghỉ lễ'!$B$5:$B$25)-1-3)&gt;0,"Quá hạn"&amp;" "&amp;(NETWORKDAYS(F219,G219,'Danh sách ngày nghỉ lễ'!$B$5:$B$25)-1-3)&amp;" "&amp;"ngày",""))</f>
        <v/>
      </c>
      <c r="Y219" s="72" t="str">
        <f>IF(S219=0,"",IF(P219="Chuyển","",IF(P219="Nhập vào vụ khác","",IF(P219="CN đối thoại","",IF(P219="CN tại tòa","",IF(P219="BA",IF((S219-R219)&gt;7,"Quá hạn"&amp;" "&amp;(S219-R219-7)&amp;" "&amp;"ngày",""),IF((NETWORKDAYS(R219,S219,'Danh sách ngày nghỉ lễ'!$B$5:$B$25)-VLOOKUP(P219,'Thời hạn'!$D$17:$E$20,2,0))&gt;1,"Quá hạn"&amp;" "&amp;(NETWORKDAYS(R219,S219,'Danh sách ngày nghỉ lễ'!$B$5:$B$25)-1-VLOOKUP(P219,'Thời hạn'!$D$17:$E$20,2,0))&amp;" "&amp;"ngày","")))))))</f>
        <v/>
      </c>
      <c r="Z219" s="23">
        <v>1</v>
      </c>
    </row>
    <row r="220" spans="1:26" x14ac:dyDescent="0.3">
      <c r="A220" s="24">
        <v>1</v>
      </c>
      <c r="B220" s="39"/>
      <c r="C220" s="33"/>
      <c r="D220" s="25"/>
      <c r="E220" s="25"/>
      <c r="F220" s="34"/>
      <c r="G220" s="34"/>
      <c r="H220" s="25"/>
      <c r="I220" s="70" t="str">
        <f>IF(C220="Trả lại đơn","",IF(C220="Hòa giải thành","",IF(F220=0,"",EDATE(F220,VLOOKUP(C220,'Thời hạn'!$G$1:$H$12,2,0))+H220)))</f>
        <v/>
      </c>
      <c r="J220" s="59" t="str">
        <f t="shared" ca="1" si="4"/>
        <v/>
      </c>
      <c r="K220" s="25"/>
      <c r="L220" s="129"/>
      <c r="M220" s="130"/>
      <c r="N220" s="35"/>
      <c r="O220" s="34"/>
      <c r="P220" s="25"/>
      <c r="Q220" s="25"/>
      <c r="R220" s="34"/>
      <c r="S220" s="34"/>
      <c r="T220" s="137"/>
      <c r="U220" s="137"/>
      <c r="V220" s="36"/>
      <c r="W220" s="37"/>
      <c r="X220" s="71" t="str">
        <f>IF(C220="Trả lại đơn","",IF((NETWORKDAYS(F220,G220,'Danh sách ngày nghỉ lễ'!$B$5:$B$25)-1-3)&gt;0,"Quá hạn"&amp;" "&amp;(NETWORKDAYS(F220,G220,'Danh sách ngày nghỉ lễ'!$B$5:$B$25)-1-3)&amp;" "&amp;"ngày",""))</f>
        <v/>
      </c>
      <c r="Y220" s="72" t="str">
        <f>IF(S220=0,"",IF(P220="Chuyển","",IF(P220="Nhập vào vụ khác","",IF(P220="CN đối thoại","",IF(P220="CN tại tòa","",IF(P220="BA",IF((S220-R220)&gt;7,"Quá hạn"&amp;" "&amp;(S220-R220-7)&amp;" "&amp;"ngày",""),IF((NETWORKDAYS(R220,S220,'Danh sách ngày nghỉ lễ'!$B$5:$B$25)-VLOOKUP(P220,'Thời hạn'!$D$17:$E$20,2,0))&gt;1,"Quá hạn"&amp;" "&amp;(NETWORKDAYS(R220,S220,'Danh sách ngày nghỉ lễ'!$B$5:$B$25)-1-VLOOKUP(P220,'Thời hạn'!$D$17:$E$20,2,0))&amp;" "&amp;"ngày","")))))))</f>
        <v/>
      </c>
      <c r="Z220" s="23">
        <v>1</v>
      </c>
    </row>
    <row r="221" spans="1:26" x14ac:dyDescent="0.3">
      <c r="A221" s="24">
        <v>1</v>
      </c>
      <c r="B221" s="39"/>
      <c r="C221" s="33"/>
      <c r="D221" s="25"/>
      <c r="E221" s="25"/>
      <c r="F221" s="34"/>
      <c r="G221" s="34"/>
      <c r="H221" s="25"/>
      <c r="I221" s="70" t="str">
        <f>IF(C221="Trả lại đơn","",IF(C221="Hòa giải thành","",IF(F221=0,"",EDATE(F221,VLOOKUP(C221,'Thời hạn'!$G$1:$H$12,2,0))+H221)))</f>
        <v/>
      </c>
      <c r="J221" s="59" t="str">
        <f t="shared" ca="1" si="4"/>
        <v/>
      </c>
      <c r="K221" s="25"/>
      <c r="L221" s="129"/>
      <c r="M221" s="130"/>
      <c r="N221" s="35"/>
      <c r="O221" s="34"/>
      <c r="P221" s="25"/>
      <c r="Q221" s="25"/>
      <c r="R221" s="34"/>
      <c r="S221" s="34"/>
      <c r="T221" s="137"/>
      <c r="U221" s="137"/>
      <c r="V221" s="36"/>
      <c r="W221" s="37"/>
      <c r="X221" s="71" t="str">
        <f>IF(C221="Trả lại đơn","",IF((NETWORKDAYS(F221,G221,'Danh sách ngày nghỉ lễ'!$B$5:$B$25)-1-3)&gt;0,"Quá hạn"&amp;" "&amp;(NETWORKDAYS(F221,G221,'Danh sách ngày nghỉ lễ'!$B$5:$B$25)-1-3)&amp;" "&amp;"ngày",""))</f>
        <v/>
      </c>
      <c r="Y221" s="72" t="str">
        <f>IF(S221=0,"",IF(P221="Chuyển","",IF(P221="Nhập vào vụ khác","",IF(P221="CN đối thoại","",IF(P221="CN tại tòa","",IF(P221="BA",IF((S221-R221)&gt;7,"Quá hạn"&amp;" "&amp;(S221-R221-7)&amp;" "&amp;"ngày",""),IF((NETWORKDAYS(R221,S221,'Danh sách ngày nghỉ lễ'!$B$5:$B$25)-VLOOKUP(P221,'Thời hạn'!$D$17:$E$20,2,0))&gt;1,"Quá hạn"&amp;" "&amp;(NETWORKDAYS(R221,S221,'Danh sách ngày nghỉ lễ'!$B$5:$B$25)-1-VLOOKUP(P221,'Thời hạn'!$D$17:$E$20,2,0))&amp;" "&amp;"ngày","")))))))</f>
        <v/>
      </c>
      <c r="Z221" s="23">
        <v>1</v>
      </c>
    </row>
    <row r="222" spans="1:26" x14ac:dyDescent="0.3">
      <c r="A222" s="24">
        <v>1</v>
      </c>
      <c r="B222" s="39"/>
      <c r="C222" s="33"/>
      <c r="D222" s="25"/>
      <c r="E222" s="25"/>
      <c r="F222" s="34"/>
      <c r="G222" s="34"/>
      <c r="H222" s="25"/>
      <c r="I222" s="70" t="str">
        <f>IF(C222="Trả lại đơn","",IF(C222="Hòa giải thành","",IF(F222=0,"",EDATE(F222,VLOOKUP(C222,'Thời hạn'!$G$1:$H$12,2,0))+H222)))</f>
        <v/>
      </c>
      <c r="J222" s="59" t="str">
        <f t="shared" ca="1" si="4"/>
        <v/>
      </c>
      <c r="K222" s="25"/>
      <c r="L222" s="129"/>
      <c r="M222" s="130"/>
      <c r="N222" s="35"/>
      <c r="O222" s="34"/>
      <c r="P222" s="25"/>
      <c r="Q222" s="25"/>
      <c r="R222" s="34"/>
      <c r="S222" s="34"/>
      <c r="T222" s="137"/>
      <c r="U222" s="137"/>
      <c r="V222" s="36"/>
      <c r="W222" s="37"/>
      <c r="X222" s="71" t="str">
        <f>IF(C222="Trả lại đơn","",IF((NETWORKDAYS(F222,G222,'Danh sách ngày nghỉ lễ'!$B$5:$B$25)-1-3)&gt;0,"Quá hạn"&amp;" "&amp;(NETWORKDAYS(F222,G222,'Danh sách ngày nghỉ lễ'!$B$5:$B$25)-1-3)&amp;" "&amp;"ngày",""))</f>
        <v/>
      </c>
      <c r="Y222" s="72" t="str">
        <f>IF(S222=0,"",IF(P222="Chuyển","",IF(P222="Nhập vào vụ khác","",IF(P222="CN đối thoại","",IF(P222="CN tại tòa","",IF(P222="BA",IF((S222-R222)&gt;7,"Quá hạn"&amp;" "&amp;(S222-R222-7)&amp;" "&amp;"ngày",""),IF((NETWORKDAYS(R222,S222,'Danh sách ngày nghỉ lễ'!$B$5:$B$25)-VLOOKUP(P222,'Thời hạn'!$D$17:$E$20,2,0))&gt;1,"Quá hạn"&amp;" "&amp;(NETWORKDAYS(R222,S222,'Danh sách ngày nghỉ lễ'!$B$5:$B$25)-1-VLOOKUP(P222,'Thời hạn'!$D$17:$E$20,2,0))&amp;" "&amp;"ngày","")))))))</f>
        <v/>
      </c>
      <c r="Z222" s="23">
        <v>1</v>
      </c>
    </row>
    <row r="223" spans="1:26" x14ac:dyDescent="0.3">
      <c r="A223" s="24">
        <v>1</v>
      </c>
      <c r="B223" s="39"/>
      <c r="C223" s="33"/>
      <c r="D223" s="25"/>
      <c r="E223" s="25"/>
      <c r="F223" s="34"/>
      <c r="G223" s="34"/>
      <c r="H223" s="25"/>
      <c r="I223" s="70" t="str">
        <f>IF(C223="Trả lại đơn","",IF(C223="Hòa giải thành","",IF(F223=0,"",EDATE(F223,VLOOKUP(C223,'Thời hạn'!$G$1:$H$12,2,0))+H223)))</f>
        <v/>
      </c>
      <c r="J223" s="59" t="str">
        <f t="shared" ca="1" si="4"/>
        <v/>
      </c>
      <c r="K223" s="25"/>
      <c r="L223" s="129"/>
      <c r="M223" s="130"/>
      <c r="N223" s="35"/>
      <c r="O223" s="34"/>
      <c r="P223" s="25"/>
      <c r="Q223" s="25"/>
      <c r="R223" s="34"/>
      <c r="S223" s="34"/>
      <c r="T223" s="137"/>
      <c r="U223" s="137"/>
      <c r="V223" s="36"/>
      <c r="W223" s="37"/>
      <c r="X223" s="71" t="str">
        <f>IF(C223="Trả lại đơn","",IF((NETWORKDAYS(F223,G223,'Danh sách ngày nghỉ lễ'!$B$5:$B$25)-1-3)&gt;0,"Quá hạn"&amp;" "&amp;(NETWORKDAYS(F223,G223,'Danh sách ngày nghỉ lễ'!$B$5:$B$25)-1-3)&amp;" "&amp;"ngày",""))</f>
        <v/>
      </c>
      <c r="Y223" s="72" t="str">
        <f>IF(S223=0,"",IF(P223="Chuyển","",IF(P223="Nhập vào vụ khác","",IF(P223="CN đối thoại","",IF(P223="CN tại tòa","",IF(P223="BA",IF((S223-R223)&gt;7,"Quá hạn"&amp;" "&amp;(S223-R223-7)&amp;" "&amp;"ngày",""),IF((NETWORKDAYS(R223,S223,'Danh sách ngày nghỉ lễ'!$B$5:$B$25)-VLOOKUP(P223,'Thời hạn'!$D$17:$E$20,2,0))&gt;1,"Quá hạn"&amp;" "&amp;(NETWORKDAYS(R223,S223,'Danh sách ngày nghỉ lễ'!$B$5:$B$25)-1-VLOOKUP(P223,'Thời hạn'!$D$17:$E$20,2,0))&amp;" "&amp;"ngày","")))))))</f>
        <v/>
      </c>
      <c r="Z223" s="23">
        <v>1</v>
      </c>
    </row>
    <row r="224" spans="1:26" x14ac:dyDescent="0.3">
      <c r="A224" s="24">
        <v>1</v>
      </c>
      <c r="B224" s="39"/>
      <c r="C224" s="33"/>
      <c r="D224" s="25"/>
      <c r="E224" s="25"/>
      <c r="F224" s="34"/>
      <c r="G224" s="34"/>
      <c r="H224" s="25"/>
      <c r="I224" s="70" t="str">
        <f>IF(C224="Trả lại đơn","",IF(C224="Hòa giải thành","",IF(F224=0,"",EDATE(F224,VLOOKUP(C224,'Thời hạn'!$G$1:$H$12,2,0))+H224)))</f>
        <v/>
      </c>
      <c r="J224" s="59" t="str">
        <f t="shared" ca="1" si="4"/>
        <v/>
      </c>
      <c r="K224" s="25"/>
      <c r="L224" s="129"/>
      <c r="M224" s="130"/>
      <c r="N224" s="35"/>
      <c r="O224" s="34"/>
      <c r="P224" s="25"/>
      <c r="Q224" s="25"/>
      <c r="R224" s="34"/>
      <c r="S224" s="34"/>
      <c r="T224" s="137"/>
      <c r="U224" s="137"/>
      <c r="V224" s="36"/>
      <c r="W224" s="37"/>
      <c r="X224" s="71" t="str">
        <f>IF(C224="Trả lại đơn","",IF((NETWORKDAYS(F224,G224,'Danh sách ngày nghỉ lễ'!$B$5:$B$25)-1-3)&gt;0,"Quá hạn"&amp;" "&amp;(NETWORKDAYS(F224,G224,'Danh sách ngày nghỉ lễ'!$B$5:$B$25)-1-3)&amp;" "&amp;"ngày",""))</f>
        <v/>
      </c>
      <c r="Y224" s="72" t="str">
        <f>IF(S224=0,"",IF(P224="Chuyển","",IF(P224="Nhập vào vụ khác","",IF(P224="CN đối thoại","",IF(P224="CN tại tòa","",IF(P224="BA",IF((S224-R224)&gt;7,"Quá hạn"&amp;" "&amp;(S224-R224-7)&amp;" "&amp;"ngày",""),IF((NETWORKDAYS(R224,S224,'Danh sách ngày nghỉ lễ'!$B$5:$B$25)-VLOOKUP(P224,'Thời hạn'!$D$17:$E$20,2,0))&gt;1,"Quá hạn"&amp;" "&amp;(NETWORKDAYS(R224,S224,'Danh sách ngày nghỉ lễ'!$B$5:$B$25)-1-VLOOKUP(P224,'Thời hạn'!$D$17:$E$20,2,0))&amp;" "&amp;"ngày","")))))))</f>
        <v/>
      </c>
      <c r="Z224" s="23">
        <v>1</v>
      </c>
    </row>
    <row r="225" spans="1:26" x14ac:dyDescent="0.3">
      <c r="A225" s="24">
        <v>1</v>
      </c>
      <c r="B225" s="39"/>
      <c r="C225" s="33"/>
      <c r="D225" s="25"/>
      <c r="E225" s="25"/>
      <c r="F225" s="34"/>
      <c r="G225" s="34"/>
      <c r="H225" s="25"/>
      <c r="I225" s="70" t="str">
        <f>IF(C225="Trả lại đơn","",IF(C225="Hòa giải thành","",IF(F225=0,"",EDATE(F225,VLOOKUP(C225,'Thời hạn'!$G$1:$H$12,2,0))+H225)))</f>
        <v/>
      </c>
      <c r="J225" s="59" t="str">
        <f t="shared" ca="1" si="4"/>
        <v/>
      </c>
      <c r="K225" s="25"/>
      <c r="L225" s="129"/>
      <c r="M225" s="130"/>
      <c r="N225" s="35"/>
      <c r="O225" s="34"/>
      <c r="P225" s="25"/>
      <c r="Q225" s="25"/>
      <c r="R225" s="34"/>
      <c r="S225" s="34"/>
      <c r="T225" s="137"/>
      <c r="U225" s="137"/>
      <c r="V225" s="36"/>
      <c r="W225" s="37"/>
      <c r="X225" s="71" t="str">
        <f>IF(C225="Trả lại đơn","",IF((NETWORKDAYS(F225,G225,'Danh sách ngày nghỉ lễ'!$B$5:$B$25)-1-3)&gt;0,"Quá hạn"&amp;" "&amp;(NETWORKDAYS(F225,G225,'Danh sách ngày nghỉ lễ'!$B$5:$B$25)-1-3)&amp;" "&amp;"ngày",""))</f>
        <v/>
      </c>
      <c r="Y225" s="72" t="str">
        <f>IF(S225=0,"",IF(P225="Chuyển","",IF(P225="Nhập vào vụ khác","",IF(P225="CN đối thoại","",IF(P225="CN tại tòa","",IF(P225="BA",IF((S225-R225)&gt;7,"Quá hạn"&amp;" "&amp;(S225-R225-7)&amp;" "&amp;"ngày",""),IF((NETWORKDAYS(R225,S225,'Danh sách ngày nghỉ lễ'!$B$5:$B$25)-VLOOKUP(P225,'Thời hạn'!$D$17:$E$20,2,0))&gt;1,"Quá hạn"&amp;" "&amp;(NETWORKDAYS(R225,S225,'Danh sách ngày nghỉ lễ'!$B$5:$B$25)-1-VLOOKUP(P225,'Thời hạn'!$D$17:$E$20,2,0))&amp;" "&amp;"ngày","")))))))</f>
        <v/>
      </c>
      <c r="Z225" s="23">
        <v>1</v>
      </c>
    </row>
    <row r="226" spans="1:26" x14ac:dyDescent="0.3">
      <c r="A226" s="24">
        <v>1</v>
      </c>
      <c r="B226" s="39"/>
      <c r="C226" s="33"/>
      <c r="D226" s="25"/>
      <c r="E226" s="25"/>
      <c r="F226" s="34"/>
      <c r="G226" s="34"/>
      <c r="H226" s="25"/>
      <c r="I226" s="70" t="str">
        <f>IF(C226="Trả lại đơn","",IF(C226="Hòa giải thành","",IF(F226=0,"",EDATE(F226,VLOOKUP(C226,'Thời hạn'!$G$1:$H$12,2,0))+H226)))</f>
        <v/>
      </c>
      <c r="J226" s="59" t="str">
        <f t="shared" ca="1" si="4"/>
        <v/>
      </c>
      <c r="K226" s="25"/>
      <c r="L226" s="129"/>
      <c r="M226" s="130"/>
      <c r="N226" s="35"/>
      <c r="O226" s="34"/>
      <c r="P226" s="25"/>
      <c r="Q226" s="25"/>
      <c r="R226" s="34"/>
      <c r="S226" s="34"/>
      <c r="T226" s="137"/>
      <c r="U226" s="137"/>
      <c r="V226" s="36"/>
      <c r="W226" s="37"/>
      <c r="X226" s="71" t="str">
        <f>IF(C226="Trả lại đơn","",IF((NETWORKDAYS(F226,G226,'Danh sách ngày nghỉ lễ'!$B$5:$B$25)-1-3)&gt;0,"Quá hạn"&amp;" "&amp;(NETWORKDAYS(F226,G226,'Danh sách ngày nghỉ lễ'!$B$5:$B$25)-1-3)&amp;" "&amp;"ngày",""))</f>
        <v/>
      </c>
      <c r="Y226" s="72" t="str">
        <f>IF(S226=0,"",IF(P226="Chuyển","",IF(P226="Nhập vào vụ khác","",IF(P226="CN đối thoại","",IF(P226="CN tại tòa","",IF(P226="BA",IF((S226-R226)&gt;7,"Quá hạn"&amp;" "&amp;(S226-R226-7)&amp;" "&amp;"ngày",""),IF((NETWORKDAYS(R226,S226,'Danh sách ngày nghỉ lễ'!$B$5:$B$25)-VLOOKUP(P226,'Thời hạn'!$D$17:$E$20,2,0))&gt;1,"Quá hạn"&amp;" "&amp;(NETWORKDAYS(R226,S226,'Danh sách ngày nghỉ lễ'!$B$5:$B$25)-1-VLOOKUP(P226,'Thời hạn'!$D$17:$E$20,2,0))&amp;" "&amp;"ngày","")))))))</f>
        <v/>
      </c>
      <c r="Z226" s="23">
        <v>1</v>
      </c>
    </row>
    <row r="227" spans="1:26" x14ac:dyDescent="0.3">
      <c r="A227" s="24">
        <v>1</v>
      </c>
      <c r="B227" s="39"/>
      <c r="C227" s="33"/>
      <c r="D227" s="25"/>
      <c r="E227" s="25"/>
      <c r="F227" s="34"/>
      <c r="G227" s="34"/>
      <c r="H227" s="25"/>
      <c r="I227" s="70" t="str">
        <f>IF(C227="Trả lại đơn","",IF(C227="Hòa giải thành","",IF(F227=0,"",EDATE(F227,VLOOKUP(C227,'Thời hạn'!$G$1:$H$12,2,0))+H227)))</f>
        <v/>
      </c>
      <c r="J227" s="59" t="str">
        <f t="shared" ca="1" si="4"/>
        <v/>
      </c>
      <c r="K227" s="25"/>
      <c r="L227" s="129"/>
      <c r="M227" s="130"/>
      <c r="N227" s="35"/>
      <c r="O227" s="34"/>
      <c r="P227" s="25"/>
      <c r="Q227" s="25"/>
      <c r="R227" s="34"/>
      <c r="S227" s="34"/>
      <c r="T227" s="137"/>
      <c r="U227" s="137"/>
      <c r="V227" s="36"/>
      <c r="W227" s="37"/>
      <c r="X227" s="71" t="str">
        <f>IF(C227="Trả lại đơn","",IF((NETWORKDAYS(F227,G227,'Danh sách ngày nghỉ lễ'!$B$5:$B$25)-1-3)&gt;0,"Quá hạn"&amp;" "&amp;(NETWORKDAYS(F227,G227,'Danh sách ngày nghỉ lễ'!$B$5:$B$25)-1-3)&amp;" "&amp;"ngày",""))</f>
        <v/>
      </c>
      <c r="Y227" s="72" t="str">
        <f>IF(S227=0,"",IF(P227="Chuyển","",IF(P227="Nhập vào vụ khác","",IF(P227="CN đối thoại","",IF(P227="CN tại tòa","",IF(P227="BA",IF((S227-R227)&gt;7,"Quá hạn"&amp;" "&amp;(S227-R227-7)&amp;" "&amp;"ngày",""),IF((NETWORKDAYS(R227,S227,'Danh sách ngày nghỉ lễ'!$B$5:$B$25)-VLOOKUP(P227,'Thời hạn'!$D$17:$E$20,2,0))&gt;1,"Quá hạn"&amp;" "&amp;(NETWORKDAYS(R227,S227,'Danh sách ngày nghỉ lễ'!$B$5:$B$25)-1-VLOOKUP(P227,'Thời hạn'!$D$17:$E$20,2,0))&amp;" "&amp;"ngày","")))))))</f>
        <v/>
      </c>
      <c r="Z227" s="23">
        <v>1</v>
      </c>
    </row>
    <row r="228" spans="1:26" x14ac:dyDescent="0.3">
      <c r="A228" s="24">
        <v>1</v>
      </c>
      <c r="B228" s="39"/>
      <c r="C228" s="33"/>
      <c r="D228" s="25"/>
      <c r="E228" s="25"/>
      <c r="F228" s="34"/>
      <c r="G228" s="34"/>
      <c r="H228" s="25"/>
      <c r="I228" s="70" t="str">
        <f>IF(C228="Trả lại đơn","",IF(C228="Hòa giải thành","",IF(F228=0,"",EDATE(F228,VLOOKUP(C228,'Thời hạn'!$G$1:$H$12,2,0))+H228)))</f>
        <v/>
      </c>
      <c r="J228" s="59" t="str">
        <f t="shared" ca="1" si="4"/>
        <v/>
      </c>
      <c r="K228" s="25"/>
      <c r="L228" s="129"/>
      <c r="M228" s="130"/>
      <c r="N228" s="35"/>
      <c r="O228" s="34"/>
      <c r="P228" s="25"/>
      <c r="Q228" s="25"/>
      <c r="R228" s="34"/>
      <c r="S228" s="34"/>
      <c r="T228" s="137"/>
      <c r="U228" s="137"/>
      <c r="V228" s="36"/>
      <c r="W228" s="37"/>
      <c r="X228" s="71" t="str">
        <f>IF(C228="Trả lại đơn","",IF((NETWORKDAYS(F228,G228,'Danh sách ngày nghỉ lễ'!$B$5:$B$25)-1-3)&gt;0,"Quá hạn"&amp;" "&amp;(NETWORKDAYS(F228,G228,'Danh sách ngày nghỉ lễ'!$B$5:$B$25)-1-3)&amp;" "&amp;"ngày",""))</f>
        <v/>
      </c>
      <c r="Y228" s="72" t="str">
        <f>IF(S228=0,"",IF(P228="Chuyển","",IF(P228="Nhập vào vụ khác","",IF(P228="CN đối thoại","",IF(P228="CN tại tòa","",IF(P228="BA",IF((S228-R228)&gt;7,"Quá hạn"&amp;" "&amp;(S228-R228-7)&amp;" "&amp;"ngày",""),IF((NETWORKDAYS(R228,S228,'Danh sách ngày nghỉ lễ'!$B$5:$B$25)-VLOOKUP(P228,'Thời hạn'!$D$17:$E$20,2,0))&gt;1,"Quá hạn"&amp;" "&amp;(NETWORKDAYS(R228,S228,'Danh sách ngày nghỉ lễ'!$B$5:$B$25)-1-VLOOKUP(P228,'Thời hạn'!$D$17:$E$20,2,0))&amp;" "&amp;"ngày","")))))))</f>
        <v/>
      </c>
      <c r="Z228" s="23">
        <v>1</v>
      </c>
    </row>
    <row r="229" spans="1:26" x14ac:dyDescent="0.3">
      <c r="A229" s="24">
        <v>1</v>
      </c>
      <c r="B229" s="39"/>
      <c r="C229" s="33"/>
      <c r="D229" s="25"/>
      <c r="E229" s="25"/>
      <c r="F229" s="34"/>
      <c r="G229" s="34"/>
      <c r="H229" s="25"/>
      <c r="I229" s="70" t="str">
        <f>IF(C229="Trả lại đơn","",IF(C229="Hòa giải thành","",IF(F229=0,"",EDATE(F229,VLOOKUP(C229,'Thời hạn'!$G$1:$H$12,2,0))+H229)))</f>
        <v/>
      </c>
      <c r="J229" s="59" t="str">
        <f t="shared" ca="1" si="4"/>
        <v/>
      </c>
      <c r="K229" s="25"/>
      <c r="L229" s="129"/>
      <c r="M229" s="130"/>
      <c r="N229" s="35"/>
      <c r="O229" s="34"/>
      <c r="P229" s="25"/>
      <c r="Q229" s="25"/>
      <c r="R229" s="34"/>
      <c r="S229" s="34"/>
      <c r="T229" s="137"/>
      <c r="U229" s="137"/>
      <c r="V229" s="36"/>
      <c r="W229" s="37"/>
      <c r="X229" s="71" t="str">
        <f>IF(C229="Trả lại đơn","",IF((NETWORKDAYS(F229,G229,'Danh sách ngày nghỉ lễ'!$B$5:$B$25)-1-3)&gt;0,"Quá hạn"&amp;" "&amp;(NETWORKDAYS(F229,G229,'Danh sách ngày nghỉ lễ'!$B$5:$B$25)-1-3)&amp;" "&amp;"ngày",""))</f>
        <v/>
      </c>
      <c r="Y229" s="72" t="str">
        <f>IF(S229=0,"",IF(P229="Chuyển","",IF(P229="Nhập vào vụ khác","",IF(P229="CN đối thoại","",IF(P229="CN tại tòa","",IF(P229="BA",IF((S229-R229)&gt;7,"Quá hạn"&amp;" "&amp;(S229-R229-7)&amp;" "&amp;"ngày",""),IF((NETWORKDAYS(R229,S229,'Danh sách ngày nghỉ lễ'!$B$5:$B$25)-VLOOKUP(P229,'Thời hạn'!$D$17:$E$20,2,0))&gt;1,"Quá hạn"&amp;" "&amp;(NETWORKDAYS(R229,S229,'Danh sách ngày nghỉ lễ'!$B$5:$B$25)-1-VLOOKUP(P229,'Thời hạn'!$D$17:$E$20,2,0))&amp;" "&amp;"ngày","")))))))</f>
        <v/>
      </c>
      <c r="Z229" s="23">
        <v>1</v>
      </c>
    </row>
    <row r="230" spans="1:26" x14ac:dyDescent="0.3">
      <c r="A230" s="24">
        <v>1</v>
      </c>
      <c r="B230" s="39"/>
      <c r="C230" s="33"/>
      <c r="D230" s="25"/>
      <c r="E230" s="25"/>
      <c r="F230" s="34"/>
      <c r="G230" s="34"/>
      <c r="H230" s="25"/>
      <c r="I230" s="70" t="str">
        <f>IF(C230="Trả lại đơn","",IF(C230="Hòa giải thành","",IF(F230=0,"",EDATE(F230,VLOOKUP(C230,'Thời hạn'!$G$1:$H$12,2,0))+H230)))</f>
        <v/>
      </c>
      <c r="J230" s="59" t="str">
        <f t="shared" ca="1" si="4"/>
        <v/>
      </c>
      <c r="K230" s="25"/>
      <c r="L230" s="129"/>
      <c r="M230" s="130"/>
      <c r="N230" s="35"/>
      <c r="O230" s="34"/>
      <c r="P230" s="25"/>
      <c r="Q230" s="25"/>
      <c r="R230" s="34"/>
      <c r="S230" s="34"/>
      <c r="T230" s="137"/>
      <c r="U230" s="137"/>
      <c r="V230" s="36"/>
      <c r="W230" s="37"/>
      <c r="X230" s="71" t="str">
        <f>IF(C230="Trả lại đơn","",IF((NETWORKDAYS(F230,G230,'Danh sách ngày nghỉ lễ'!$B$5:$B$25)-1-3)&gt;0,"Quá hạn"&amp;" "&amp;(NETWORKDAYS(F230,G230,'Danh sách ngày nghỉ lễ'!$B$5:$B$25)-1-3)&amp;" "&amp;"ngày",""))</f>
        <v/>
      </c>
      <c r="Y230" s="72" t="str">
        <f>IF(S230=0,"",IF(P230="Chuyển","",IF(P230="Nhập vào vụ khác","",IF(P230="CN đối thoại","",IF(P230="CN tại tòa","",IF(P230="BA",IF((S230-R230)&gt;7,"Quá hạn"&amp;" "&amp;(S230-R230-7)&amp;" "&amp;"ngày",""),IF((NETWORKDAYS(R230,S230,'Danh sách ngày nghỉ lễ'!$B$5:$B$25)-VLOOKUP(P230,'Thời hạn'!$D$17:$E$20,2,0))&gt;1,"Quá hạn"&amp;" "&amp;(NETWORKDAYS(R230,S230,'Danh sách ngày nghỉ lễ'!$B$5:$B$25)-1-VLOOKUP(P230,'Thời hạn'!$D$17:$E$20,2,0))&amp;" "&amp;"ngày","")))))))</f>
        <v/>
      </c>
      <c r="Z230" s="23">
        <v>1</v>
      </c>
    </row>
    <row r="231" spans="1:26" x14ac:dyDescent="0.3">
      <c r="A231" s="24">
        <v>1</v>
      </c>
      <c r="B231" s="39"/>
      <c r="C231" s="33"/>
      <c r="D231" s="25"/>
      <c r="E231" s="25"/>
      <c r="F231" s="34"/>
      <c r="G231" s="34"/>
      <c r="H231" s="25"/>
      <c r="I231" s="70" t="str">
        <f>IF(C231="Trả lại đơn","",IF(C231="Hòa giải thành","",IF(F231=0,"",EDATE(F231,VLOOKUP(C231,'Thời hạn'!$G$1:$H$12,2,0))+H231)))</f>
        <v/>
      </c>
      <c r="J231" s="59" t="str">
        <f t="shared" ca="1" si="4"/>
        <v/>
      </c>
      <c r="K231" s="25"/>
      <c r="L231" s="129"/>
      <c r="M231" s="130"/>
      <c r="N231" s="35"/>
      <c r="O231" s="34"/>
      <c r="P231" s="25"/>
      <c r="Q231" s="25"/>
      <c r="R231" s="34"/>
      <c r="S231" s="34"/>
      <c r="T231" s="137"/>
      <c r="U231" s="137"/>
      <c r="V231" s="36"/>
      <c r="W231" s="37"/>
      <c r="X231" s="71" t="str">
        <f>IF(C231="Trả lại đơn","",IF((NETWORKDAYS(F231,G231,'Danh sách ngày nghỉ lễ'!$B$5:$B$25)-1-3)&gt;0,"Quá hạn"&amp;" "&amp;(NETWORKDAYS(F231,G231,'Danh sách ngày nghỉ lễ'!$B$5:$B$25)-1-3)&amp;" "&amp;"ngày",""))</f>
        <v/>
      </c>
      <c r="Y231" s="72" t="str">
        <f>IF(S231=0,"",IF(P231="Chuyển","",IF(P231="Nhập vào vụ khác","",IF(P231="CN đối thoại","",IF(P231="CN tại tòa","",IF(P231="BA",IF((S231-R231)&gt;7,"Quá hạn"&amp;" "&amp;(S231-R231-7)&amp;" "&amp;"ngày",""),IF((NETWORKDAYS(R231,S231,'Danh sách ngày nghỉ lễ'!$B$5:$B$25)-VLOOKUP(P231,'Thời hạn'!$D$17:$E$20,2,0))&gt;1,"Quá hạn"&amp;" "&amp;(NETWORKDAYS(R231,S231,'Danh sách ngày nghỉ lễ'!$B$5:$B$25)-1-VLOOKUP(P231,'Thời hạn'!$D$17:$E$20,2,0))&amp;" "&amp;"ngày","")))))))</f>
        <v/>
      </c>
      <c r="Z231" s="23">
        <v>1</v>
      </c>
    </row>
    <row r="232" spans="1:26" x14ac:dyDescent="0.3">
      <c r="A232" s="24">
        <v>1</v>
      </c>
      <c r="B232" s="39"/>
      <c r="C232" s="33"/>
      <c r="D232" s="25"/>
      <c r="E232" s="25"/>
      <c r="F232" s="34"/>
      <c r="G232" s="34"/>
      <c r="H232" s="25"/>
      <c r="I232" s="70" t="str">
        <f>IF(C232="Trả lại đơn","",IF(C232="Hòa giải thành","",IF(F232=0,"",EDATE(F232,VLOOKUP(C232,'Thời hạn'!$G$1:$H$12,2,0))+H232)))</f>
        <v/>
      </c>
      <c r="J232" s="59" t="str">
        <f t="shared" ca="1" si="4"/>
        <v/>
      </c>
      <c r="K232" s="25"/>
      <c r="L232" s="129"/>
      <c r="M232" s="130"/>
      <c r="N232" s="35"/>
      <c r="O232" s="34"/>
      <c r="P232" s="25"/>
      <c r="Q232" s="25"/>
      <c r="R232" s="34"/>
      <c r="S232" s="34"/>
      <c r="T232" s="137"/>
      <c r="U232" s="137"/>
      <c r="V232" s="36"/>
      <c r="W232" s="37"/>
      <c r="X232" s="71" t="str">
        <f>IF(C232="Trả lại đơn","",IF((NETWORKDAYS(F232,G232,'Danh sách ngày nghỉ lễ'!$B$5:$B$25)-1-3)&gt;0,"Quá hạn"&amp;" "&amp;(NETWORKDAYS(F232,G232,'Danh sách ngày nghỉ lễ'!$B$5:$B$25)-1-3)&amp;" "&amp;"ngày",""))</f>
        <v/>
      </c>
      <c r="Y232" s="72" t="str">
        <f>IF(S232=0,"",IF(P232="Chuyển","",IF(P232="Nhập vào vụ khác","",IF(P232="CN đối thoại","",IF(P232="CN tại tòa","",IF(P232="BA",IF((S232-R232)&gt;7,"Quá hạn"&amp;" "&amp;(S232-R232-7)&amp;" "&amp;"ngày",""),IF((NETWORKDAYS(R232,S232,'Danh sách ngày nghỉ lễ'!$B$5:$B$25)-VLOOKUP(P232,'Thời hạn'!$D$17:$E$20,2,0))&gt;1,"Quá hạn"&amp;" "&amp;(NETWORKDAYS(R232,S232,'Danh sách ngày nghỉ lễ'!$B$5:$B$25)-1-VLOOKUP(P232,'Thời hạn'!$D$17:$E$20,2,0))&amp;" "&amp;"ngày","")))))))</f>
        <v/>
      </c>
      <c r="Z232" s="23">
        <v>1</v>
      </c>
    </row>
    <row r="233" spans="1:26" x14ac:dyDescent="0.3">
      <c r="A233" s="24">
        <v>1</v>
      </c>
      <c r="B233" s="39"/>
      <c r="C233" s="33"/>
      <c r="D233" s="25"/>
      <c r="E233" s="25"/>
      <c r="F233" s="34"/>
      <c r="G233" s="34"/>
      <c r="H233" s="25"/>
      <c r="I233" s="70" t="str">
        <f>IF(C233="Trả lại đơn","",IF(C233="Hòa giải thành","",IF(F233=0,"",EDATE(F233,VLOOKUP(C233,'Thời hạn'!$G$1:$H$12,2,0))+H233)))</f>
        <v/>
      </c>
      <c r="J233" s="59" t="str">
        <f t="shared" ca="1" si="4"/>
        <v/>
      </c>
      <c r="K233" s="25"/>
      <c r="L233" s="129"/>
      <c r="M233" s="130"/>
      <c r="N233" s="35"/>
      <c r="O233" s="34"/>
      <c r="P233" s="25"/>
      <c r="Q233" s="25"/>
      <c r="R233" s="34"/>
      <c r="S233" s="34"/>
      <c r="T233" s="137"/>
      <c r="U233" s="137"/>
      <c r="V233" s="36"/>
      <c r="W233" s="37"/>
      <c r="X233" s="71" t="str">
        <f>IF(C233="Trả lại đơn","",IF((NETWORKDAYS(F233,G233,'Danh sách ngày nghỉ lễ'!$B$5:$B$25)-1-3)&gt;0,"Quá hạn"&amp;" "&amp;(NETWORKDAYS(F233,G233,'Danh sách ngày nghỉ lễ'!$B$5:$B$25)-1-3)&amp;" "&amp;"ngày",""))</f>
        <v/>
      </c>
      <c r="Y233" s="72" t="str">
        <f>IF(S233=0,"",IF(P233="Chuyển","",IF(P233="Nhập vào vụ khác","",IF(P233="CN đối thoại","",IF(P233="CN tại tòa","",IF(P233="BA",IF((S233-R233)&gt;7,"Quá hạn"&amp;" "&amp;(S233-R233-7)&amp;" "&amp;"ngày",""),IF((NETWORKDAYS(R233,S233,'Danh sách ngày nghỉ lễ'!$B$5:$B$25)-VLOOKUP(P233,'Thời hạn'!$D$17:$E$20,2,0))&gt;1,"Quá hạn"&amp;" "&amp;(NETWORKDAYS(R233,S233,'Danh sách ngày nghỉ lễ'!$B$5:$B$25)-1-VLOOKUP(P233,'Thời hạn'!$D$17:$E$20,2,0))&amp;" "&amp;"ngày","")))))))</f>
        <v/>
      </c>
      <c r="Z233" s="23">
        <v>1</v>
      </c>
    </row>
    <row r="234" spans="1:26" x14ac:dyDescent="0.3">
      <c r="A234" s="24">
        <v>1</v>
      </c>
      <c r="B234" s="39"/>
      <c r="C234" s="33"/>
      <c r="D234" s="25"/>
      <c r="E234" s="25"/>
      <c r="F234" s="34"/>
      <c r="G234" s="34"/>
      <c r="H234" s="25"/>
      <c r="I234" s="70" t="str">
        <f>IF(C234="Trả lại đơn","",IF(C234="Hòa giải thành","",IF(F234=0,"",EDATE(F234,VLOOKUP(C234,'Thời hạn'!$G$1:$H$12,2,0))+H234)))</f>
        <v/>
      </c>
      <c r="J234" s="59" t="str">
        <f t="shared" ca="1" si="4"/>
        <v/>
      </c>
      <c r="K234" s="25"/>
      <c r="L234" s="129"/>
      <c r="M234" s="130"/>
      <c r="N234" s="35"/>
      <c r="O234" s="34"/>
      <c r="P234" s="25"/>
      <c r="Q234" s="25"/>
      <c r="R234" s="34"/>
      <c r="S234" s="34"/>
      <c r="T234" s="137"/>
      <c r="U234" s="137"/>
      <c r="V234" s="36"/>
      <c r="W234" s="37"/>
      <c r="X234" s="71" t="str">
        <f>IF(C234="Trả lại đơn","",IF((NETWORKDAYS(F234,G234,'Danh sách ngày nghỉ lễ'!$B$5:$B$25)-1-3)&gt;0,"Quá hạn"&amp;" "&amp;(NETWORKDAYS(F234,G234,'Danh sách ngày nghỉ lễ'!$B$5:$B$25)-1-3)&amp;" "&amp;"ngày",""))</f>
        <v/>
      </c>
      <c r="Y234" s="72" t="str">
        <f>IF(S234=0,"",IF(P234="Chuyển","",IF(P234="Nhập vào vụ khác","",IF(P234="CN đối thoại","",IF(P234="CN tại tòa","",IF(P234="BA",IF((S234-R234)&gt;7,"Quá hạn"&amp;" "&amp;(S234-R234-7)&amp;" "&amp;"ngày",""),IF((NETWORKDAYS(R234,S234,'Danh sách ngày nghỉ lễ'!$B$5:$B$25)-VLOOKUP(P234,'Thời hạn'!$D$17:$E$20,2,0))&gt;1,"Quá hạn"&amp;" "&amp;(NETWORKDAYS(R234,S234,'Danh sách ngày nghỉ lễ'!$B$5:$B$25)-1-VLOOKUP(P234,'Thời hạn'!$D$17:$E$20,2,0))&amp;" "&amp;"ngày","")))))))</f>
        <v/>
      </c>
      <c r="Z234" s="23">
        <v>1</v>
      </c>
    </row>
    <row r="235" spans="1:26" x14ac:dyDescent="0.3">
      <c r="A235" s="24">
        <v>1</v>
      </c>
      <c r="B235" s="39"/>
      <c r="C235" s="33"/>
      <c r="D235" s="25"/>
      <c r="E235" s="25"/>
      <c r="F235" s="34"/>
      <c r="G235" s="34"/>
      <c r="H235" s="25"/>
      <c r="I235" s="70" t="str">
        <f>IF(C235="Trả lại đơn","",IF(C235="Hòa giải thành","",IF(F235=0,"",EDATE(F235,VLOOKUP(C235,'Thời hạn'!$G$1:$H$12,2,0))+H235)))</f>
        <v/>
      </c>
      <c r="J235" s="59" t="str">
        <f t="shared" ca="1" si="4"/>
        <v/>
      </c>
      <c r="K235" s="25"/>
      <c r="L235" s="129"/>
      <c r="M235" s="130"/>
      <c r="N235" s="35"/>
      <c r="O235" s="34"/>
      <c r="P235" s="25"/>
      <c r="Q235" s="25"/>
      <c r="R235" s="34"/>
      <c r="S235" s="34"/>
      <c r="T235" s="137"/>
      <c r="U235" s="137"/>
      <c r="V235" s="36"/>
      <c r="W235" s="37"/>
      <c r="X235" s="71" t="str">
        <f>IF(C235="Trả lại đơn","",IF((NETWORKDAYS(F235,G235,'Danh sách ngày nghỉ lễ'!$B$5:$B$25)-1-3)&gt;0,"Quá hạn"&amp;" "&amp;(NETWORKDAYS(F235,G235,'Danh sách ngày nghỉ lễ'!$B$5:$B$25)-1-3)&amp;" "&amp;"ngày",""))</f>
        <v/>
      </c>
      <c r="Y235" s="72" t="str">
        <f>IF(S235=0,"",IF(P235="Chuyển","",IF(P235="Nhập vào vụ khác","",IF(P235="CN đối thoại","",IF(P235="CN tại tòa","",IF(P235="BA",IF((S235-R235)&gt;7,"Quá hạn"&amp;" "&amp;(S235-R235-7)&amp;" "&amp;"ngày",""),IF((NETWORKDAYS(R235,S235,'Danh sách ngày nghỉ lễ'!$B$5:$B$25)-VLOOKUP(P235,'Thời hạn'!$D$17:$E$20,2,0))&gt;1,"Quá hạn"&amp;" "&amp;(NETWORKDAYS(R235,S235,'Danh sách ngày nghỉ lễ'!$B$5:$B$25)-1-VLOOKUP(P235,'Thời hạn'!$D$17:$E$20,2,0))&amp;" "&amp;"ngày","")))))))</f>
        <v/>
      </c>
      <c r="Z235" s="23">
        <v>1</v>
      </c>
    </row>
    <row r="236" spans="1:26" x14ac:dyDescent="0.3">
      <c r="A236" s="24">
        <v>1</v>
      </c>
      <c r="B236" s="39"/>
      <c r="C236" s="33"/>
      <c r="D236" s="25"/>
      <c r="E236" s="25"/>
      <c r="F236" s="34"/>
      <c r="G236" s="34"/>
      <c r="H236" s="25"/>
      <c r="I236" s="70" t="str">
        <f>IF(C236="Trả lại đơn","",IF(C236="Hòa giải thành","",IF(F236=0,"",EDATE(F236,VLOOKUP(C236,'Thời hạn'!$G$1:$H$12,2,0))+H236)))</f>
        <v/>
      </c>
      <c r="J236" s="59" t="str">
        <f t="shared" ca="1" si="4"/>
        <v/>
      </c>
      <c r="K236" s="25"/>
      <c r="L236" s="129"/>
      <c r="M236" s="130"/>
      <c r="N236" s="35"/>
      <c r="O236" s="34"/>
      <c r="P236" s="25"/>
      <c r="Q236" s="25"/>
      <c r="R236" s="34"/>
      <c r="S236" s="34"/>
      <c r="T236" s="137"/>
      <c r="U236" s="137"/>
      <c r="V236" s="36"/>
      <c r="W236" s="37"/>
      <c r="X236" s="71" t="str">
        <f>IF(C236="Trả lại đơn","",IF((NETWORKDAYS(F236,G236,'Danh sách ngày nghỉ lễ'!$B$5:$B$25)-1-3)&gt;0,"Quá hạn"&amp;" "&amp;(NETWORKDAYS(F236,G236,'Danh sách ngày nghỉ lễ'!$B$5:$B$25)-1-3)&amp;" "&amp;"ngày",""))</f>
        <v/>
      </c>
      <c r="Y236" s="72" t="str">
        <f>IF(S236=0,"",IF(P236="Chuyển","",IF(P236="Nhập vào vụ khác","",IF(P236="CN đối thoại","",IF(P236="CN tại tòa","",IF(P236="BA",IF((S236-R236)&gt;7,"Quá hạn"&amp;" "&amp;(S236-R236-7)&amp;" "&amp;"ngày",""),IF((NETWORKDAYS(R236,S236,'Danh sách ngày nghỉ lễ'!$B$5:$B$25)-VLOOKUP(P236,'Thời hạn'!$D$17:$E$20,2,0))&gt;1,"Quá hạn"&amp;" "&amp;(NETWORKDAYS(R236,S236,'Danh sách ngày nghỉ lễ'!$B$5:$B$25)-1-VLOOKUP(P236,'Thời hạn'!$D$17:$E$20,2,0))&amp;" "&amp;"ngày","")))))))</f>
        <v/>
      </c>
      <c r="Z236" s="23">
        <v>1</v>
      </c>
    </row>
    <row r="237" spans="1:26" x14ac:dyDescent="0.3">
      <c r="A237" s="24">
        <v>1</v>
      </c>
      <c r="B237" s="39"/>
      <c r="C237" s="33"/>
      <c r="D237" s="25"/>
      <c r="E237" s="25"/>
      <c r="F237" s="34"/>
      <c r="G237" s="34"/>
      <c r="H237" s="25"/>
      <c r="I237" s="70" t="str">
        <f>IF(C237="Trả lại đơn","",IF(C237="Hòa giải thành","",IF(F237=0,"",EDATE(F237,VLOOKUP(C237,'Thời hạn'!$G$1:$H$12,2,0))+H237)))</f>
        <v/>
      </c>
      <c r="J237" s="59" t="str">
        <f t="shared" ca="1" si="4"/>
        <v/>
      </c>
      <c r="K237" s="25"/>
      <c r="L237" s="129"/>
      <c r="M237" s="130"/>
      <c r="N237" s="35"/>
      <c r="O237" s="34"/>
      <c r="P237" s="25"/>
      <c r="Q237" s="25"/>
      <c r="R237" s="34"/>
      <c r="S237" s="34"/>
      <c r="T237" s="137"/>
      <c r="U237" s="137"/>
      <c r="V237" s="36"/>
      <c r="W237" s="37"/>
      <c r="X237" s="71" t="str">
        <f>IF(C237="Trả lại đơn","",IF((NETWORKDAYS(F237,G237,'Danh sách ngày nghỉ lễ'!$B$5:$B$25)-1-3)&gt;0,"Quá hạn"&amp;" "&amp;(NETWORKDAYS(F237,G237,'Danh sách ngày nghỉ lễ'!$B$5:$B$25)-1-3)&amp;" "&amp;"ngày",""))</f>
        <v/>
      </c>
      <c r="Y237" s="72" t="str">
        <f>IF(S237=0,"",IF(P237="Chuyển","",IF(P237="Nhập vào vụ khác","",IF(P237="CN đối thoại","",IF(P237="CN tại tòa","",IF(P237="BA",IF((S237-R237)&gt;7,"Quá hạn"&amp;" "&amp;(S237-R237-7)&amp;" "&amp;"ngày",""),IF((NETWORKDAYS(R237,S237,'Danh sách ngày nghỉ lễ'!$B$5:$B$25)-VLOOKUP(P237,'Thời hạn'!$D$17:$E$20,2,0))&gt;1,"Quá hạn"&amp;" "&amp;(NETWORKDAYS(R237,S237,'Danh sách ngày nghỉ lễ'!$B$5:$B$25)-1-VLOOKUP(P237,'Thời hạn'!$D$17:$E$20,2,0))&amp;" "&amp;"ngày","")))))))</f>
        <v/>
      </c>
      <c r="Z237" s="23">
        <v>1</v>
      </c>
    </row>
    <row r="238" spans="1:26" x14ac:dyDescent="0.3">
      <c r="A238" s="24">
        <v>1</v>
      </c>
      <c r="B238" s="39"/>
      <c r="C238" s="33"/>
      <c r="D238" s="25"/>
      <c r="E238" s="25"/>
      <c r="F238" s="34"/>
      <c r="G238" s="34"/>
      <c r="H238" s="25"/>
      <c r="I238" s="70" t="str">
        <f>IF(C238="Trả lại đơn","",IF(C238="Hòa giải thành","",IF(F238=0,"",EDATE(F238,VLOOKUP(C238,'Thời hạn'!$G$1:$H$12,2,0))+H238)))</f>
        <v/>
      </c>
      <c r="J238" s="59" t="str">
        <f t="shared" ca="1" si="4"/>
        <v/>
      </c>
      <c r="K238" s="25"/>
      <c r="L238" s="129"/>
      <c r="M238" s="130"/>
      <c r="N238" s="35"/>
      <c r="O238" s="34"/>
      <c r="P238" s="25"/>
      <c r="Q238" s="25"/>
      <c r="R238" s="34"/>
      <c r="S238" s="34"/>
      <c r="T238" s="137"/>
      <c r="U238" s="137"/>
      <c r="V238" s="36"/>
      <c r="W238" s="37"/>
      <c r="X238" s="71" t="str">
        <f>IF(C238="Trả lại đơn","",IF((NETWORKDAYS(F238,G238,'Danh sách ngày nghỉ lễ'!$B$5:$B$25)-1-3)&gt;0,"Quá hạn"&amp;" "&amp;(NETWORKDAYS(F238,G238,'Danh sách ngày nghỉ lễ'!$B$5:$B$25)-1-3)&amp;" "&amp;"ngày",""))</f>
        <v/>
      </c>
      <c r="Y238" s="72" t="str">
        <f>IF(S238=0,"",IF(P238="Chuyển","",IF(P238="Nhập vào vụ khác","",IF(P238="CN đối thoại","",IF(P238="CN tại tòa","",IF(P238="BA",IF((S238-R238)&gt;7,"Quá hạn"&amp;" "&amp;(S238-R238-7)&amp;" "&amp;"ngày",""),IF((NETWORKDAYS(R238,S238,'Danh sách ngày nghỉ lễ'!$B$5:$B$25)-VLOOKUP(P238,'Thời hạn'!$D$17:$E$20,2,0))&gt;1,"Quá hạn"&amp;" "&amp;(NETWORKDAYS(R238,S238,'Danh sách ngày nghỉ lễ'!$B$5:$B$25)-1-VLOOKUP(P238,'Thời hạn'!$D$17:$E$20,2,0))&amp;" "&amp;"ngày","")))))))</f>
        <v/>
      </c>
      <c r="Z238" s="23">
        <v>1</v>
      </c>
    </row>
    <row r="239" spans="1:26" x14ac:dyDescent="0.3">
      <c r="A239" s="24">
        <v>1</v>
      </c>
      <c r="B239" s="39"/>
      <c r="C239" s="33"/>
      <c r="D239" s="25"/>
      <c r="E239" s="25"/>
      <c r="F239" s="34"/>
      <c r="G239" s="34"/>
      <c r="H239" s="25"/>
      <c r="I239" s="70" t="str">
        <f>IF(C239="Trả lại đơn","",IF(C239="Hòa giải thành","",IF(F239=0,"",EDATE(F239,VLOOKUP(C239,'Thời hạn'!$G$1:$H$12,2,0))+H239)))</f>
        <v/>
      </c>
      <c r="J239" s="59" t="str">
        <f t="shared" ca="1" si="4"/>
        <v/>
      </c>
      <c r="K239" s="25"/>
      <c r="L239" s="129"/>
      <c r="M239" s="130"/>
      <c r="N239" s="35"/>
      <c r="O239" s="34"/>
      <c r="P239" s="25"/>
      <c r="Q239" s="25"/>
      <c r="R239" s="34"/>
      <c r="S239" s="34"/>
      <c r="T239" s="137"/>
      <c r="U239" s="137"/>
      <c r="V239" s="36"/>
      <c r="W239" s="37"/>
      <c r="X239" s="71" t="str">
        <f>IF(C239="Trả lại đơn","",IF((NETWORKDAYS(F239,G239,'Danh sách ngày nghỉ lễ'!$B$5:$B$25)-1-3)&gt;0,"Quá hạn"&amp;" "&amp;(NETWORKDAYS(F239,G239,'Danh sách ngày nghỉ lễ'!$B$5:$B$25)-1-3)&amp;" "&amp;"ngày",""))</f>
        <v/>
      </c>
      <c r="Y239" s="72" t="str">
        <f>IF(S239=0,"",IF(P239="Chuyển","",IF(P239="Nhập vào vụ khác","",IF(P239="CN đối thoại","",IF(P239="CN tại tòa","",IF(P239="BA",IF((S239-R239)&gt;7,"Quá hạn"&amp;" "&amp;(S239-R239-7)&amp;" "&amp;"ngày",""),IF((NETWORKDAYS(R239,S239,'Danh sách ngày nghỉ lễ'!$B$5:$B$25)-VLOOKUP(P239,'Thời hạn'!$D$17:$E$20,2,0))&gt;1,"Quá hạn"&amp;" "&amp;(NETWORKDAYS(R239,S239,'Danh sách ngày nghỉ lễ'!$B$5:$B$25)-1-VLOOKUP(P239,'Thời hạn'!$D$17:$E$20,2,0))&amp;" "&amp;"ngày","")))))))</f>
        <v/>
      </c>
      <c r="Z239" s="23">
        <v>1</v>
      </c>
    </row>
    <row r="240" spans="1:26" x14ac:dyDescent="0.3">
      <c r="A240" s="24">
        <v>1</v>
      </c>
      <c r="B240" s="39"/>
      <c r="C240" s="33"/>
      <c r="D240" s="25"/>
      <c r="E240" s="25"/>
      <c r="F240" s="34"/>
      <c r="G240" s="34"/>
      <c r="H240" s="25"/>
      <c r="I240" s="70" t="str">
        <f>IF(C240="Trả lại đơn","",IF(C240="Hòa giải thành","",IF(F240=0,"",EDATE(F240,VLOOKUP(C240,'Thời hạn'!$G$1:$H$12,2,0))+H240)))</f>
        <v/>
      </c>
      <c r="J240" s="59" t="str">
        <f t="shared" ca="1" si="4"/>
        <v/>
      </c>
      <c r="K240" s="25"/>
      <c r="L240" s="129"/>
      <c r="M240" s="130"/>
      <c r="N240" s="35"/>
      <c r="O240" s="34"/>
      <c r="P240" s="25"/>
      <c r="Q240" s="25"/>
      <c r="R240" s="34"/>
      <c r="S240" s="34"/>
      <c r="T240" s="137"/>
      <c r="U240" s="137"/>
      <c r="V240" s="36"/>
      <c r="W240" s="37"/>
      <c r="X240" s="71" t="str">
        <f>IF(C240="Trả lại đơn","",IF((NETWORKDAYS(F240,G240,'Danh sách ngày nghỉ lễ'!$B$5:$B$25)-1-3)&gt;0,"Quá hạn"&amp;" "&amp;(NETWORKDAYS(F240,G240,'Danh sách ngày nghỉ lễ'!$B$5:$B$25)-1-3)&amp;" "&amp;"ngày",""))</f>
        <v/>
      </c>
      <c r="Y240" s="72" t="str">
        <f>IF(S240=0,"",IF(P240="Chuyển","",IF(P240="Nhập vào vụ khác","",IF(P240="CN đối thoại","",IF(P240="CN tại tòa","",IF(P240="BA",IF((S240-R240)&gt;7,"Quá hạn"&amp;" "&amp;(S240-R240-7)&amp;" "&amp;"ngày",""),IF((NETWORKDAYS(R240,S240,'Danh sách ngày nghỉ lễ'!$B$5:$B$25)-VLOOKUP(P240,'Thời hạn'!$D$17:$E$20,2,0))&gt;1,"Quá hạn"&amp;" "&amp;(NETWORKDAYS(R240,S240,'Danh sách ngày nghỉ lễ'!$B$5:$B$25)-1-VLOOKUP(P240,'Thời hạn'!$D$17:$E$20,2,0))&amp;" "&amp;"ngày","")))))))</f>
        <v/>
      </c>
      <c r="Z240" s="23">
        <v>1</v>
      </c>
    </row>
    <row r="241" spans="1:26" x14ac:dyDescent="0.3">
      <c r="A241" s="24">
        <v>1</v>
      </c>
      <c r="B241" s="39"/>
      <c r="C241" s="33"/>
      <c r="D241" s="25"/>
      <c r="E241" s="25"/>
      <c r="F241" s="34"/>
      <c r="G241" s="34"/>
      <c r="H241" s="25"/>
      <c r="I241" s="70" t="str">
        <f>IF(C241="Trả lại đơn","",IF(C241="Hòa giải thành","",IF(F241=0,"",EDATE(F241,VLOOKUP(C241,'Thời hạn'!$G$1:$H$12,2,0))+H241)))</f>
        <v/>
      </c>
      <c r="J241" s="59" t="str">
        <f t="shared" ca="1" si="4"/>
        <v/>
      </c>
      <c r="K241" s="25"/>
      <c r="L241" s="129"/>
      <c r="M241" s="130"/>
      <c r="N241" s="35"/>
      <c r="O241" s="34"/>
      <c r="P241" s="25"/>
      <c r="Q241" s="25"/>
      <c r="R241" s="34"/>
      <c r="S241" s="34"/>
      <c r="T241" s="137"/>
      <c r="U241" s="137"/>
      <c r="V241" s="36"/>
      <c r="W241" s="37"/>
      <c r="X241" s="71" t="str">
        <f>IF(C241="Trả lại đơn","",IF((NETWORKDAYS(F241,G241,'Danh sách ngày nghỉ lễ'!$B$5:$B$25)-1-3)&gt;0,"Quá hạn"&amp;" "&amp;(NETWORKDAYS(F241,G241,'Danh sách ngày nghỉ lễ'!$B$5:$B$25)-1-3)&amp;" "&amp;"ngày",""))</f>
        <v/>
      </c>
      <c r="Y241" s="72" t="str">
        <f>IF(S241=0,"",IF(P241="Chuyển","",IF(P241="Nhập vào vụ khác","",IF(P241="CN đối thoại","",IF(P241="CN tại tòa","",IF(P241="BA",IF((S241-R241)&gt;7,"Quá hạn"&amp;" "&amp;(S241-R241-7)&amp;" "&amp;"ngày",""),IF((NETWORKDAYS(R241,S241,'Danh sách ngày nghỉ lễ'!$B$5:$B$25)-VLOOKUP(P241,'Thời hạn'!$D$17:$E$20,2,0))&gt;1,"Quá hạn"&amp;" "&amp;(NETWORKDAYS(R241,S241,'Danh sách ngày nghỉ lễ'!$B$5:$B$25)-1-VLOOKUP(P241,'Thời hạn'!$D$17:$E$20,2,0))&amp;" "&amp;"ngày","")))))))</f>
        <v/>
      </c>
      <c r="Z241" s="23">
        <v>1</v>
      </c>
    </row>
    <row r="242" spans="1:26" x14ac:dyDescent="0.3">
      <c r="A242" s="24">
        <v>1</v>
      </c>
      <c r="B242" s="39"/>
      <c r="C242" s="33"/>
      <c r="D242" s="25"/>
      <c r="E242" s="25"/>
      <c r="F242" s="34"/>
      <c r="G242" s="34"/>
      <c r="H242" s="25"/>
      <c r="I242" s="70" t="str">
        <f>IF(C242="Trả lại đơn","",IF(C242="Hòa giải thành","",IF(F242=0,"",EDATE(F242,VLOOKUP(C242,'Thời hạn'!$G$1:$H$12,2,0))+H242)))</f>
        <v/>
      </c>
      <c r="J242" s="59" t="str">
        <f t="shared" ca="1" si="4"/>
        <v/>
      </c>
      <c r="K242" s="25"/>
      <c r="L242" s="129"/>
      <c r="M242" s="130"/>
      <c r="N242" s="35"/>
      <c r="O242" s="34"/>
      <c r="P242" s="25"/>
      <c r="Q242" s="25"/>
      <c r="R242" s="34"/>
      <c r="S242" s="34"/>
      <c r="T242" s="137"/>
      <c r="U242" s="137"/>
      <c r="V242" s="36"/>
      <c r="W242" s="37"/>
      <c r="X242" s="71" t="str">
        <f>IF(C242="Trả lại đơn","",IF((NETWORKDAYS(F242,G242,'Danh sách ngày nghỉ lễ'!$B$5:$B$25)-1-3)&gt;0,"Quá hạn"&amp;" "&amp;(NETWORKDAYS(F242,G242,'Danh sách ngày nghỉ lễ'!$B$5:$B$25)-1-3)&amp;" "&amp;"ngày",""))</f>
        <v/>
      </c>
      <c r="Y242" s="72" t="str">
        <f>IF(S242=0,"",IF(P242="Chuyển","",IF(P242="Nhập vào vụ khác","",IF(P242="CN đối thoại","",IF(P242="CN tại tòa","",IF(P242="BA",IF((S242-R242)&gt;7,"Quá hạn"&amp;" "&amp;(S242-R242-7)&amp;" "&amp;"ngày",""),IF((NETWORKDAYS(R242,S242,'Danh sách ngày nghỉ lễ'!$B$5:$B$25)-VLOOKUP(P242,'Thời hạn'!$D$17:$E$20,2,0))&gt;1,"Quá hạn"&amp;" "&amp;(NETWORKDAYS(R242,S242,'Danh sách ngày nghỉ lễ'!$B$5:$B$25)-1-VLOOKUP(P242,'Thời hạn'!$D$17:$E$20,2,0))&amp;" "&amp;"ngày","")))))))</f>
        <v/>
      </c>
      <c r="Z242" s="23">
        <v>1</v>
      </c>
    </row>
    <row r="243" spans="1:26" x14ac:dyDescent="0.3">
      <c r="A243" s="24">
        <v>1</v>
      </c>
      <c r="B243" s="39"/>
      <c r="C243" s="33"/>
      <c r="D243" s="25"/>
      <c r="E243" s="25"/>
      <c r="F243" s="34"/>
      <c r="G243" s="34"/>
      <c r="H243" s="25"/>
      <c r="I243" s="70" t="str">
        <f>IF(C243="Trả lại đơn","",IF(C243="Hòa giải thành","",IF(F243=0,"",EDATE(F243,VLOOKUP(C243,'Thời hạn'!$G$1:$H$12,2,0))+H243)))</f>
        <v/>
      </c>
      <c r="J243" s="59" t="str">
        <f t="shared" ca="1" si="4"/>
        <v/>
      </c>
      <c r="K243" s="25"/>
      <c r="L243" s="129"/>
      <c r="M243" s="130"/>
      <c r="N243" s="35"/>
      <c r="O243" s="34"/>
      <c r="P243" s="25"/>
      <c r="Q243" s="25"/>
      <c r="R243" s="34"/>
      <c r="S243" s="34"/>
      <c r="T243" s="137"/>
      <c r="U243" s="137"/>
      <c r="V243" s="36"/>
      <c r="W243" s="37"/>
      <c r="X243" s="71" t="str">
        <f>IF(C243="Trả lại đơn","",IF((NETWORKDAYS(F243,G243,'Danh sách ngày nghỉ lễ'!$B$5:$B$25)-1-3)&gt;0,"Quá hạn"&amp;" "&amp;(NETWORKDAYS(F243,G243,'Danh sách ngày nghỉ lễ'!$B$5:$B$25)-1-3)&amp;" "&amp;"ngày",""))</f>
        <v/>
      </c>
      <c r="Y243" s="72" t="str">
        <f>IF(S243=0,"",IF(P243="Chuyển","",IF(P243="Nhập vào vụ khác","",IF(P243="CN đối thoại","",IF(P243="CN tại tòa","",IF(P243="BA",IF((S243-R243)&gt;7,"Quá hạn"&amp;" "&amp;(S243-R243-7)&amp;" "&amp;"ngày",""),IF((NETWORKDAYS(R243,S243,'Danh sách ngày nghỉ lễ'!$B$5:$B$25)-VLOOKUP(P243,'Thời hạn'!$D$17:$E$20,2,0))&gt;1,"Quá hạn"&amp;" "&amp;(NETWORKDAYS(R243,S243,'Danh sách ngày nghỉ lễ'!$B$5:$B$25)-1-VLOOKUP(P243,'Thời hạn'!$D$17:$E$20,2,0))&amp;" "&amp;"ngày","")))))))</f>
        <v/>
      </c>
      <c r="Z243" s="23">
        <v>1</v>
      </c>
    </row>
    <row r="244" spans="1:26" x14ac:dyDescent="0.3">
      <c r="A244" s="24">
        <v>1</v>
      </c>
      <c r="B244" s="39"/>
      <c r="C244" s="33"/>
      <c r="D244" s="25"/>
      <c r="E244" s="25"/>
      <c r="F244" s="34"/>
      <c r="G244" s="34"/>
      <c r="H244" s="25"/>
      <c r="I244" s="70" t="str">
        <f>IF(C244="Trả lại đơn","",IF(C244="Hòa giải thành","",IF(F244=0,"",EDATE(F244,VLOOKUP(C244,'Thời hạn'!$G$1:$H$12,2,0))+H244)))</f>
        <v/>
      </c>
      <c r="J244" s="59" t="str">
        <f t="shared" ca="1" si="4"/>
        <v/>
      </c>
      <c r="K244" s="25"/>
      <c r="L244" s="129"/>
      <c r="M244" s="130"/>
      <c r="N244" s="35"/>
      <c r="O244" s="34"/>
      <c r="P244" s="25"/>
      <c r="Q244" s="25"/>
      <c r="R244" s="34"/>
      <c r="S244" s="34"/>
      <c r="T244" s="137"/>
      <c r="U244" s="137"/>
      <c r="V244" s="36"/>
      <c r="W244" s="37"/>
      <c r="X244" s="71" t="str">
        <f>IF(C244="Trả lại đơn","",IF((NETWORKDAYS(F244,G244,'Danh sách ngày nghỉ lễ'!$B$5:$B$25)-1-3)&gt;0,"Quá hạn"&amp;" "&amp;(NETWORKDAYS(F244,G244,'Danh sách ngày nghỉ lễ'!$B$5:$B$25)-1-3)&amp;" "&amp;"ngày",""))</f>
        <v/>
      </c>
      <c r="Y244" s="72" t="str">
        <f>IF(S244=0,"",IF(P244="Chuyển","",IF(P244="Nhập vào vụ khác","",IF(P244="CN đối thoại","",IF(P244="CN tại tòa","",IF(P244="BA",IF((S244-R244)&gt;7,"Quá hạn"&amp;" "&amp;(S244-R244-7)&amp;" "&amp;"ngày",""),IF((NETWORKDAYS(R244,S244,'Danh sách ngày nghỉ lễ'!$B$5:$B$25)-VLOOKUP(P244,'Thời hạn'!$D$17:$E$20,2,0))&gt;1,"Quá hạn"&amp;" "&amp;(NETWORKDAYS(R244,S244,'Danh sách ngày nghỉ lễ'!$B$5:$B$25)-1-VLOOKUP(P244,'Thời hạn'!$D$17:$E$20,2,0))&amp;" "&amp;"ngày","")))))))</f>
        <v/>
      </c>
      <c r="Z244" s="23">
        <v>1</v>
      </c>
    </row>
    <row r="245" spans="1:26" x14ac:dyDescent="0.3">
      <c r="A245" s="24">
        <v>1</v>
      </c>
      <c r="B245" s="39"/>
      <c r="C245" s="33"/>
      <c r="D245" s="25"/>
      <c r="E245" s="25"/>
      <c r="F245" s="34"/>
      <c r="G245" s="34"/>
      <c r="H245" s="25"/>
      <c r="I245" s="70" t="str">
        <f>IF(C245="Trả lại đơn","",IF(C245="Hòa giải thành","",IF(F245=0,"",EDATE(F245,VLOOKUP(C245,'Thời hạn'!$G$1:$H$12,2,0))+H245)))</f>
        <v/>
      </c>
      <c r="J245" s="59" t="str">
        <f t="shared" ca="1" si="4"/>
        <v/>
      </c>
      <c r="K245" s="25"/>
      <c r="L245" s="129"/>
      <c r="M245" s="130"/>
      <c r="N245" s="35"/>
      <c r="O245" s="34"/>
      <c r="P245" s="25"/>
      <c r="Q245" s="25"/>
      <c r="R245" s="34"/>
      <c r="S245" s="34"/>
      <c r="T245" s="137"/>
      <c r="U245" s="137"/>
      <c r="V245" s="36"/>
      <c r="W245" s="37"/>
      <c r="X245" s="71" t="str">
        <f>IF(C245="Trả lại đơn","",IF((NETWORKDAYS(F245,G245,'Danh sách ngày nghỉ lễ'!$B$5:$B$25)-1-3)&gt;0,"Quá hạn"&amp;" "&amp;(NETWORKDAYS(F245,G245,'Danh sách ngày nghỉ lễ'!$B$5:$B$25)-1-3)&amp;" "&amp;"ngày",""))</f>
        <v/>
      </c>
      <c r="Y245" s="72" t="str">
        <f>IF(S245=0,"",IF(P245="Chuyển","",IF(P245="Nhập vào vụ khác","",IF(P245="CN đối thoại","",IF(P245="CN tại tòa","",IF(P245="BA",IF((S245-R245)&gt;7,"Quá hạn"&amp;" "&amp;(S245-R245-7)&amp;" "&amp;"ngày",""),IF((NETWORKDAYS(R245,S245,'Danh sách ngày nghỉ lễ'!$B$5:$B$25)-VLOOKUP(P245,'Thời hạn'!$D$17:$E$20,2,0))&gt;1,"Quá hạn"&amp;" "&amp;(NETWORKDAYS(R245,S245,'Danh sách ngày nghỉ lễ'!$B$5:$B$25)-1-VLOOKUP(P245,'Thời hạn'!$D$17:$E$20,2,0))&amp;" "&amp;"ngày","")))))))</f>
        <v/>
      </c>
      <c r="Z245" s="23">
        <v>1</v>
      </c>
    </row>
    <row r="246" spans="1:26" x14ac:dyDescent="0.3">
      <c r="A246" s="24">
        <v>1</v>
      </c>
      <c r="B246" s="39"/>
      <c r="C246" s="33"/>
      <c r="D246" s="25"/>
      <c r="E246" s="25"/>
      <c r="F246" s="34"/>
      <c r="G246" s="34"/>
      <c r="H246" s="25"/>
      <c r="I246" s="70" t="str">
        <f>IF(C246="Trả lại đơn","",IF(C246="Hòa giải thành","",IF(F246=0,"",EDATE(F246,VLOOKUP(C246,'Thời hạn'!$G$1:$H$12,2,0))+H246)))</f>
        <v/>
      </c>
      <c r="J246" s="59" t="str">
        <f t="shared" ca="1" si="4"/>
        <v/>
      </c>
      <c r="K246" s="25"/>
      <c r="L246" s="129"/>
      <c r="M246" s="130"/>
      <c r="N246" s="35"/>
      <c r="O246" s="34"/>
      <c r="P246" s="25"/>
      <c r="Q246" s="25"/>
      <c r="R246" s="34"/>
      <c r="S246" s="34"/>
      <c r="T246" s="137"/>
      <c r="U246" s="137"/>
      <c r="V246" s="36"/>
      <c r="W246" s="37"/>
      <c r="X246" s="71" t="str">
        <f>IF(C246="Trả lại đơn","",IF((NETWORKDAYS(F246,G246,'Danh sách ngày nghỉ lễ'!$B$5:$B$25)-1-3)&gt;0,"Quá hạn"&amp;" "&amp;(NETWORKDAYS(F246,G246,'Danh sách ngày nghỉ lễ'!$B$5:$B$25)-1-3)&amp;" "&amp;"ngày",""))</f>
        <v/>
      </c>
      <c r="Y246" s="72" t="str">
        <f>IF(S246=0,"",IF(P246="Chuyển","",IF(P246="Nhập vào vụ khác","",IF(P246="CN đối thoại","",IF(P246="CN tại tòa","",IF(P246="BA",IF((S246-R246)&gt;7,"Quá hạn"&amp;" "&amp;(S246-R246-7)&amp;" "&amp;"ngày",""),IF((NETWORKDAYS(R246,S246,'Danh sách ngày nghỉ lễ'!$B$5:$B$25)-VLOOKUP(P246,'Thời hạn'!$D$17:$E$20,2,0))&gt;1,"Quá hạn"&amp;" "&amp;(NETWORKDAYS(R246,S246,'Danh sách ngày nghỉ lễ'!$B$5:$B$25)-1-VLOOKUP(P246,'Thời hạn'!$D$17:$E$20,2,0))&amp;" "&amp;"ngày","")))))))</f>
        <v/>
      </c>
      <c r="Z246" s="23">
        <v>1</v>
      </c>
    </row>
    <row r="247" spans="1:26" x14ac:dyDescent="0.3">
      <c r="A247" s="24">
        <v>1</v>
      </c>
      <c r="B247" s="39"/>
      <c r="C247" s="33"/>
      <c r="D247" s="25"/>
      <c r="E247" s="25"/>
      <c r="F247" s="34"/>
      <c r="G247" s="34"/>
      <c r="H247" s="25"/>
      <c r="I247" s="70" t="str">
        <f>IF(C247="Trả lại đơn","",IF(C247="Hòa giải thành","",IF(F247=0,"",EDATE(F247,VLOOKUP(C247,'Thời hạn'!$G$1:$H$12,2,0))+H247)))</f>
        <v/>
      </c>
      <c r="J247" s="59" t="str">
        <f t="shared" ca="1" si="4"/>
        <v/>
      </c>
      <c r="K247" s="25"/>
      <c r="L247" s="129"/>
      <c r="M247" s="130"/>
      <c r="N247" s="35"/>
      <c r="O247" s="34"/>
      <c r="P247" s="25"/>
      <c r="Q247" s="25"/>
      <c r="R247" s="34"/>
      <c r="S247" s="34"/>
      <c r="T247" s="137"/>
      <c r="U247" s="137"/>
      <c r="V247" s="36"/>
      <c r="W247" s="37"/>
      <c r="X247" s="71" t="str">
        <f>IF(C247="Trả lại đơn","",IF((NETWORKDAYS(F247,G247,'Danh sách ngày nghỉ lễ'!$B$5:$B$25)-1-3)&gt;0,"Quá hạn"&amp;" "&amp;(NETWORKDAYS(F247,G247,'Danh sách ngày nghỉ lễ'!$B$5:$B$25)-1-3)&amp;" "&amp;"ngày",""))</f>
        <v/>
      </c>
      <c r="Y247" s="72" t="str">
        <f>IF(S247=0,"",IF(P247="Chuyển","",IF(P247="Nhập vào vụ khác","",IF(P247="CN đối thoại","",IF(P247="CN tại tòa","",IF(P247="BA",IF((S247-R247)&gt;7,"Quá hạn"&amp;" "&amp;(S247-R247-7)&amp;" "&amp;"ngày",""),IF((NETWORKDAYS(R247,S247,'Danh sách ngày nghỉ lễ'!$B$5:$B$25)-VLOOKUP(P247,'Thời hạn'!$D$17:$E$20,2,0))&gt;1,"Quá hạn"&amp;" "&amp;(NETWORKDAYS(R247,S247,'Danh sách ngày nghỉ lễ'!$B$5:$B$25)-1-VLOOKUP(P247,'Thời hạn'!$D$17:$E$20,2,0))&amp;" "&amp;"ngày","")))))))</f>
        <v/>
      </c>
      <c r="Z247" s="23">
        <v>1</v>
      </c>
    </row>
    <row r="248" spans="1:26" x14ac:dyDescent="0.3">
      <c r="A248" s="24">
        <v>1</v>
      </c>
      <c r="B248" s="39"/>
      <c r="C248" s="33"/>
      <c r="D248" s="25"/>
      <c r="E248" s="25"/>
      <c r="F248" s="34"/>
      <c r="G248" s="34"/>
      <c r="H248" s="25"/>
      <c r="I248" s="70" t="str">
        <f>IF(C248="Trả lại đơn","",IF(C248="Hòa giải thành","",IF(F248=0,"",EDATE(F248,VLOOKUP(C248,'Thời hạn'!$G$1:$H$12,2,0))+H248)))</f>
        <v/>
      </c>
      <c r="J248" s="59" t="str">
        <f t="shared" ca="1" si="4"/>
        <v/>
      </c>
      <c r="K248" s="25"/>
      <c r="L248" s="129"/>
      <c r="M248" s="130"/>
      <c r="N248" s="35"/>
      <c r="O248" s="34"/>
      <c r="P248" s="25"/>
      <c r="Q248" s="25"/>
      <c r="R248" s="34"/>
      <c r="S248" s="34"/>
      <c r="T248" s="137"/>
      <c r="U248" s="137"/>
      <c r="V248" s="36"/>
      <c r="W248" s="37"/>
      <c r="X248" s="71" t="str">
        <f>IF(C248="Trả lại đơn","",IF((NETWORKDAYS(F248,G248,'Danh sách ngày nghỉ lễ'!$B$5:$B$25)-1-3)&gt;0,"Quá hạn"&amp;" "&amp;(NETWORKDAYS(F248,G248,'Danh sách ngày nghỉ lễ'!$B$5:$B$25)-1-3)&amp;" "&amp;"ngày",""))</f>
        <v/>
      </c>
      <c r="Y248" s="72" t="str">
        <f>IF(S248=0,"",IF(P248="Chuyển","",IF(P248="Nhập vào vụ khác","",IF(P248="CN đối thoại","",IF(P248="CN tại tòa","",IF(P248="BA",IF((S248-R248)&gt;7,"Quá hạn"&amp;" "&amp;(S248-R248-7)&amp;" "&amp;"ngày",""),IF((NETWORKDAYS(R248,S248,'Danh sách ngày nghỉ lễ'!$B$5:$B$25)-VLOOKUP(P248,'Thời hạn'!$D$17:$E$20,2,0))&gt;1,"Quá hạn"&amp;" "&amp;(NETWORKDAYS(R248,S248,'Danh sách ngày nghỉ lễ'!$B$5:$B$25)-1-VLOOKUP(P248,'Thời hạn'!$D$17:$E$20,2,0))&amp;" "&amp;"ngày","")))))))</f>
        <v/>
      </c>
      <c r="Z248" s="23">
        <v>1</v>
      </c>
    </row>
    <row r="249" spans="1:26" x14ac:dyDescent="0.3">
      <c r="A249" s="24">
        <v>1</v>
      </c>
      <c r="B249" s="39"/>
      <c r="C249" s="33"/>
      <c r="D249" s="25"/>
      <c r="E249" s="25"/>
      <c r="F249" s="34"/>
      <c r="G249" s="34"/>
      <c r="H249" s="25"/>
      <c r="I249" s="70" t="str">
        <f>IF(C249="Trả lại đơn","",IF(C249="Hòa giải thành","",IF(F249=0,"",EDATE(F249,VLOOKUP(C249,'Thời hạn'!$G$1:$H$12,2,0))+H249)))</f>
        <v/>
      </c>
      <c r="J249" s="59" t="str">
        <f t="shared" ca="1" si="4"/>
        <v/>
      </c>
      <c r="K249" s="25"/>
      <c r="L249" s="129"/>
      <c r="M249" s="130"/>
      <c r="N249" s="35"/>
      <c r="O249" s="34"/>
      <c r="P249" s="25"/>
      <c r="Q249" s="25"/>
      <c r="R249" s="34"/>
      <c r="S249" s="34"/>
      <c r="T249" s="137"/>
      <c r="U249" s="137"/>
      <c r="V249" s="36"/>
      <c r="W249" s="37"/>
      <c r="X249" s="71" t="str">
        <f>IF(C249="Trả lại đơn","",IF((NETWORKDAYS(F249,G249,'Danh sách ngày nghỉ lễ'!$B$5:$B$25)-1-3)&gt;0,"Quá hạn"&amp;" "&amp;(NETWORKDAYS(F249,G249,'Danh sách ngày nghỉ lễ'!$B$5:$B$25)-1-3)&amp;" "&amp;"ngày",""))</f>
        <v/>
      </c>
      <c r="Y249" s="72" t="str">
        <f>IF(S249=0,"",IF(P249="Chuyển","",IF(P249="Nhập vào vụ khác","",IF(P249="CN đối thoại","",IF(P249="CN tại tòa","",IF(P249="BA",IF((S249-R249)&gt;7,"Quá hạn"&amp;" "&amp;(S249-R249-7)&amp;" "&amp;"ngày",""),IF((NETWORKDAYS(R249,S249,'Danh sách ngày nghỉ lễ'!$B$5:$B$25)-VLOOKUP(P249,'Thời hạn'!$D$17:$E$20,2,0))&gt;1,"Quá hạn"&amp;" "&amp;(NETWORKDAYS(R249,S249,'Danh sách ngày nghỉ lễ'!$B$5:$B$25)-1-VLOOKUP(P249,'Thời hạn'!$D$17:$E$20,2,0))&amp;" "&amp;"ngày","")))))))</f>
        <v/>
      </c>
      <c r="Z249" s="23">
        <v>1</v>
      </c>
    </row>
    <row r="250" spans="1:26" x14ac:dyDescent="0.3">
      <c r="A250" s="24">
        <v>1</v>
      </c>
      <c r="B250" s="39"/>
      <c r="C250" s="33"/>
      <c r="D250" s="25"/>
      <c r="E250" s="25"/>
      <c r="F250" s="34"/>
      <c r="G250" s="34"/>
      <c r="H250" s="25"/>
      <c r="I250" s="70" t="str">
        <f>IF(C250="Trả lại đơn","",IF(C250="Hòa giải thành","",IF(F250=0,"",EDATE(F250,VLOOKUP(C250,'Thời hạn'!$G$1:$H$12,2,0))+H250)))</f>
        <v/>
      </c>
      <c r="J250" s="59" t="str">
        <f t="shared" ca="1" si="4"/>
        <v/>
      </c>
      <c r="K250" s="25"/>
      <c r="L250" s="129"/>
      <c r="M250" s="130"/>
      <c r="N250" s="35"/>
      <c r="O250" s="34"/>
      <c r="P250" s="25"/>
      <c r="Q250" s="25"/>
      <c r="R250" s="34"/>
      <c r="S250" s="34"/>
      <c r="T250" s="137"/>
      <c r="U250" s="137"/>
      <c r="V250" s="36"/>
      <c r="W250" s="37"/>
      <c r="X250" s="71" t="str">
        <f>IF(C250="Trả lại đơn","",IF((NETWORKDAYS(F250,G250,'Danh sách ngày nghỉ lễ'!$B$5:$B$25)-1-3)&gt;0,"Quá hạn"&amp;" "&amp;(NETWORKDAYS(F250,G250,'Danh sách ngày nghỉ lễ'!$B$5:$B$25)-1-3)&amp;" "&amp;"ngày",""))</f>
        <v/>
      </c>
      <c r="Y250" s="72" t="str">
        <f>IF(S250=0,"",IF(P250="Chuyển","",IF(P250="Nhập vào vụ khác","",IF(P250="CN đối thoại","",IF(P250="CN tại tòa","",IF(P250="BA",IF((S250-R250)&gt;7,"Quá hạn"&amp;" "&amp;(S250-R250-7)&amp;" "&amp;"ngày",""),IF((NETWORKDAYS(R250,S250,'Danh sách ngày nghỉ lễ'!$B$5:$B$25)-VLOOKUP(P250,'Thời hạn'!$D$17:$E$20,2,0))&gt;1,"Quá hạn"&amp;" "&amp;(NETWORKDAYS(R250,S250,'Danh sách ngày nghỉ lễ'!$B$5:$B$25)-1-VLOOKUP(P250,'Thời hạn'!$D$17:$E$20,2,0))&amp;" "&amp;"ngày","")))))))</f>
        <v/>
      </c>
      <c r="Z250" s="23">
        <v>1</v>
      </c>
    </row>
    <row r="251" spans="1:26" x14ac:dyDescent="0.3">
      <c r="A251" s="24">
        <v>1</v>
      </c>
      <c r="B251" s="39"/>
      <c r="C251" s="33"/>
      <c r="D251" s="25"/>
      <c r="E251" s="25"/>
      <c r="F251" s="34"/>
      <c r="G251" s="34"/>
      <c r="H251" s="25"/>
      <c r="I251" s="70" t="str">
        <f>IF(C251="Trả lại đơn","",IF(C251="Hòa giải thành","",IF(F251=0,"",EDATE(F251,VLOOKUP(C251,'Thời hạn'!$G$1:$H$12,2,0))+H251)))</f>
        <v/>
      </c>
      <c r="J251" s="59" t="str">
        <f t="shared" ca="1" si="4"/>
        <v/>
      </c>
      <c r="K251" s="25"/>
      <c r="L251" s="129"/>
      <c r="M251" s="130"/>
      <c r="N251" s="35"/>
      <c r="O251" s="34"/>
      <c r="P251" s="25"/>
      <c r="Q251" s="25"/>
      <c r="R251" s="34"/>
      <c r="S251" s="34"/>
      <c r="T251" s="137"/>
      <c r="U251" s="137"/>
      <c r="V251" s="36"/>
      <c r="W251" s="37"/>
      <c r="X251" s="71" t="str">
        <f>IF(C251="Trả lại đơn","",IF((NETWORKDAYS(F251,G251,'Danh sách ngày nghỉ lễ'!$B$5:$B$25)-1-3)&gt;0,"Quá hạn"&amp;" "&amp;(NETWORKDAYS(F251,G251,'Danh sách ngày nghỉ lễ'!$B$5:$B$25)-1-3)&amp;" "&amp;"ngày",""))</f>
        <v/>
      </c>
      <c r="Y251" s="72" t="str">
        <f>IF(S251=0,"",IF(P251="Chuyển","",IF(P251="Nhập vào vụ khác","",IF(P251="CN đối thoại","",IF(P251="CN tại tòa","",IF(P251="BA",IF((S251-R251)&gt;7,"Quá hạn"&amp;" "&amp;(S251-R251-7)&amp;" "&amp;"ngày",""),IF((NETWORKDAYS(R251,S251,'Danh sách ngày nghỉ lễ'!$B$5:$B$25)-VLOOKUP(P251,'Thời hạn'!$D$17:$E$20,2,0))&gt;1,"Quá hạn"&amp;" "&amp;(NETWORKDAYS(R251,S251,'Danh sách ngày nghỉ lễ'!$B$5:$B$25)-1-VLOOKUP(P251,'Thời hạn'!$D$17:$E$20,2,0))&amp;" "&amp;"ngày","")))))))</f>
        <v/>
      </c>
      <c r="Z251" s="23">
        <v>1</v>
      </c>
    </row>
    <row r="252" spans="1:26" x14ac:dyDescent="0.3">
      <c r="A252" s="24">
        <v>1</v>
      </c>
      <c r="B252" s="39"/>
      <c r="C252" s="33"/>
      <c r="D252" s="25"/>
      <c r="E252" s="25"/>
      <c r="F252" s="34"/>
      <c r="G252" s="34"/>
      <c r="H252" s="25"/>
      <c r="I252" s="70" t="str">
        <f>IF(C252="Trả lại đơn","",IF(C252="Hòa giải thành","",IF(F252=0,"",EDATE(F252,VLOOKUP(C252,'Thời hạn'!$G$1:$H$12,2,0))+H252)))</f>
        <v/>
      </c>
      <c r="J252" s="59" t="str">
        <f t="shared" ca="1" si="4"/>
        <v/>
      </c>
      <c r="K252" s="25"/>
      <c r="L252" s="129"/>
      <c r="M252" s="130"/>
      <c r="N252" s="35"/>
      <c r="O252" s="34"/>
      <c r="P252" s="25"/>
      <c r="Q252" s="25"/>
      <c r="R252" s="34"/>
      <c r="S252" s="34"/>
      <c r="T252" s="137"/>
      <c r="U252" s="137"/>
      <c r="V252" s="36"/>
      <c r="W252" s="37"/>
      <c r="X252" s="71" t="str">
        <f>IF(C252="Trả lại đơn","",IF((NETWORKDAYS(F252,G252,'Danh sách ngày nghỉ lễ'!$B$5:$B$25)-1-3)&gt;0,"Quá hạn"&amp;" "&amp;(NETWORKDAYS(F252,G252,'Danh sách ngày nghỉ lễ'!$B$5:$B$25)-1-3)&amp;" "&amp;"ngày",""))</f>
        <v/>
      </c>
      <c r="Y252" s="72" t="str">
        <f>IF(S252=0,"",IF(P252="Chuyển","",IF(P252="Nhập vào vụ khác","",IF(P252="CN đối thoại","",IF(P252="CN tại tòa","",IF(P252="BA",IF((S252-R252)&gt;7,"Quá hạn"&amp;" "&amp;(S252-R252-7)&amp;" "&amp;"ngày",""),IF((NETWORKDAYS(R252,S252,'Danh sách ngày nghỉ lễ'!$B$5:$B$25)-VLOOKUP(P252,'Thời hạn'!$D$17:$E$20,2,0))&gt;1,"Quá hạn"&amp;" "&amp;(NETWORKDAYS(R252,S252,'Danh sách ngày nghỉ lễ'!$B$5:$B$25)-1-VLOOKUP(P252,'Thời hạn'!$D$17:$E$20,2,0))&amp;" "&amp;"ngày","")))))))</f>
        <v/>
      </c>
      <c r="Z252" s="23">
        <v>1</v>
      </c>
    </row>
    <row r="253" spans="1:26" x14ac:dyDescent="0.3">
      <c r="A253" s="24">
        <v>1</v>
      </c>
      <c r="B253" s="39"/>
      <c r="C253" s="33"/>
      <c r="D253" s="25"/>
      <c r="E253" s="25"/>
      <c r="F253" s="34"/>
      <c r="G253" s="34"/>
      <c r="H253" s="25"/>
      <c r="I253" s="70" t="str">
        <f>IF(C253="Trả lại đơn","",IF(C253="Hòa giải thành","",IF(F253=0,"",EDATE(F253,VLOOKUP(C253,'Thời hạn'!$G$1:$H$12,2,0))+H253)))</f>
        <v/>
      </c>
      <c r="J253" s="59" t="str">
        <f t="shared" ca="1" si="4"/>
        <v/>
      </c>
      <c r="K253" s="25"/>
      <c r="L253" s="129"/>
      <c r="M253" s="130"/>
      <c r="N253" s="35"/>
      <c r="O253" s="34"/>
      <c r="P253" s="25"/>
      <c r="Q253" s="25"/>
      <c r="R253" s="34"/>
      <c r="S253" s="34"/>
      <c r="T253" s="137"/>
      <c r="U253" s="137"/>
      <c r="V253" s="36"/>
      <c r="W253" s="37"/>
      <c r="X253" s="71" t="str">
        <f>IF(C253="Trả lại đơn","",IF((NETWORKDAYS(F253,G253,'Danh sách ngày nghỉ lễ'!$B$5:$B$25)-1-3)&gt;0,"Quá hạn"&amp;" "&amp;(NETWORKDAYS(F253,G253,'Danh sách ngày nghỉ lễ'!$B$5:$B$25)-1-3)&amp;" "&amp;"ngày",""))</f>
        <v/>
      </c>
      <c r="Y253" s="72" t="str">
        <f>IF(S253=0,"",IF(P253="Chuyển","",IF(P253="Nhập vào vụ khác","",IF(P253="CN đối thoại","",IF(P253="CN tại tòa","",IF(P253="BA",IF((S253-R253)&gt;7,"Quá hạn"&amp;" "&amp;(S253-R253-7)&amp;" "&amp;"ngày",""),IF((NETWORKDAYS(R253,S253,'Danh sách ngày nghỉ lễ'!$B$5:$B$25)-VLOOKUP(P253,'Thời hạn'!$D$17:$E$20,2,0))&gt;1,"Quá hạn"&amp;" "&amp;(NETWORKDAYS(R253,S253,'Danh sách ngày nghỉ lễ'!$B$5:$B$25)-1-VLOOKUP(P253,'Thời hạn'!$D$17:$E$20,2,0))&amp;" "&amp;"ngày","")))))))</f>
        <v/>
      </c>
      <c r="Z253" s="23">
        <v>1</v>
      </c>
    </row>
    <row r="254" spans="1:26" x14ac:dyDescent="0.3">
      <c r="A254" s="24">
        <v>1</v>
      </c>
      <c r="B254" s="39"/>
      <c r="C254" s="33"/>
      <c r="D254" s="25"/>
      <c r="E254" s="25"/>
      <c r="F254" s="34"/>
      <c r="G254" s="34"/>
      <c r="H254" s="25"/>
      <c r="I254" s="70" t="str">
        <f>IF(C254="Trả lại đơn","",IF(C254="Hòa giải thành","",IF(F254=0,"",EDATE(F254,VLOOKUP(C254,'Thời hạn'!$G$1:$H$12,2,0))+H254)))</f>
        <v/>
      </c>
      <c r="J254" s="59" t="str">
        <f t="shared" ca="1" si="4"/>
        <v/>
      </c>
      <c r="K254" s="25"/>
      <c r="L254" s="129"/>
      <c r="M254" s="130"/>
      <c r="N254" s="35"/>
      <c r="O254" s="34"/>
      <c r="P254" s="25"/>
      <c r="Q254" s="25"/>
      <c r="R254" s="34"/>
      <c r="S254" s="34"/>
      <c r="T254" s="137"/>
      <c r="U254" s="137"/>
      <c r="V254" s="36"/>
      <c r="W254" s="37"/>
      <c r="X254" s="71" t="str">
        <f>IF(C254="Trả lại đơn","",IF((NETWORKDAYS(F254,G254,'Danh sách ngày nghỉ lễ'!$B$5:$B$25)-1-3)&gt;0,"Quá hạn"&amp;" "&amp;(NETWORKDAYS(F254,G254,'Danh sách ngày nghỉ lễ'!$B$5:$B$25)-1-3)&amp;" "&amp;"ngày",""))</f>
        <v/>
      </c>
      <c r="Y254" s="72" t="str">
        <f>IF(S254=0,"",IF(P254="Chuyển","",IF(P254="Nhập vào vụ khác","",IF(P254="CN đối thoại","",IF(P254="CN tại tòa","",IF(P254="BA",IF((S254-R254)&gt;7,"Quá hạn"&amp;" "&amp;(S254-R254-7)&amp;" "&amp;"ngày",""),IF((NETWORKDAYS(R254,S254,'Danh sách ngày nghỉ lễ'!$B$5:$B$25)-VLOOKUP(P254,'Thời hạn'!$D$17:$E$20,2,0))&gt;1,"Quá hạn"&amp;" "&amp;(NETWORKDAYS(R254,S254,'Danh sách ngày nghỉ lễ'!$B$5:$B$25)-1-VLOOKUP(P254,'Thời hạn'!$D$17:$E$20,2,0))&amp;" "&amp;"ngày","")))))))</f>
        <v/>
      </c>
      <c r="Z254" s="23">
        <v>1</v>
      </c>
    </row>
    <row r="255" spans="1:26" x14ac:dyDescent="0.3">
      <c r="A255" s="24">
        <v>1</v>
      </c>
      <c r="B255" s="39"/>
      <c r="C255" s="33"/>
      <c r="D255" s="25"/>
      <c r="E255" s="25"/>
      <c r="F255" s="34"/>
      <c r="G255" s="34"/>
      <c r="H255" s="25"/>
      <c r="I255" s="70" t="str">
        <f>IF(C255="Trả lại đơn","",IF(C255="Hòa giải thành","",IF(F255=0,"",EDATE(F255,VLOOKUP(C255,'Thời hạn'!$G$1:$H$12,2,0))+H255)))</f>
        <v/>
      </c>
      <c r="J255" s="59" t="str">
        <f t="shared" ca="1" si="4"/>
        <v/>
      </c>
      <c r="K255" s="25"/>
      <c r="L255" s="129"/>
      <c r="M255" s="130"/>
      <c r="N255" s="35"/>
      <c r="O255" s="34"/>
      <c r="P255" s="25"/>
      <c r="Q255" s="25"/>
      <c r="R255" s="34"/>
      <c r="S255" s="34"/>
      <c r="T255" s="137"/>
      <c r="U255" s="137"/>
      <c r="V255" s="36"/>
      <c r="W255" s="37"/>
      <c r="X255" s="71" t="str">
        <f>IF(C255="Trả lại đơn","",IF((NETWORKDAYS(F255,G255,'Danh sách ngày nghỉ lễ'!$B$5:$B$25)-1-3)&gt;0,"Quá hạn"&amp;" "&amp;(NETWORKDAYS(F255,G255,'Danh sách ngày nghỉ lễ'!$B$5:$B$25)-1-3)&amp;" "&amp;"ngày",""))</f>
        <v/>
      </c>
      <c r="Y255" s="72" t="str">
        <f>IF(S255=0,"",IF(P255="Chuyển","",IF(P255="Nhập vào vụ khác","",IF(P255="CN đối thoại","",IF(P255="CN tại tòa","",IF(P255="BA",IF((S255-R255)&gt;7,"Quá hạn"&amp;" "&amp;(S255-R255-7)&amp;" "&amp;"ngày",""),IF((NETWORKDAYS(R255,S255,'Danh sách ngày nghỉ lễ'!$B$5:$B$25)-VLOOKUP(P255,'Thời hạn'!$D$17:$E$20,2,0))&gt;1,"Quá hạn"&amp;" "&amp;(NETWORKDAYS(R255,S255,'Danh sách ngày nghỉ lễ'!$B$5:$B$25)-1-VLOOKUP(P255,'Thời hạn'!$D$17:$E$20,2,0))&amp;" "&amp;"ngày","")))))))</f>
        <v/>
      </c>
      <c r="Z255" s="23">
        <v>1</v>
      </c>
    </row>
    <row r="256" spans="1:26" x14ac:dyDescent="0.3">
      <c r="A256" s="24">
        <v>1</v>
      </c>
      <c r="B256" s="39"/>
      <c r="C256" s="33"/>
      <c r="D256" s="25"/>
      <c r="E256" s="25"/>
      <c r="F256" s="34"/>
      <c r="G256" s="34"/>
      <c r="H256" s="25"/>
      <c r="I256" s="70" t="str">
        <f>IF(C256="Trả lại đơn","",IF(C256="Hòa giải thành","",IF(F256=0,"",EDATE(F256,VLOOKUP(C256,'Thời hạn'!$G$1:$H$12,2,0))+H256)))</f>
        <v/>
      </c>
      <c r="J256" s="59" t="str">
        <f t="shared" ca="1" si="4"/>
        <v/>
      </c>
      <c r="K256" s="25"/>
      <c r="L256" s="129"/>
      <c r="M256" s="130"/>
      <c r="N256" s="35"/>
      <c r="O256" s="34"/>
      <c r="P256" s="25"/>
      <c r="Q256" s="25"/>
      <c r="R256" s="34"/>
      <c r="S256" s="34"/>
      <c r="T256" s="137"/>
      <c r="U256" s="137"/>
      <c r="V256" s="36"/>
      <c r="W256" s="37"/>
      <c r="X256" s="71" t="str">
        <f>IF(C256="Trả lại đơn","",IF((NETWORKDAYS(F256,G256,'Danh sách ngày nghỉ lễ'!$B$5:$B$25)-1-3)&gt;0,"Quá hạn"&amp;" "&amp;(NETWORKDAYS(F256,G256,'Danh sách ngày nghỉ lễ'!$B$5:$B$25)-1-3)&amp;" "&amp;"ngày",""))</f>
        <v/>
      </c>
      <c r="Y256" s="72" t="str">
        <f>IF(S256=0,"",IF(P256="Chuyển","",IF(P256="Nhập vào vụ khác","",IF(P256="CN đối thoại","",IF(P256="CN tại tòa","",IF(P256="BA",IF((S256-R256)&gt;7,"Quá hạn"&amp;" "&amp;(S256-R256-7)&amp;" "&amp;"ngày",""),IF((NETWORKDAYS(R256,S256,'Danh sách ngày nghỉ lễ'!$B$5:$B$25)-VLOOKUP(P256,'Thời hạn'!$D$17:$E$20,2,0))&gt;1,"Quá hạn"&amp;" "&amp;(NETWORKDAYS(R256,S256,'Danh sách ngày nghỉ lễ'!$B$5:$B$25)-1-VLOOKUP(P256,'Thời hạn'!$D$17:$E$20,2,0))&amp;" "&amp;"ngày","")))))))</f>
        <v/>
      </c>
      <c r="Z256" s="23">
        <v>1</v>
      </c>
    </row>
    <row r="257" spans="1:26" x14ac:dyDescent="0.3">
      <c r="A257" s="24">
        <v>1</v>
      </c>
      <c r="B257" s="39"/>
      <c r="C257" s="33"/>
      <c r="D257" s="25"/>
      <c r="E257" s="25"/>
      <c r="F257" s="34"/>
      <c r="G257" s="34"/>
      <c r="H257" s="25"/>
      <c r="I257" s="70" t="str">
        <f>IF(C257="Trả lại đơn","",IF(C257="Hòa giải thành","",IF(F257=0,"",EDATE(F257,VLOOKUP(C257,'Thời hạn'!$G$1:$H$12,2,0))+H257)))</f>
        <v/>
      </c>
      <c r="J257" s="59" t="str">
        <f t="shared" ca="1" si="4"/>
        <v/>
      </c>
      <c r="K257" s="25"/>
      <c r="L257" s="129"/>
      <c r="M257" s="130"/>
      <c r="N257" s="35"/>
      <c r="O257" s="34"/>
      <c r="P257" s="25"/>
      <c r="Q257" s="25"/>
      <c r="R257" s="34"/>
      <c r="S257" s="34"/>
      <c r="T257" s="137"/>
      <c r="U257" s="137"/>
      <c r="V257" s="36"/>
      <c r="W257" s="37"/>
      <c r="X257" s="71" t="str">
        <f>IF(C257="Trả lại đơn","",IF((NETWORKDAYS(F257,G257,'Danh sách ngày nghỉ lễ'!$B$5:$B$25)-1-3)&gt;0,"Quá hạn"&amp;" "&amp;(NETWORKDAYS(F257,G257,'Danh sách ngày nghỉ lễ'!$B$5:$B$25)-1-3)&amp;" "&amp;"ngày",""))</f>
        <v/>
      </c>
      <c r="Y257" s="72" t="str">
        <f>IF(S257=0,"",IF(P257="Chuyển","",IF(P257="Nhập vào vụ khác","",IF(P257="CN đối thoại","",IF(P257="CN tại tòa","",IF(P257="BA",IF((S257-R257)&gt;7,"Quá hạn"&amp;" "&amp;(S257-R257-7)&amp;" "&amp;"ngày",""),IF((NETWORKDAYS(R257,S257,'Danh sách ngày nghỉ lễ'!$B$5:$B$25)-VLOOKUP(P257,'Thời hạn'!$D$17:$E$20,2,0))&gt;1,"Quá hạn"&amp;" "&amp;(NETWORKDAYS(R257,S257,'Danh sách ngày nghỉ lễ'!$B$5:$B$25)-1-VLOOKUP(P257,'Thời hạn'!$D$17:$E$20,2,0))&amp;" "&amp;"ngày","")))))))</f>
        <v/>
      </c>
      <c r="Z257" s="23">
        <v>1</v>
      </c>
    </row>
    <row r="258" spans="1:26" x14ac:dyDescent="0.3">
      <c r="A258" s="24">
        <v>1</v>
      </c>
      <c r="B258" s="39"/>
      <c r="C258" s="33"/>
      <c r="D258" s="25"/>
      <c r="E258" s="25"/>
      <c r="F258" s="34"/>
      <c r="G258" s="34"/>
      <c r="H258" s="25"/>
      <c r="I258" s="70" t="str">
        <f>IF(C258="Trả lại đơn","",IF(C258="Hòa giải thành","",IF(F258=0,"",EDATE(F258,VLOOKUP(C258,'Thời hạn'!$G$1:$H$12,2,0))+H258)))</f>
        <v/>
      </c>
      <c r="J258" s="59" t="str">
        <f t="shared" ca="1" si="4"/>
        <v/>
      </c>
      <c r="K258" s="25"/>
      <c r="L258" s="129"/>
      <c r="M258" s="130"/>
      <c r="N258" s="35"/>
      <c r="O258" s="34"/>
      <c r="P258" s="25"/>
      <c r="Q258" s="25"/>
      <c r="R258" s="34"/>
      <c r="S258" s="34"/>
      <c r="T258" s="137"/>
      <c r="U258" s="137"/>
      <c r="V258" s="36"/>
      <c r="W258" s="37"/>
      <c r="X258" s="71" t="str">
        <f>IF(C258="Trả lại đơn","",IF((NETWORKDAYS(F258,G258,'Danh sách ngày nghỉ lễ'!$B$5:$B$25)-1-3)&gt;0,"Quá hạn"&amp;" "&amp;(NETWORKDAYS(F258,G258,'Danh sách ngày nghỉ lễ'!$B$5:$B$25)-1-3)&amp;" "&amp;"ngày",""))</f>
        <v/>
      </c>
      <c r="Y258" s="72" t="str">
        <f>IF(S258=0,"",IF(P258="Chuyển","",IF(P258="Nhập vào vụ khác","",IF(P258="CN đối thoại","",IF(P258="CN tại tòa","",IF(P258="BA",IF((S258-R258)&gt;7,"Quá hạn"&amp;" "&amp;(S258-R258-7)&amp;" "&amp;"ngày",""),IF((NETWORKDAYS(R258,S258,'Danh sách ngày nghỉ lễ'!$B$5:$B$25)-VLOOKUP(P258,'Thời hạn'!$D$17:$E$20,2,0))&gt;1,"Quá hạn"&amp;" "&amp;(NETWORKDAYS(R258,S258,'Danh sách ngày nghỉ lễ'!$B$5:$B$25)-1-VLOOKUP(P258,'Thời hạn'!$D$17:$E$20,2,0))&amp;" "&amp;"ngày","")))))))</f>
        <v/>
      </c>
      <c r="Z258" s="23">
        <v>1</v>
      </c>
    </row>
    <row r="259" spans="1:26" x14ac:dyDescent="0.3">
      <c r="A259" s="24">
        <v>1</v>
      </c>
      <c r="B259" s="39"/>
      <c r="C259" s="33"/>
      <c r="D259" s="25"/>
      <c r="E259" s="25"/>
      <c r="F259" s="34"/>
      <c r="G259" s="34"/>
      <c r="H259" s="25"/>
      <c r="I259" s="70" t="str">
        <f>IF(C259="Trả lại đơn","",IF(C259="Hòa giải thành","",IF(F259=0,"",EDATE(F259,VLOOKUP(C259,'Thời hạn'!$G$1:$H$12,2,0))+H259)))</f>
        <v/>
      </c>
      <c r="J259" s="59" t="str">
        <f t="shared" ca="1" si="4"/>
        <v/>
      </c>
      <c r="K259" s="25"/>
      <c r="L259" s="129"/>
      <c r="M259" s="130"/>
      <c r="N259" s="35"/>
      <c r="O259" s="34"/>
      <c r="P259" s="25"/>
      <c r="Q259" s="25"/>
      <c r="R259" s="34"/>
      <c r="S259" s="34"/>
      <c r="T259" s="137"/>
      <c r="U259" s="137"/>
      <c r="V259" s="36"/>
      <c r="W259" s="37"/>
      <c r="X259" s="71" t="str">
        <f>IF(C259="Trả lại đơn","",IF((NETWORKDAYS(F259,G259,'Danh sách ngày nghỉ lễ'!$B$5:$B$25)-1-3)&gt;0,"Quá hạn"&amp;" "&amp;(NETWORKDAYS(F259,G259,'Danh sách ngày nghỉ lễ'!$B$5:$B$25)-1-3)&amp;" "&amp;"ngày",""))</f>
        <v/>
      </c>
      <c r="Y259" s="72" t="str">
        <f>IF(S259=0,"",IF(P259="Chuyển","",IF(P259="Nhập vào vụ khác","",IF(P259="CN đối thoại","",IF(P259="CN tại tòa","",IF(P259="BA",IF((S259-R259)&gt;7,"Quá hạn"&amp;" "&amp;(S259-R259-7)&amp;" "&amp;"ngày",""),IF((NETWORKDAYS(R259,S259,'Danh sách ngày nghỉ lễ'!$B$5:$B$25)-VLOOKUP(P259,'Thời hạn'!$D$17:$E$20,2,0))&gt;1,"Quá hạn"&amp;" "&amp;(NETWORKDAYS(R259,S259,'Danh sách ngày nghỉ lễ'!$B$5:$B$25)-1-VLOOKUP(P259,'Thời hạn'!$D$17:$E$20,2,0))&amp;" "&amp;"ngày","")))))))</f>
        <v/>
      </c>
      <c r="Z259" s="23">
        <v>1</v>
      </c>
    </row>
    <row r="260" spans="1:26" x14ac:dyDescent="0.3">
      <c r="A260" s="24">
        <v>1</v>
      </c>
      <c r="B260" s="39"/>
      <c r="C260" s="33"/>
      <c r="D260" s="25"/>
      <c r="E260" s="25"/>
      <c r="F260" s="34"/>
      <c r="G260" s="34"/>
      <c r="H260" s="25"/>
      <c r="I260" s="70" t="str">
        <f>IF(C260="Trả lại đơn","",IF(C260="Hòa giải thành","",IF(F260=0,"",EDATE(F260,VLOOKUP(C260,'Thời hạn'!$G$1:$H$12,2,0))+H260)))</f>
        <v/>
      </c>
      <c r="J260" s="59" t="str">
        <f t="shared" ca="1" si="4"/>
        <v/>
      </c>
      <c r="K260" s="25"/>
      <c r="L260" s="129"/>
      <c r="M260" s="130"/>
      <c r="N260" s="35"/>
      <c r="O260" s="34"/>
      <c r="P260" s="25"/>
      <c r="Q260" s="25"/>
      <c r="R260" s="34"/>
      <c r="S260" s="34"/>
      <c r="T260" s="137"/>
      <c r="U260" s="137"/>
      <c r="V260" s="36"/>
      <c r="W260" s="37"/>
      <c r="X260" s="71" t="str">
        <f>IF(C260="Trả lại đơn","",IF((NETWORKDAYS(F260,G260,'Danh sách ngày nghỉ lễ'!$B$5:$B$25)-1-3)&gt;0,"Quá hạn"&amp;" "&amp;(NETWORKDAYS(F260,G260,'Danh sách ngày nghỉ lễ'!$B$5:$B$25)-1-3)&amp;" "&amp;"ngày",""))</f>
        <v/>
      </c>
      <c r="Y260" s="72" t="str">
        <f>IF(S260=0,"",IF(P260="Chuyển","",IF(P260="Nhập vào vụ khác","",IF(P260="CN đối thoại","",IF(P260="CN tại tòa","",IF(P260="BA",IF((S260-R260)&gt;7,"Quá hạn"&amp;" "&amp;(S260-R260-7)&amp;" "&amp;"ngày",""),IF((NETWORKDAYS(R260,S260,'Danh sách ngày nghỉ lễ'!$B$5:$B$25)-VLOOKUP(P260,'Thời hạn'!$D$17:$E$20,2,0))&gt;1,"Quá hạn"&amp;" "&amp;(NETWORKDAYS(R260,S260,'Danh sách ngày nghỉ lễ'!$B$5:$B$25)-1-VLOOKUP(P260,'Thời hạn'!$D$17:$E$20,2,0))&amp;" "&amp;"ngày","")))))))</f>
        <v/>
      </c>
      <c r="Z260" s="23">
        <v>1</v>
      </c>
    </row>
    <row r="261" spans="1:26" x14ac:dyDescent="0.3">
      <c r="A261" s="24">
        <v>1</v>
      </c>
      <c r="B261" s="39"/>
      <c r="C261" s="33"/>
      <c r="D261" s="25"/>
      <c r="E261" s="25"/>
      <c r="F261" s="34"/>
      <c r="G261" s="34"/>
      <c r="H261" s="25"/>
      <c r="I261" s="70" t="str">
        <f>IF(C261="Trả lại đơn","",IF(C261="Hòa giải thành","",IF(F261=0,"",EDATE(F261,VLOOKUP(C261,'Thời hạn'!$G$1:$H$12,2,0))+H261)))</f>
        <v/>
      </c>
      <c r="J261" s="59" t="str">
        <f t="shared" ca="1" si="4"/>
        <v/>
      </c>
      <c r="K261" s="25"/>
      <c r="L261" s="129"/>
      <c r="M261" s="130"/>
      <c r="N261" s="35"/>
      <c r="O261" s="34"/>
      <c r="P261" s="25"/>
      <c r="Q261" s="25"/>
      <c r="R261" s="34"/>
      <c r="S261" s="34"/>
      <c r="T261" s="137"/>
      <c r="U261" s="137"/>
      <c r="V261" s="36"/>
      <c r="W261" s="37"/>
      <c r="X261" s="71" t="str">
        <f>IF(C261="Trả lại đơn","",IF((NETWORKDAYS(F261,G261,'Danh sách ngày nghỉ lễ'!$B$5:$B$25)-1-3)&gt;0,"Quá hạn"&amp;" "&amp;(NETWORKDAYS(F261,G261,'Danh sách ngày nghỉ lễ'!$B$5:$B$25)-1-3)&amp;" "&amp;"ngày",""))</f>
        <v/>
      </c>
      <c r="Y261" s="72" t="str">
        <f>IF(S261=0,"",IF(P261="Chuyển","",IF(P261="Nhập vào vụ khác","",IF(P261="CN đối thoại","",IF(P261="CN tại tòa","",IF(P261="BA",IF((S261-R261)&gt;7,"Quá hạn"&amp;" "&amp;(S261-R261-7)&amp;" "&amp;"ngày",""),IF((NETWORKDAYS(R261,S261,'Danh sách ngày nghỉ lễ'!$B$5:$B$25)-VLOOKUP(P261,'Thời hạn'!$D$17:$E$20,2,0))&gt;1,"Quá hạn"&amp;" "&amp;(NETWORKDAYS(R261,S261,'Danh sách ngày nghỉ lễ'!$B$5:$B$25)-1-VLOOKUP(P261,'Thời hạn'!$D$17:$E$20,2,0))&amp;" "&amp;"ngày","")))))))</f>
        <v/>
      </c>
      <c r="Z261" s="23">
        <v>1</v>
      </c>
    </row>
    <row r="262" spans="1:26" x14ac:dyDescent="0.3">
      <c r="A262" s="24">
        <v>1</v>
      </c>
      <c r="B262" s="39"/>
      <c r="C262" s="33"/>
      <c r="D262" s="25"/>
      <c r="E262" s="25"/>
      <c r="F262" s="34"/>
      <c r="G262" s="34"/>
      <c r="H262" s="25"/>
      <c r="I262" s="70" t="str">
        <f>IF(C262="Trả lại đơn","",IF(C262="Hòa giải thành","",IF(F262=0,"",EDATE(F262,VLOOKUP(C262,'Thời hạn'!$G$1:$H$12,2,0))+H262)))</f>
        <v/>
      </c>
      <c r="J262" s="59" t="str">
        <f t="shared" ca="1" si="4"/>
        <v/>
      </c>
      <c r="K262" s="25"/>
      <c r="L262" s="129"/>
      <c r="M262" s="130"/>
      <c r="N262" s="35"/>
      <c r="O262" s="34"/>
      <c r="P262" s="25"/>
      <c r="Q262" s="25"/>
      <c r="R262" s="34"/>
      <c r="S262" s="34"/>
      <c r="T262" s="137"/>
      <c r="U262" s="137"/>
      <c r="V262" s="36"/>
      <c r="W262" s="37"/>
      <c r="X262" s="71" t="str">
        <f>IF(C262="Trả lại đơn","",IF((NETWORKDAYS(F262,G262,'Danh sách ngày nghỉ lễ'!$B$5:$B$25)-1-3)&gt;0,"Quá hạn"&amp;" "&amp;(NETWORKDAYS(F262,G262,'Danh sách ngày nghỉ lễ'!$B$5:$B$25)-1-3)&amp;" "&amp;"ngày",""))</f>
        <v/>
      </c>
      <c r="Y262" s="72" t="str">
        <f>IF(S262=0,"",IF(P262="Chuyển","",IF(P262="Nhập vào vụ khác","",IF(P262="CN đối thoại","",IF(P262="CN tại tòa","",IF(P262="BA",IF((S262-R262)&gt;7,"Quá hạn"&amp;" "&amp;(S262-R262-7)&amp;" "&amp;"ngày",""),IF((NETWORKDAYS(R262,S262,'Danh sách ngày nghỉ lễ'!$B$5:$B$25)-VLOOKUP(P262,'Thời hạn'!$D$17:$E$20,2,0))&gt;1,"Quá hạn"&amp;" "&amp;(NETWORKDAYS(R262,S262,'Danh sách ngày nghỉ lễ'!$B$5:$B$25)-1-VLOOKUP(P262,'Thời hạn'!$D$17:$E$20,2,0))&amp;" "&amp;"ngày","")))))))</f>
        <v/>
      </c>
      <c r="Z262" s="23">
        <v>1</v>
      </c>
    </row>
    <row r="263" spans="1:26" x14ac:dyDescent="0.3">
      <c r="A263" s="24">
        <v>1</v>
      </c>
      <c r="B263" s="39"/>
      <c r="C263" s="33"/>
      <c r="D263" s="25"/>
      <c r="E263" s="25"/>
      <c r="F263" s="34"/>
      <c r="G263" s="34"/>
      <c r="H263" s="25"/>
      <c r="I263" s="70" t="str">
        <f>IF(C263="Trả lại đơn","",IF(C263="Hòa giải thành","",IF(F263=0,"",EDATE(F263,VLOOKUP(C263,'Thời hạn'!$G$1:$H$12,2,0))+H263)))</f>
        <v/>
      </c>
      <c r="J263" s="59" t="str">
        <f t="shared" ca="1" si="4"/>
        <v/>
      </c>
      <c r="K263" s="25"/>
      <c r="L263" s="129"/>
      <c r="M263" s="130"/>
      <c r="N263" s="35"/>
      <c r="O263" s="34"/>
      <c r="P263" s="25"/>
      <c r="Q263" s="25"/>
      <c r="R263" s="34"/>
      <c r="S263" s="34"/>
      <c r="T263" s="137"/>
      <c r="U263" s="137"/>
      <c r="V263" s="36"/>
      <c r="W263" s="37"/>
      <c r="X263" s="71" t="str">
        <f>IF(C263="Trả lại đơn","",IF((NETWORKDAYS(F263,G263,'Danh sách ngày nghỉ lễ'!$B$5:$B$25)-1-3)&gt;0,"Quá hạn"&amp;" "&amp;(NETWORKDAYS(F263,G263,'Danh sách ngày nghỉ lễ'!$B$5:$B$25)-1-3)&amp;" "&amp;"ngày",""))</f>
        <v/>
      </c>
      <c r="Y263" s="72" t="str">
        <f>IF(S263=0,"",IF(P263="Chuyển","",IF(P263="Nhập vào vụ khác","",IF(P263="CN đối thoại","",IF(P263="CN tại tòa","",IF(P263="BA",IF((S263-R263)&gt;7,"Quá hạn"&amp;" "&amp;(S263-R263-7)&amp;" "&amp;"ngày",""),IF((NETWORKDAYS(R263,S263,'Danh sách ngày nghỉ lễ'!$B$5:$B$25)-VLOOKUP(P263,'Thời hạn'!$D$17:$E$20,2,0))&gt;1,"Quá hạn"&amp;" "&amp;(NETWORKDAYS(R263,S263,'Danh sách ngày nghỉ lễ'!$B$5:$B$25)-1-VLOOKUP(P263,'Thời hạn'!$D$17:$E$20,2,0))&amp;" "&amp;"ngày","")))))))</f>
        <v/>
      </c>
      <c r="Z263" s="23">
        <v>1</v>
      </c>
    </row>
    <row r="264" spans="1:26" x14ac:dyDescent="0.3">
      <c r="B264" s="39"/>
      <c r="C264" s="33"/>
      <c r="D264" s="25"/>
      <c r="E264" s="25"/>
      <c r="F264" s="34"/>
      <c r="G264" s="34"/>
      <c r="H264" s="25"/>
      <c r="I264" s="70" t="str">
        <f>IF(C264="Trả lại đơn","",IF(C264="Hòa giải thành","",IF(F264=0,"",EDATE(F264,VLOOKUP(C264,'Thời hạn'!$G$1:$H$12,2,0))+H264)))</f>
        <v/>
      </c>
      <c r="J264" s="59" t="str">
        <f t="shared" ca="1" si="4"/>
        <v/>
      </c>
      <c r="K264" s="25"/>
      <c r="L264" s="33"/>
      <c r="M264" s="38"/>
      <c r="N264" s="35"/>
      <c r="O264" s="34"/>
      <c r="P264" s="25"/>
      <c r="Q264" s="25"/>
      <c r="R264" s="34"/>
      <c r="S264" s="34"/>
      <c r="T264" s="137"/>
      <c r="U264" s="137"/>
      <c r="V264" s="36"/>
      <c r="W264" s="37"/>
      <c r="X264" s="71" t="str">
        <f>IF(C264="Trả lại đơn","",IF((NETWORKDAYS(F264,G264,'Danh sách ngày nghỉ lễ'!$B$5:$B$25)-1-3)&gt;0,"Quá hạn"&amp;" "&amp;(NETWORKDAYS(F264,G264,'Danh sách ngày nghỉ lễ'!$B$5:$B$25)-1-3)&amp;" "&amp;"ngày",""))</f>
        <v/>
      </c>
      <c r="Y264" s="72" t="str">
        <f>IF(S264=0,"",IF(P264="Chuyển","",IF(P264="Nhập vào vụ khác","",IF(P264="CN đối thoại","",IF(P264="CN tại tòa","",IF(P264="BA",IF((S264-R264)&gt;7,"Quá hạn"&amp;" "&amp;(S264-R264-7)&amp;" "&amp;"ngày",""),IF((NETWORKDAYS(R264,S264,'Danh sách ngày nghỉ lễ'!$B$5:$B$25)-VLOOKUP(P264,'Thời hạn'!$D$17:$E$20,2,0))&gt;1,"Quá hạn"&amp;" "&amp;(NETWORKDAYS(R264,S264,'Danh sách ngày nghỉ lễ'!$B$5:$B$25)-1-VLOOKUP(P264,'Thời hạn'!$D$17:$E$20,2,0))&amp;" "&amp;"ngày","")))))))</f>
        <v/>
      </c>
      <c r="Z264" s="23">
        <v>1</v>
      </c>
    </row>
  </sheetData>
  <sheetProtection algorithmName="SHA-512" hashValue="sCfM6KmywZKljULR4Z/s4Af/eYRrSIEesmUClABwKBjl5//+r7XgGK69eoPLF0+46zz7sM6kk1uP0RsM7kmAWQ==" saltValue="Soeae67l7eB5y/mqwjHxUg==" spinCount="100000" sheet="1" objects="1" scenarios="1" autoFilter="0"/>
  <autoFilter ref="B9:W9" xr:uid="{6F595A36-F7FE-41CC-8F94-B40AD9245503}"/>
  <mergeCells count="12">
    <mergeCell ref="B2:K2"/>
    <mergeCell ref="S7:T7"/>
    <mergeCell ref="V7:W7"/>
    <mergeCell ref="B8:M8"/>
    <mergeCell ref="N8:W8"/>
    <mergeCell ref="O4:O6"/>
    <mergeCell ref="P4:R4"/>
    <mergeCell ref="S4:U4"/>
    <mergeCell ref="V4:X4"/>
    <mergeCell ref="X8:Y8"/>
    <mergeCell ref="L4:M4"/>
    <mergeCell ref="L6:M6"/>
  </mergeCells>
  <conditionalFormatting sqref="C10:D10 C11:C264">
    <cfRule type="expression" dxfId="607" priority="4">
      <formula>"$P7:$P13=""Phục hồi"""</formula>
    </cfRule>
    <cfRule type="expression" dxfId="606" priority="5">
      <formula>"$P7:$P13=""Phục hồi"""</formula>
    </cfRule>
  </conditionalFormatting>
  <conditionalFormatting sqref="D11:D189">
    <cfRule type="expression" dxfId="605" priority="6">
      <formula>$P11:$P230&lt;&gt;0</formula>
    </cfRule>
  </conditionalFormatting>
  <conditionalFormatting sqref="C10:D10 C11:C264">
    <cfRule type="expression" dxfId="604" priority="8">
      <formula>$P10:$P213&lt;&gt;0</formula>
    </cfRule>
  </conditionalFormatting>
  <conditionalFormatting sqref="J10:J264">
    <cfRule type="cellIs" dxfId="603" priority="2" operator="lessThan">
      <formula>10</formula>
    </cfRule>
  </conditionalFormatting>
  <conditionalFormatting sqref="J10:J264">
    <cfRule type="cellIs" dxfId="602" priority="1" operator="lessThan">
      <formula>10</formula>
    </cfRule>
  </conditionalFormatting>
  <dataValidations count="8">
    <dataValidation type="list" allowBlank="1" showInputMessage="1" showErrorMessage="1" sqref="C407:C426" xr:uid="{21FFB3ED-0F68-4F43-8967-14EBE6E4739F}">
      <formula1>"Vụ cũ,Việc cũ,Vụ,Việc,Hòa giải thành,Phục hồi vụ TĐC kỳ trước,Phục hồi việc TĐC kỳ trước,Trả lại đơn,Phục hồi"</formula1>
    </dataValidation>
    <dataValidation type="list" allowBlank="1" showInputMessage="1" showErrorMessage="1" sqref="C265:C406" xr:uid="{FDE47B41-4E52-433B-9ED7-5355CF3664EA}">
      <formula1>"Vụ cũ,Việc cũ,Vụ,Việc,Hòa giải thành,Phục hồi vụ TĐC kỳ trước,Phục hồi việc TĐC kỳ trước,Trả lại đơn,Phục hồi vụ,Phục hồi việc"</formula1>
    </dataValidation>
    <dataValidation type="list" allowBlank="1" showInputMessage="1" showErrorMessage="1" sqref="K265:K1048576" xr:uid="{1050C3F1-ACCC-4014-B016-5F22F5F87719}">
      <formula1>"VD Ninh, N Dũng,B Dũng,T Dũng,TD Khánh,Thúy"</formula1>
    </dataValidation>
    <dataValidation type="list" allowBlank="1" showInputMessage="1" showErrorMessage="1" sqref="V10:V264" xr:uid="{FAAC8CCC-5925-4642-8317-5A030CE92EEC}">
      <formula1>"Đã ĐK,Đã XX"</formula1>
    </dataValidation>
    <dataValidation type="list" allowBlank="1" showInputMessage="1" showErrorMessage="1" sqref="W10:W264" xr:uid="{DD343E4E-43BC-41B3-956E-2F5EF3F28D02}">
      <formula1>"đang TĐC,ĐC do rút đơn"</formula1>
    </dataValidation>
    <dataValidation type="list" allowBlank="1" showInputMessage="1" showErrorMessage="1" sqref="P10:P264" xr:uid="{D6AD76C3-11EA-4E2B-BF78-3D846CFBB28A}">
      <formula1>"CN đối thoại,ĐC,TĐC,BA,CN tại tòa,ĐC tại tòa,Chuyển,Nhập vào vụ khác"</formula1>
    </dataValidation>
    <dataValidation type="list" allowBlank="1" showInputMessage="1" showErrorMessage="1" sqref="C10:C264" xr:uid="{F3BC5866-D167-40D2-BA83-F616528E3914}">
      <formula1>"Vụ cũ loại a,Vụ cũ loại b,Vụ loại a,Vụ loại b,Hòa giải thành,Phục hồi vụ TĐC kỳ trước loại a,Phục hồi vụ TĐC kỳ trước loại b,Trả lại đơn,Phục hồi loại a,Phục hồi loại b,Chuyển đến loại a,Chuyển đến loại b"</formula1>
    </dataValidation>
    <dataValidation type="list" allowBlank="1" showInputMessage="1" showErrorMessage="1" sqref="K10:K264" xr:uid="{421935E5-7634-40CF-9C3D-0B560A7FD310}">
      <formula1>"VD Ninh, N Dũng,T Dũng,Doan,Hợp,Uy,M Dung,Lành,Hồng,Đức,Việt,P Huyền,Đ Huyền,Chinh,Quý,V Anh,Hà"</formula1>
    </dataValidation>
  </dataValidations>
  <pageMargins left="0.7" right="0.7" top="0.75" bottom="0.75" header="0.3" footer="0.3"/>
  <pageSetup paperSize="9" orientation="landscape"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E6E9A-A6F3-4E0D-86D6-73907D83CDCD}">
  <sheetPr codeName="Sheet9"/>
  <dimension ref="A1:Q64"/>
  <sheetViews>
    <sheetView showGridLines="0" showRowColHeaders="0" workbookViewId="0">
      <pane xSplit="2" ySplit="3" topLeftCell="C14" activePane="bottomRight" state="frozen"/>
      <selection pane="topRight" activeCell="C1" sqref="C1"/>
      <selection pane="bottomLeft" activeCell="A4" sqref="A4"/>
      <selection pane="bottomRight"/>
    </sheetView>
  </sheetViews>
  <sheetFormatPr defaultColWidth="9.21875" defaultRowHeight="13.8" x14ac:dyDescent="0.25"/>
  <cols>
    <col min="1" max="1" width="9.21875" style="116"/>
    <col min="2" max="2" width="12.5546875" style="116" bestFit="1" customWidth="1"/>
    <col min="3" max="3" width="10.77734375" style="116" bestFit="1" customWidth="1"/>
    <col min="4" max="9" width="8.77734375" style="116" customWidth="1"/>
    <col min="10" max="15" width="14.44140625" style="116" customWidth="1"/>
    <col min="16" max="16384" width="9.21875" style="116"/>
  </cols>
  <sheetData>
    <row r="1" spans="1:17" ht="39.75" customHeight="1" x14ac:dyDescent="0.25">
      <c r="A1" s="118"/>
      <c r="B1" s="118"/>
      <c r="C1" s="118"/>
      <c r="D1" s="118"/>
      <c r="E1" s="118"/>
      <c r="F1" s="118"/>
      <c r="G1" s="118"/>
      <c r="H1" s="118"/>
      <c r="I1" s="118"/>
      <c r="J1" s="118"/>
      <c r="K1" s="118"/>
      <c r="L1" s="118"/>
      <c r="M1" s="118"/>
      <c r="N1" s="118"/>
    </row>
    <row r="2" spans="1:17" ht="39.75" customHeight="1" x14ac:dyDescent="0.25">
      <c r="A2" s="118"/>
      <c r="B2" s="128" t="s">
        <v>125</v>
      </c>
      <c r="C2" s="118"/>
      <c r="D2" s="118"/>
      <c r="E2" s="118"/>
      <c r="F2" s="118"/>
      <c r="G2" s="118"/>
      <c r="H2" s="118"/>
      <c r="I2" s="118"/>
      <c r="J2" s="118"/>
      <c r="K2" s="118"/>
      <c r="L2" s="118"/>
      <c r="M2" s="118"/>
      <c r="N2" s="118"/>
    </row>
    <row r="3" spans="1:17" ht="39.75" customHeight="1" x14ac:dyDescent="0.6">
      <c r="A3" s="118"/>
      <c r="B3" s="118"/>
      <c r="C3" s="121"/>
      <c r="D3" s="121"/>
      <c r="E3" s="121"/>
      <c r="F3" s="121"/>
      <c r="G3" s="121"/>
      <c r="H3" s="121"/>
      <c r="I3" s="121"/>
      <c r="J3" s="121"/>
      <c r="K3" s="121"/>
      <c r="L3" s="121"/>
      <c r="M3" s="121"/>
      <c r="N3" s="121"/>
      <c r="O3" s="120"/>
    </row>
    <row r="6" spans="1:17" ht="25.2" x14ac:dyDescent="0.45">
      <c r="B6" s="180" t="s">
        <v>94</v>
      </c>
      <c r="C6" s="180"/>
      <c r="D6" s="180"/>
      <c r="E6" s="180"/>
      <c r="F6" s="180"/>
      <c r="G6" s="180"/>
      <c r="H6" s="180"/>
      <c r="I6" s="180"/>
      <c r="J6" s="180"/>
      <c r="K6" s="180"/>
      <c r="L6" s="180"/>
      <c r="M6" s="180"/>
      <c r="N6" s="180"/>
      <c r="O6" s="180"/>
    </row>
    <row r="8" spans="1:17" ht="16.8" x14ac:dyDescent="0.3">
      <c r="B8" s="117" t="s">
        <v>89</v>
      </c>
      <c r="C8" s="117" t="s">
        <v>90</v>
      </c>
      <c r="D8"/>
      <c r="E8"/>
      <c r="F8"/>
      <c r="G8"/>
      <c r="H8"/>
      <c r="I8"/>
      <c r="J8"/>
      <c r="K8"/>
      <c r="L8"/>
      <c r="M8"/>
      <c r="N8"/>
      <c r="O8"/>
      <c r="P8"/>
      <c r="Q8"/>
    </row>
    <row r="9" spans="1:17" ht="16.8" x14ac:dyDescent="0.3">
      <c r="B9" s="117" t="s">
        <v>91</v>
      </c>
      <c r="C9" s="75" t="s">
        <v>133</v>
      </c>
      <c r="D9"/>
      <c r="E9"/>
      <c r="F9"/>
      <c r="G9"/>
      <c r="H9"/>
      <c r="I9"/>
      <c r="J9"/>
      <c r="K9"/>
      <c r="L9"/>
      <c r="M9"/>
      <c r="N9"/>
      <c r="O9"/>
      <c r="P9"/>
      <c r="Q9"/>
    </row>
    <row r="10" spans="1:17" ht="16.8" x14ac:dyDescent="0.3">
      <c r="B10" s="75" t="s">
        <v>133</v>
      </c>
      <c r="C10" s="75"/>
      <c r="D10"/>
      <c r="E10"/>
      <c r="F10"/>
      <c r="G10"/>
      <c r="H10"/>
      <c r="I10"/>
      <c r="J10"/>
      <c r="K10"/>
      <c r="L10"/>
      <c r="M10"/>
      <c r="N10"/>
      <c r="O10"/>
      <c r="P10"/>
      <c r="Q10"/>
    </row>
    <row r="11" spans="1:17" ht="14.4" x14ac:dyDescent="0.3">
      <c r="B11"/>
      <c r="C11"/>
      <c r="D11"/>
      <c r="E11"/>
      <c r="F11"/>
      <c r="G11"/>
      <c r="H11"/>
      <c r="I11"/>
      <c r="J11"/>
      <c r="K11"/>
      <c r="L11"/>
      <c r="M11"/>
      <c r="N11"/>
      <c r="O11"/>
      <c r="P11"/>
      <c r="Q11"/>
    </row>
    <row r="12" spans="1:17" ht="14.4" x14ac:dyDescent="0.3">
      <c r="B12"/>
      <c r="C12"/>
      <c r="D12"/>
      <c r="E12"/>
      <c r="F12"/>
      <c r="G12"/>
      <c r="H12"/>
      <c r="I12"/>
      <c r="J12"/>
      <c r="K12"/>
      <c r="L12"/>
      <c r="M12"/>
      <c r="N12"/>
      <c r="O12"/>
      <c r="P12"/>
      <c r="Q12"/>
    </row>
    <row r="13" spans="1:17" ht="14.4" x14ac:dyDescent="0.3">
      <c r="B13"/>
      <c r="C13"/>
      <c r="D13"/>
      <c r="E13"/>
      <c r="F13"/>
      <c r="G13"/>
      <c r="H13"/>
      <c r="I13"/>
      <c r="J13"/>
      <c r="K13"/>
      <c r="L13"/>
      <c r="M13"/>
      <c r="N13"/>
      <c r="O13"/>
      <c r="P13"/>
      <c r="Q13"/>
    </row>
    <row r="14" spans="1:17" ht="14.4" x14ac:dyDescent="0.3">
      <c r="B14"/>
      <c r="C14"/>
      <c r="D14"/>
      <c r="E14"/>
      <c r="F14"/>
      <c r="G14"/>
      <c r="H14"/>
      <c r="I14"/>
      <c r="J14"/>
      <c r="K14"/>
      <c r="L14"/>
      <c r="M14"/>
      <c r="N14"/>
      <c r="O14"/>
      <c r="P14"/>
      <c r="Q14"/>
    </row>
    <row r="15" spans="1:17" ht="14.4" x14ac:dyDescent="0.3">
      <c r="B15"/>
      <c r="C15"/>
      <c r="D15"/>
      <c r="E15"/>
      <c r="F15"/>
      <c r="G15"/>
      <c r="H15"/>
      <c r="I15"/>
      <c r="J15"/>
      <c r="K15"/>
      <c r="L15"/>
      <c r="M15"/>
      <c r="N15"/>
      <c r="O15"/>
      <c r="P15"/>
      <c r="Q15"/>
    </row>
    <row r="16" spans="1:17" ht="14.4" x14ac:dyDescent="0.3">
      <c r="B16"/>
      <c r="C16"/>
      <c r="D16"/>
      <c r="E16"/>
      <c r="F16"/>
      <c r="G16"/>
      <c r="H16"/>
      <c r="I16"/>
      <c r="J16"/>
      <c r="K16"/>
      <c r="L16"/>
      <c r="M16"/>
      <c r="N16"/>
      <c r="O16"/>
      <c r="P16"/>
      <c r="Q16"/>
    </row>
    <row r="17" spans="2:17" ht="14.4" x14ac:dyDescent="0.3">
      <c r="B17"/>
      <c r="C17"/>
      <c r="D17"/>
      <c r="E17"/>
      <c r="F17"/>
      <c r="G17"/>
      <c r="H17"/>
      <c r="I17"/>
      <c r="J17"/>
      <c r="K17"/>
      <c r="L17"/>
      <c r="M17"/>
      <c r="N17"/>
      <c r="O17"/>
      <c r="P17"/>
      <c r="Q17"/>
    </row>
    <row r="24" spans="2:17" ht="25.2" x14ac:dyDescent="0.45">
      <c r="B24" s="180" t="s">
        <v>95</v>
      </c>
      <c r="C24" s="180"/>
      <c r="D24" s="180"/>
      <c r="E24" s="180"/>
      <c r="F24" s="180"/>
      <c r="G24" s="180"/>
      <c r="H24" s="180"/>
      <c r="I24" s="180"/>
      <c r="J24" s="180"/>
      <c r="K24" s="180"/>
      <c r="L24" s="180"/>
      <c r="M24" s="180"/>
      <c r="N24" s="180"/>
      <c r="O24" s="180"/>
    </row>
    <row r="26" spans="2:17" ht="33.6" x14ac:dyDescent="0.3">
      <c r="B26" s="117" t="s">
        <v>92</v>
      </c>
      <c r="C26" s="117" t="s">
        <v>90</v>
      </c>
      <c r="D26"/>
      <c r="E26"/>
      <c r="F26"/>
      <c r="G26"/>
      <c r="H26"/>
      <c r="I26"/>
      <c r="J26"/>
      <c r="K26"/>
      <c r="L26"/>
      <c r="M26"/>
      <c r="N26"/>
      <c r="O26"/>
      <c r="P26"/>
      <c r="Q26"/>
    </row>
    <row r="27" spans="2:17" ht="16.8" x14ac:dyDescent="0.3">
      <c r="B27" s="117" t="s">
        <v>0</v>
      </c>
      <c r="C27" s="75" t="s">
        <v>133</v>
      </c>
      <c r="D27"/>
      <c r="E27"/>
      <c r="F27"/>
      <c r="G27"/>
      <c r="H27"/>
      <c r="I27"/>
      <c r="J27"/>
      <c r="K27"/>
      <c r="L27"/>
      <c r="M27"/>
      <c r="N27"/>
      <c r="O27"/>
      <c r="P27"/>
      <c r="Q27"/>
    </row>
    <row r="28" spans="2:17" ht="16.8" x14ac:dyDescent="0.3">
      <c r="B28" s="75" t="s">
        <v>133</v>
      </c>
      <c r="C28" s="75"/>
      <c r="D28"/>
      <c r="E28"/>
      <c r="F28"/>
      <c r="G28"/>
      <c r="H28"/>
      <c r="I28"/>
      <c r="J28"/>
      <c r="K28"/>
      <c r="L28"/>
      <c r="M28"/>
      <c r="N28"/>
      <c r="O28"/>
      <c r="P28"/>
      <c r="Q28"/>
    </row>
    <row r="29" spans="2:17" ht="14.4" x14ac:dyDescent="0.3">
      <c r="B29"/>
      <c r="C29"/>
      <c r="D29"/>
      <c r="E29"/>
      <c r="F29"/>
      <c r="G29"/>
      <c r="H29"/>
      <c r="I29"/>
      <c r="J29"/>
      <c r="K29"/>
      <c r="L29"/>
      <c r="M29"/>
      <c r="N29"/>
      <c r="O29"/>
      <c r="P29"/>
      <c r="Q29"/>
    </row>
    <row r="30" spans="2:17" ht="14.4" x14ac:dyDescent="0.3">
      <c r="B30"/>
      <c r="C30"/>
      <c r="D30"/>
      <c r="E30"/>
      <c r="F30"/>
      <c r="G30"/>
      <c r="H30"/>
      <c r="I30"/>
      <c r="J30"/>
      <c r="K30"/>
      <c r="L30"/>
      <c r="M30"/>
      <c r="N30"/>
      <c r="O30"/>
      <c r="P30"/>
      <c r="Q30"/>
    </row>
    <row r="31" spans="2:17" ht="14.4" x14ac:dyDescent="0.3">
      <c r="B31"/>
      <c r="C31"/>
      <c r="D31"/>
      <c r="E31"/>
      <c r="F31"/>
      <c r="G31"/>
      <c r="H31"/>
      <c r="I31"/>
      <c r="J31"/>
      <c r="K31"/>
      <c r="L31"/>
      <c r="M31"/>
      <c r="N31"/>
      <c r="O31"/>
      <c r="P31"/>
      <c r="Q31"/>
    </row>
    <row r="32" spans="2:17" ht="14.4" x14ac:dyDescent="0.3">
      <c r="B32"/>
      <c r="C32"/>
      <c r="D32"/>
      <c r="E32"/>
      <c r="F32"/>
      <c r="G32"/>
      <c r="H32"/>
      <c r="I32"/>
      <c r="J32"/>
      <c r="K32"/>
      <c r="L32"/>
      <c r="M32"/>
      <c r="N32"/>
      <c r="O32"/>
      <c r="P32"/>
      <c r="Q32"/>
    </row>
    <row r="33" spans="2:17" ht="14.4" x14ac:dyDescent="0.3">
      <c r="B33"/>
      <c r="C33"/>
      <c r="D33"/>
      <c r="E33"/>
      <c r="F33"/>
      <c r="G33"/>
      <c r="H33"/>
      <c r="I33"/>
      <c r="J33"/>
      <c r="K33"/>
      <c r="L33"/>
      <c r="M33"/>
      <c r="N33"/>
      <c r="O33"/>
      <c r="P33"/>
      <c r="Q33"/>
    </row>
    <row r="36" spans="2:17" ht="25.2" x14ac:dyDescent="0.45">
      <c r="B36" s="180" t="s">
        <v>96</v>
      </c>
      <c r="C36" s="180"/>
      <c r="D36" s="180"/>
      <c r="E36" s="180"/>
      <c r="F36" s="180"/>
      <c r="G36" s="180"/>
      <c r="H36" s="180"/>
      <c r="I36" s="180"/>
      <c r="J36" s="180"/>
      <c r="K36" s="180"/>
      <c r="L36" s="180"/>
      <c r="M36" s="180"/>
      <c r="N36" s="180"/>
      <c r="O36" s="180"/>
    </row>
    <row r="38" spans="2:17" ht="18" x14ac:dyDescent="0.3">
      <c r="B38" s="133" t="s">
        <v>139</v>
      </c>
      <c r="C38" s="133" t="s">
        <v>90</v>
      </c>
      <c r="D38"/>
      <c r="E38"/>
      <c r="F38"/>
      <c r="G38"/>
      <c r="H38"/>
      <c r="I38"/>
    </row>
    <row r="39" spans="2:17" ht="18" x14ac:dyDescent="0.3">
      <c r="B39" s="133" t="s">
        <v>0</v>
      </c>
      <c r="C39" s="134" t="s">
        <v>133</v>
      </c>
      <c r="D39"/>
      <c r="E39"/>
      <c r="F39"/>
      <c r="G39"/>
      <c r="H39"/>
      <c r="I39"/>
    </row>
    <row r="40" spans="2:17" ht="18" x14ac:dyDescent="0.3">
      <c r="B40" s="134" t="s">
        <v>133</v>
      </c>
      <c r="C40" s="134"/>
      <c r="D40"/>
      <c r="E40"/>
      <c r="F40"/>
      <c r="G40"/>
      <c r="H40"/>
      <c r="I40"/>
    </row>
    <row r="41" spans="2:17" ht="14.4" x14ac:dyDescent="0.3">
      <c r="B41"/>
      <c r="C41"/>
      <c r="D41"/>
      <c r="E41"/>
      <c r="F41"/>
      <c r="G41"/>
      <c r="H41"/>
      <c r="I41"/>
    </row>
    <row r="42" spans="2:17" ht="14.4" x14ac:dyDescent="0.3">
      <c r="B42"/>
      <c r="C42"/>
      <c r="D42"/>
      <c r="E42"/>
      <c r="F42"/>
      <c r="G42"/>
      <c r="H42"/>
      <c r="I42"/>
    </row>
    <row r="43" spans="2:17" ht="14.4" x14ac:dyDescent="0.3">
      <c r="B43"/>
      <c r="C43"/>
      <c r="D43"/>
    </row>
    <row r="44" spans="2:17" ht="14.4" x14ac:dyDescent="0.3">
      <c r="B44"/>
      <c r="C44"/>
      <c r="D44"/>
    </row>
    <row r="45" spans="2:17" ht="25.2" x14ac:dyDescent="0.45">
      <c r="B45" s="180" t="s">
        <v>98</v>
      </c>
      <c r="C45" s="180"/>
      <c r="D45" s="180"/>
      <c r="E45" s="180"/>
      <c r="F45" s="180"/>
      <c r="G45" s="180"/>
      <c r="H45" s="180"/>
      <c r="I45" s="180"/>
      <c r="J45" s="180"/>
      <c r="K45" s="180"/>
      <c r="L45" s="180"/>
      <c r="M45" s="180"/>
      <c r="N45" s="180"/>
      <c r="O45" s="180"/>
    </row>
    <row r="46" spans="2:17" ht="14.4" x14ac:dyDescent="0.3">
      <c r="B46"/>
      <c r="C46"/>
      <c r="D46"/>
    </row>
    <row r="47" spans="2:17" ht="18" x14ac:dyDescent="0.3">
      <c r="B47" s="133" t="s">
        <v>0</v>
      </c>
      <c r="C47" s="134" t="s">
        <v>93</v>
      </c>
      <c r="D47"/>
    </row>
    <row r="48" spans="2:17" ht="18" x14ac:dyDescent="0.3">
      <c r="B48" s="134" t="s">
        <v>133</v>
      </c>
      <c r="C48" s="134"/>
      <c r="D48"/>
    </row>
    <row r="49" spans="2:4" ht="14.4" x14ac:dyDescent="0.3">
      <c r="B49"/>
      <c r="C49"/>
      <c r="D49"/>
    </row>
    <row r="50" spans="2:4" ht="14.4" x14ac:dyDescent="0.3">
      <c r="B50"/>
      <c r="C50"/>
      <c r="D50"/>
    </row>
    <row r="51" spans="2:4" ht="14.4" x14ac:dyDescent="0.3">
      <c r="B51"/>
      <c r="C51"/>
      <c r="D51"/>
    </row>
    <row r="52" spans="2:4" ht="14.4" x14ac:dyDescent="0.3">
      <c r="B52"/>
      <c r="C52"/>
      <c r="D52"/>
    </row>
    <row r="53" spans="2:4" ht="14.4" x14ac:dyDescent="0.3">
      <c r="B53"/>
      <c r="C53"/>
      <c r="D53"/>
    </row>
    <row r="54" spans="2:4" ht="14.4" x14ac:dyDescent="0.3">
      <c r="B54"/>
      <c r="C54"/>
      <c r="D54"/>
    </row>
    <row r="55" spans="2:4" ht="14.4" x14ac:dyDescent="0.3">
      <c r="B55"/>
      <c r="C55"/>
      <c r="D55"/>
    </row>
    <row r="56" spans="2:4" ht="14.4" x14ac:dyDescent="0.3">
      <c r="B56"/>
      <c r="C56"/>
      <c r="D56"/>
    </row>
    <row r="57" spans="2:4" ht="14.4" x14ac:dyDescent="0.3">
      <c r="B57"/>
      <c r="C57"/>
      <c r="D57"/>
    </row>
    <row r="58" spans="2:4" ht="14.4" x14ac:dyDescent="0.3">
      <c r="B58"/>
      <c r="C58"/>
      <c r="D58"/>
    </row>
    <row r="59" spans="2:4" ht="14.4" x14ac:dyDescent="0.3">
      <c r="B59"/>
      <c r="C59"/>
      <c r="D59"/>
    </row>
    <row r="60" spans="2:4" ht="14.4" x14ac:dyDescent="0.3">
      <c r="B60"/>
      <c r="C60"/>
      <c r="D60"/>
    </row>
    <row r="61" spans="2:4" ht="14.4" x14ac:dyDescent="0.3">
      <c r="B61"/>
      <c r="C61"/>
      <c r="D61"/>
    </row>
    <row r="62" spans="2:4" ht="14.4" x14ac:dyDescent="0.3">
      <c r="B62"/>
      <c r="C62"/>
      <c r="D62"/>
    </row>
    <row r="63" spans="2:4" ht="14.4" x14ac:dyDescent="0.3">
      <c r="B63"/>
      <c r="C63"/>
      <c r="D63"/>
    </row>
    <row r="64" spans="2:4" ht="14.4" x14ac:dyDescent="0.3">
      <c r="B64"/>
      <c r="C64"/>
      <c r="D64"/>
    </row>
  </sheetData>
  <mergeCells count="4">
    <mergeCell ref="B45:O45"/>
    <mergeCell ref="B6:O6"/>
    <mergeCell ref="B24:O24"/>
    <mergeCell ref="B36:O36"/>
  </mergeCells>
  <pageMargins left="0.7" right="0.7" top="0.75" bottom="0.75" header="0.3" footer="0.3"/>
  <pageSetup paperSize="9" orientation="portrait" r:id="rId5"/>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3197B-9254-42AA-9153-10557B635274}">
  <sheetPr codeName="Sheet10"/>
  <dimension ref="A1:Q69"/>
  <sheetViews>
    <sheetView showGridLines="0" showRowColHeaders="0" zoomScale="115" zoomScaleNormal="115" workbookViewId="0">
      <pane xSplit="2" ySplit="3" topLeftCell="C16" activePane="bottomRight" state="frozen"/>
      <selection pane="topRight" activeCell="C1" sqref="C1"/>
      <selection pane="bottomLeft" activeCell="A4" sqref="A4"/>
      <selection pane="bottomRight" activeCell="F2" sqref="F2"/>
    </sheetView>
  </sheetViews>
  <sheetFormatPr defaultColWidth="9.21875" defaultRowHeight="13.8" x14ac:dyDescent="0.25"/>
  <cols>
    <col min="1" max="1" width="9.21875" style="116"/>
    <col min="2" max="2" width="21.21875" style="116" customWidth="1"/>
    <col min="3" max="7" width="13.21875" style="116" customWidth="1"/>
    <col min="8" max="8" width="10.5546875" style="116" customWidth="1"/>
    <col min="9" max="16384" width="9.21875" style="116"/>
  </cols>
  <sheetData>
    <row r="1" spans="1:17" ht="33" customHeight="1" x14ac:dyDescent="0.25">
      <c r="A1" s="118"/>
      <c r="B1" s="118"/>
      <c r="C1" s="118"/>
      <c r="D1" s="118"/>
      <c r="E1" s="118"/>
      <c r="F1" s="118"/>
      <c r="G1" s="118"/>
      <c r="H1" s="118"/>
      <c r="I1" s="118"/>
      <c r="J1" s="118"/>
      <c r="K1" s="118"/>
      <c r="L1" s="118"/>
      <c r="M1" s="118"/>
      <c r="N1" s="118"/>
      <c r="O1" s="118"/>
      <c r="P1" s="118"/>
      <c r="Q1" s="118"/>
    </row>
    <row r="2" spans="1:17" ht="33" customHeight="1" x14ac:dyDescent="0.25">
      <c r="A2" s="118"/>
      <c r="B2" s="119" t="s">
        <v>126</v>
      </c>
      <c r="C2" s="118"/>
      <c r="D2" s="118"/>
      <c r="E2" s="118"/>
      <c r="F2" s="118"/>
      <c r="G2" s="118"/>
      <c r="H2" s="118"/>
      <c r="I2" s="118"/>
      <c r="J2" s="118"/>
      <c r="K2" s="118"/>
      <c r="L2" s="118"/>
      <c r="M2" s="118"/>
      <c r="N2" s="118"/>
      <c r="O2" s="118"/>
      <c r="P2" s="118"/>
      <c r="Q2" s="118"/>
    </row>
    <row r="3" spans="1:17" ht="42" customHeight="1" x14ac:dyDescent="0.25">
      <c r="A3" s="118"/>
      <c r="B3" s="118"/>
      <c r="C3" s="119"/>
      <c r="D3" s="119"/>
      <c r="E3" s="119"/>
      <c r="F3" s="119"/>
      <c r="G3" s="119"/>
      <c r="H3" s="119"/>
      <c r="I3" s="119"/>
      <c r="J3" s="119"/>
      <c r="K3" s="119"/>
      <c r="L3" s="119"/>
      <c r="M3" s="119"/>
      <c r="N3" s="119"/>
      <c r="O3" s="119"/>
      <c r="P3" s="118"/>
      <c r="Q3" s="118"/>
    </row>
    <row r="6" spans="1:17" ht="25.2" x14ac:dyDescent="0.45">
      <c r="B6" s="180" t="s">
        <v>94</v>
      </c>
      <c r="C6" s="180"/>
      <c r="D6" s="180"/>
      <c r="E6" s="180"/>
      <c r="F6" s="180"/>
      <c r="G6" s="180"/>
      <c r="H6" s="180"/>
      <c r="I6" s="180"/>
      <c r="J6" s="180"/>
      <c r="K6" s="180"/>
      <c r="L6" s="180"/>
      <c r="M6" s="180"/>
      <c r="N6" s="180"/>
      <c r="O6" s="180"/>
    </row>
    <row r="8" spans="1:17" ht="16.8" x14ac:dyDescent="0.3">
      <c r="B8" s="117" t="s">
        <v>89</v>
      </c>
      <c r="C8" s="117" t="s">
        <v>90</v>
      </c>
      <c r="D8" s="75"/>
      <c r="E8" s="75"/>
      <c r="F8" s="75"/>
      <c r="G8" s="75"/>
      <c r="H8" s="75"/>
      <c r="I8" s="75"/>
      <c r="J8"/>
      <c r="K8"/>
      <c r="L8"/>
      <c r="M8"/>
      <c r="N8"/>
      <c r="O8"/>
    </row>
    <row r="9" spans="1:17" ht="16.8" x14ac:dyDescent="0.3">
      <c r="B9" s="117" t="s">
        <v>91</v>
      </c>
      <c r="C9" s="75">
        <v>2</v>
      </c>
      <c r="D9" s="75">
        <v>3</v>
      </c>
      <c r="E9" s="75">
        <v>4</v>
      </c>
      <c r="F9" s="75">
        <v>5</v>
      </c>
      <c r="G9" s="75">
        <v>6</v>
      </c>
      <c r="H9" s="75">
        <v>7</v>
      </c>
      <c r="I9" s="75" t="s">
        <v>133</v>
      </c>
      <c r="J9"/>
      <c r="K9"/>
      <c r="L9"/>
      <c r="M9"/>
      <c r="N9"/>
      <c r="O9"/>
    </row>
    <row r="10" spans="1:17" ht="16.8" x14ac:dyDescent="0.3">
      <c r="B10" s="75" t="s">
        <v>44</v>
      </c>
      <c r="C10" s="75"/>
      <c r="D10" s="75"/>
      <c r="E10" s="75"/>
      <c r="F10" s="75"/>
      <c r="G10" s="75"/>
      <c r="H10" s="75">
        <v>2</v>
      </c>
      <c r="I10" s="75">
        <v>2</v>
      </c>
      <c r="J10"/>
      <c r="K10"/>
      <c r="L10"/>
      <c r="M10"/>
      <c r="N10"/>
      <c r="O10"/>
    </row>
    <row r="11" spans="1:17" ht="16.8" x14ac:dyDescent="0.3">
      <c r="B11" s="75" t="s">
        <v>1</v>
      </c>
      <c r="C11" s="75"/>
      <c r="D11" s="75"/>
      <c r="E11" s="75"/>
      <c r="F11" s="75"/>
      <c r="G11" s="75">
        <v>1</v>
      </c>
      <c r="H11" s="75">
        <v>1</v>
      </c>
      <c r="I11" s="75">
        <v>2</v>
      </c>
      <c r="J11"/>
      <c r="K11"/>
      <c r="L11"/>
      <c r="M11"/>
      <c r="N11"/>
      <c r="O11"/>
    </row>
    <row r="12" spans="1:17" ht="16.8" x14ac:dyDescent="0.3">
      <c r="B12" s="75" t="s">
        <v>40</v>
      </c>
      <c r="C12" s="75">
        <v>1</v>
      </c>
      <c r="D12" s="75">
        <v>1</v>
      </c>
      <c r="E12" s="75"/>
      <c r="F12" s="75"/>
      <c r="G12" s="75"/>
      <c r="H12" s="75"/>
      <c r="I12" s="75">
        <v>2</v>
      </c>
      <c r="J12"/>
      <c r="K12"/>
      <c r="L12"/>
      <c r="M12"/>
      <c r="N12"/>
      <c r="O12"/>
    </row>
    <row r="13" spans="1:17" ht="16.8" x14ac:dyDescent="0.3">
      <c r="B13" s="75" t="s">
        <v>45</v>
      </c>
      <c r="C13" s="75"/>
      <c r="D13" s="75"/>
      <c r="E13" s="75">
        <v>1</v>
      </c>
      <c r="F13" s="75">
        <v>1</v>
      </c>
      <c r="G13" s="75"/>
      <c r="H13" s="75"/>
      <c r="I13" s="75">
        <v>2</v>
      </c>
      <c r="J13"/>
      <c r="K13"/>
      <c r="L13"/>
      <c r="M13"/>
      <c r="N13"/>
      <c r="O13"/>
    </row>
    <row r="14" spans="1:17" ht="16.8" x14ac:dyDescent="0.3">
      <c r="B14" s="75" t="s">
        <v>133</v>
      </c>
      <c r="C14" s="75">
        <v>1</v>
      </c>
      <c r="D14" s="75">
        <v>1</v>
      </c>
      <c r="E14" s="75">
        <v>1</v>
      </c>
      <c r="F14" s="75">
        <v>1</v>
      </c>
      <c r="G14" s="75">
        <v>1</v>
      </c>
      <c r="H14" s="75">
        <v>3</v>
      </c>
      <c r="I14" s="75">
        <v>8</v>
      </c>
      <c r="J14"/>
      <c r="K14"/>
      <c r="L14"/>
      <c r="M14"/>
      <c r="N14"/>
      <c r="O14"/>
    </row>
    <row r="15" spans="1:17" ht="14.4" x14ac:dyDescent="0.3">
      <c r="B15"/>
      <c r="C15"/>
      <c r="D15"/>
      <c r="E15"/>
      <c r="F15"/>
      <c r="G15"/>
      <c r="H15"/>
      <c r="I15"/>
      <c r="J15"/>
      <c r="K15"/>
      <c r="L15"/>
      <c r="M15"/>
      <c r="N15"/>
      <c r="O15"/>
    </row>
    <row r="16" spans="1:17" ht="14.4" x14ac:dyDescent="0.3">
      <c r="B16"/>
      <c r="C16"/>
      <c r="D16"/>
      <c r="E16"/>
      <c r="F16"/>
      <c r="G16"/>
      <c r="H16"/>
      <c r="I16"/>
      <c r="J16"/>
      <c r="K16"/>
      <c r="L16"/>
      <c r="M16"/>
      <c r="N16"/>
      <c r="O16"/>
    </row>
    <row r="17" spans="2:15" ht="14.4" x14ac:dyDescent="0.3">
      <c r="B17"/>
      <c r="C17"/>
      <c r="D17"/>
      <c r="E17"/>
      <c r="F17"/>
      <c r="G17"/>
      <c r="H17"/>
      <c r="I17"/>
      <c r="J17"/>
      <c r="K17"/>
      <c r="L17"/>
      <c r="M17"/>
      <c r="N17"/>
      <c r="O17"/>
    </row>
    <row r="18" spans="2:15" ht="14.4" x14ac:dyDescent="0.3">
      <c r="B18"/>
      <c r="C18"/>
      <c r="D18"/>
      <c r="E18"/>
      <c r="F18"/>
      <c r="G18"/>
      <c r="H18"/>
      <c r="I18"/>
      <c r="J18"/>
      <c r="K18"/>
      <c r="L18"/>
      <c r="M18"/>
      <c r="N18"/>
      <c r="O18"/>
    </row>
    <row r="19" spans="2:15" ht="14.4" x14ac:dyDescent="0.3">
      <c r="B19"/>
      <c r="C19"/>
      <c r="D19"/>
      <c r="E19"/>
      <c r="F19"/>
      <c r="G19"/>
    </row>
    <row r="24" spans="2:15" ht="25.2" x14ac:dyDescent="0.45">
      <c r="B24" s="180" t="s">
        <v>95</v>
      </c>
      <c r="C24" s="180"/>
      <c r="D24" s="180"/>
      <c r="E24" s="180"/>
      <c r="F24" s="180"/>
      <c r="G24" s="180"/>
      <c r="H24" s="180"/>
      <c r="I24" s="180"/>
      <c r="J24" s="180"/>
      <c r="K24" s="180"/>
      <c r="L24" s="180"/>
      <c r="M24" s="180"/>
      <c r="N24" s="180"/>
      <c r="O24" s="180"/>
    </row>
    <row r="26" spans="2:15" ht="16.8" x14ac:dyDescent="0.3">
      <c r="B26" s="117" t="s">
        <v>92</v>
      </c>
      <c r="C26" s="117" t="s">
        <v>90</v>
      </c>
      <c r="D26" s="75"/>
      <c r="E26" s="75"/>
      <c r="F26" s="75"/>
      <c r="G26" s="75"/>
      <c r="H26"/>
      <c r="I26"/>
      <c r="J26"/>
      <c r="K26"/>
      <c r="L26"/>
      <c r="M26"/>
      <c r="N26"/>
      <c r="O26"/>
    </row>
    <row r="27" spans="2:15" ht="16.8" x14ac:dyDescent="0.3">
      <c r="B27" s="117" t="s">
        <v>97</v>
      </c>
      <c r="C27" s="75">
        <v>4</v>
      </c>
      <c r="D27" s="75">
        <v>5</v>
      </c>
      <c r="E27" s="75">
        <v>7</v>
      </c>
      <c r="F27" s="75">
        <v>10</v>
      </c>
      <c r="G27" s="75" t="s">
        <v>133</v>
      </c>
      <c r="H27"/>
      <c r="I27"/>
      <c r="J27"/>
      <c r="K27"/>
      <c r="L27"/>
      <c r="M27"/>
      <c r="N27"/>
      <c r="O27"/>
    </row>
    <row r="28" spans="2:15" ht="16.8" x14ac:dyDescent="0.3">
      <c r="B28" s="75" t="s">
        <v>2</v>
      </c>
      <c r="C28" s="75">
        <v>1</v>
      </c>
      <c r="D28" s="75"/>
      <c r="E28" s="75"/>
      <c r="F28" s="75"/>
      <c r="G28" s="75">
        <v>1</v>
      </c>
      <c r="H28"/>
      <c r="I28"/>
      <c r="J28"/>
      <c r="K28"/>
      <c r="L28"/>
      <c r="M28"/>
      <c r="N28"/>
      <c r="O28"/>
    </row>
    <row r="29" spans="2:15" ht="16.8" x14ac:dyDescent="0.3">
      <c r="B29" s="75" t="s">
        <v>10</v>
      </c>
      <c r="C29" s="75"/>
      <c r="D29" s="75"/>
      <c r="E29" s="75">
        <v>1</v>
      </c>
      <c r="F29" s="75"/>
      <c r="G29" s="75">
        <v>1</v>
      </c>
      <c r="H29"/>
      <c r="I29"/>
      <c r="J29"/>
      <c r="K29"/>
      <c r="L29"/>
      <c r="M29"/>
      <c r="N29"/>
      <c r="O29"/>
    </row>
    <row r="30" spans="2:15" ht="16.8" x14ac:dyDescent="0.3">
      <c r="B30" s="75" t="s">
        <v>11</v>
      </c>
      <c r="C30" s="75"/>
      <c r="D30" s="75">
        <v>1</v>
      </c>
      <c r="E30" s="75"/>
      <c r="F30" s="75"/>
      <c r="G30" s="75">
        <v>1</v>
      </c>
      <c r="H30"/>
      <c r="I30"/>
      <c r="J30"/>
      <c r="K30"/>
      <c r="L30"/>
      <c r="M30"/>
      <c r="N30"/>
      <c r="O30"/>
    </row>
    <row r="31" spans="2:15" ht="16.8" x14ac:dyDescent="0.3">
      <c r="B31" s="75" t="s">
        <v>8</v>
      </c>
      <c r="C31" s="75"/>
      <c r="D31" s="75"/>
      <c r="E31" s="75"/>
      <c r="F31" s="75">
        <v>1</v>
      </c>
      <c r="G31" s="75">
        <v>1</v>
      </c>
      <c r="H31"/>
      <c r="I31"/>
      <c r="J31"/>
      <c r="K31"/>
      <c r="L31"/>
      <c r="M31"/>
      <c r="N31"/>
      <c r="O31"/>
    </row>
    <row r="32" spans="2:15" ht="16.8" x14ac:dyDescent="0.3">
      <c r="B32" s="75" t="s">
        <v>68</v>
      </c>
      <c r="C32" s="75"/>
      <c r="D32" s="75">
        <v>1</v>
      </c>
      <c r="E32" s="75">
        <v>1</v>
      </c>
      <c r="F32" s="75"/>
      <c r="G32" s="75">
        <v>2</v>
      </c>
      <c r="H32"/>
      <c r="I32"/>
      <c r="J32"/>
      <c r="K32"/>
      <c r="L32"/>
      <c r="M32"/>
      <c r="N32"/>
      <c r="O32"/>
    </row>
    <row r="33" spans="2:15" ht="16.8" x14ac:dyDescent="0.3">
      <c r="B33" s="75" t="s">
        <v>133</v>
      </c>
      <c r="C33" s="75">
        <v>1</v>
      </c>
      <c r="D33" s="75">
        <v>2</v>
      </c>
      <c r="E33" s="75">
        <v>2</v>
      </c>
      <c r="F33" s="75">
        <v>1</v>
      </c>
      <c r="G33" s="75">
        <v>6</v>
      </c>
      <c r="H33"/>
      <c r="I33"/>
      <c r="J33"/>
      <c r="K33"/>
      <c r="L33"/>
      <c r="M33"/>
      <c r="N33"/>
      <c r="O33"/>
    </row>
    <row r="34" spans="2:15" ht="14.4" x14ac:dyDescent="0.3">
      <c r="B34"/>
      <c r="C34"/>
      <c r="D34"/>
      <c r="E34"/>
      <c r="F34"/>
      <c r="G34"/>
      <c r="H34"/>
      <c r="I34"/>
      <c r="J34"/>
      <c r="K34"/>
      <c r="L34"/>
      <c r="M34"/>
      <c r="N34"/>
      <c r="O34"/>
    </row>
    <row r="35" spans="2:15" ht="14.4" x14ac:dyDescent="0.3">
      <c r="B35"/>
      <c r="C35"/>
      <c r="D35"/>
      <c r="E35"/>
      <c r="F35"/>
      <c r="G35"/>
      <c r="H35"/>
      <c r="I35"/>
      <c r="J35"/>
      <c r="K35"/>
      <c r="L35"/>
      <c r="M35"/>
      <c r="N35"/>
      <c r="O35"/>
    </row>
    <row r="40" spans="2:15" ht="25.2" x14ac:dyDescent="0.45">
      <c r="B40" s="180" t="s">
        <v>96</v>
      </c>
      <c r="C40" s="180"/>
      <c r="D40" s="180"/>
      <c r="E40" s="180"/>
      <c r="F40" s="180"/>
      <c r="G40" s="180"/>
      <c r="H40" s="180"/>
      <c r="I40" s="180"/>
      <c r="J40" s="180"/>
      <c r="K40" s="180"/>
      <c r="L40" s="180"/>
      <c r="M40" s="180"/>
      <c r="N40" s="180"/>
      <c r="O40" s="180"/>
    </row>
    <row r="41" spans="2:15" ht="14.4" x14ac:dyDescent="0.3">
      <c r="B41"/>
      <c r="C41"/>
    </row>
    <row r="42" spans="2:15" ht="18" x14ac:dyDescent="0.3">
      <c r="B42" s="133" t="s">
        <v>139</v>
      </c>
      <c r="C42" s="133" t="s">
        <v>90</v>
      </c>
      <c r="D42" s="134"/>
      <c r="E42"/>
      <c r="F42"/>
      <c r="G42"/>
      <c r="H42"/>
    </row>
    <row r="43" spans="2:15" ht="18" x14ac:dyDescent="0.3">
      <c r="B43" s="133" t="s">
        <v>0</v>
      </c>
      <c r="C43" s="134">
        <v>4</v>
      </c>
      <c r="D43" s="134" t="s">
        <v>133</v>
      </c>
      <c r="E43"/>
      <c r="F43"/>
      <c r="G43"/>
      <c r="H43"/>
    </row>
    <row r="44" spans="2:15" ht="18" x14ac:dyDescent="0.3">
      <c r="B44" s="134" t="s">
        <v>155</v>
      </c>
      <c r="C44" s="134">
        <v>1</v>
      </c>
      <c r="D44" s="134">
        <v>1</v>
      </c>
      <c r="E44"/>
      <c r="F44"/>
      <c r="G44"/>
      <c r="H44"/>
    </row>
    <row r="45" spans="2:15" ht="18" x14ac:dyDescent="0.3">
      <c r="B45" s="134" t="s">
        <v>133</v>
      </c>
      <c r="C45" s="134">
        <v>1</v>
      </c>
      <c r="D45" s="134">
        <v>1</v>
      </c>
      <c r="E45"/>
      <c r="F45"/>
      <c r="G45"/>
      <c r="H45"/>
    </row>
    <row r="46" spans="2:15" ht="14.4" x14ac:dyDescent="0.3">
      <c r="B46"/>
      <c r="C46"/>
      <c r="D46"/>
      <c r="E46"/>
      <c r="F46"/>
      <c r="G46"/>
      <c r="H46"/>
    </row>
    <row r="47" spans="2:15" ht="14.4" x14ac:dyDescent="0.3">
      <c r="B47"/>
      <c r="C47"/>
      <c r="D47"/>
    </row>
    <row r="48" spans="2:15" ht="14.4" x14ac:dyDescent="0.3">
      <c r="B48"/>
      <c r="C48"/>
      <c r="D48"/>
    </row>
    <row r="49" spans="2:15" ht="14.4" x14ac:dyDescent="0.3">
      <c r="B49"/>
      <c r="C49"/>
      <c r="D49"/>
    </row>
    <row r="50" spans="2:15" ht="25.2" x14ac:dyDescent="0.45">
      <c r="B50" s="180" t="s">
        <v>98</v>
      </c>
      <c r="C50" s="180"/>
      <c r="D50" s="180"/>
      <c r="E50" s="180"/>
      <c r="F50" s="180"/>
      <c r="G50" s="180"/>
      <c r="H50" s="180"/>
      <c r="I50" s="180"/>
      <c r="J50" s="180"/>
      <c r="K50" s="180"/>
      <c r="L50" s="180"/>
      <c r="M50" s="180"/>
      <c r="N50" s="180"/>
      <c r="O50" s="180"/>
    </row>
    <row r="51" spans="2:15" ht="14.4" x14ac:dyDescent="0.3">
      <c r="B51"/>
      <c r="C51"/>
      <c r="D51"/>
    </row>
    <row r="52" spans="2:15" ht="18" x14ac:dyDescent="0.3">
      <c r="B52" s="133" t="s">
        <v>135</v>
      </c>
      <c r="C52" s="134" t="s">
        <v>93</v>
      </c>
      <c r="D52"/>
    </row>
    <row r="53" spans="2:15" ht="18" x14ac:dyDescent="0.3">
      <c r="B53" s="134" t="s">
        <v>157</v>
      </c>
      <c r="C53" s="134">
        <v>1</v>
      </c>
      <c r="D53"/>
    </row>
    <row r="54" spans="2:15" ht="18" x14ac:dyDescent="0.3">
      <c r="B54" s="134" t="s">
        <v>156</v>
      </c>
      <c r="C54" s="134">
        <v>1</v>
      </c>
      <c r="D54"/>
    </row>
    <row r="55" spans="2:15" ht="18" x14ac:dyDescent="0.3">
      <c r="B55" s="134" t="s">
        <v>122</v>
      </c>
      <c r="C55" s="134">
        <v>2</v>
      </c>
      <c r="D55"/>
    </row>
    <row r="56" spans="2:15" ht="14.4" x14ac:dyDescent="0.3">
      <c r="B56"/>
      <c r="C56"/>
      <c r="D56"/>
    </row>
    <row r="57" spans="2:15" ht="14.4" x14ac:dyDescent="0.3">
      <c r="B57"/>
      <c r="C57"/>
      <c r="D57"/>
    </row>
    <row r="58" spans="2:15" ht="14.4" x14ac:dyDescent="0.3">
      <c r="B58"/>
      <c r="C58"/>
      <c r="D58"/>
    </row>
    <row r="59" spans="2:15" ht="14.4" x14ac:dyDescent="0.3">
      <c r="B59"/>
      <c r="C59"/>
      <c r="D59"/>
    </row>
    <row r="60" spans="2:15" ht="14.4" x14ac:dyDescent="0.3">
      <c r="B60"/>
      <c r="C60"/>
      <c r="D60"/>
    </row>
    <row r="61" spans="2:15" ht="14.4" x14ac:dyDescent="0.3">
      <c r="B61"/>
      <c r="C61"/>
      <c r="D61"/>
    </row>
    <row r="62" spans="2:15" ht="14.4" x14ac:dyDescent="0.3">
      <c r="B62"/>
      <c r="C62"/>
      <c r="D62"/>
    </row>
    <row r="63" spans="2:15" ht="14.4" x14ac:dyDescent="0.3">
      <c r="B63"/>
      <c r="C63"/>
      <c r="D63"/>
    </row>
    <row r="64" spans="2:15" ht="14.4" x14ac:dyDescent="0.3">
      <c r="B64"/>
      <c r="C64"/>
      <c r="D64"/>
    </row>
    <row r="65" spans="2:4" ht="14.4" x14ac:dyDescent="0.3">
      <c r="B65"/>
      <c r="C65"/>
      <c r="D65"/>
    </row>
    <row r="66" spans="2:4" ht="14.4" x14ac:dyDescent="0.3">
      <c r="B66"/>
      <c r="C66"/>
      <c r="D66"/>
    </row>
    <row r="67" spans="2:4" ht="14.4" x14ac:dyDescent="0.3">
      <c r="B67"/>
      <c r="C67"/>
      <c r="D67"/>
    </row>
    <row r="68" spans="2:4" ht="14.4" x14ac:dyDescent="0.3">
      <c r="B68"/>
      <c r="C68"/>
      <c r="D68"/>
    </row>
    <row r="69" spans="2:4" ht="14.4" x14ac:dyDescent="0.3">
      <c r="B69"/>
      <c r="C69"/>
      <c r="D69"/>
    </row>
  </sheetData>
  <mergeCells count="4">
    <mergeCell ref="B6:O6"/>
    <mergeCell ref="B24:O24"/>
    <mergeCell ref="B40:O40"/>
    <mergeCell ref="B50:O50"/>
  </mergeCells>
  <pageMargins left="0.7" right="0.7" top="0.75" bottom="0.75" header="0.3" footer="0.3"/>
  <pageSetup paperSize="9" orientation="portrait" verticalDpi="0" r:id="rId5"/>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02462-9DFE-4504-992F-297984739A0C}">
  <sheetPr codeName="Sheet11"/>
  <dimension ref="A1:T70"/>
  <sheetViews>
    <sheetView showGridLines="0" showRowColHeaders="0" workbookViewId="0">
      <pane xSplit="2" ySplit="3" topLeftCell="C4" activePane="bottomRight" state="frozen"/>
      <selection pane="topRight" activeCell="C1" sqref="C1"/>
      <selection pane="bottomLeft" activeCell="A4" sqref="A4"/>
      <selection pane="bottomRight" activeCell="D10" sqref="D10"/>
    </sheetView>
  </sheetViews>
  <sheetFormatPr defaultColWidth="9.21875" defaultRowHeight="14.4" x14ac:dyDescent="0.3"/>
  <cols>
    <col min="1" max="1" width="9.21875" style="23"/>
    <col min="2" max="2" width="14.44140625" style="23" bestFit="1" customWidth="1"/>
    <col min="3" max="3" width="10.5546875" style="23" bestFit="1" customWidth="1"/>
    <col min="4" max="6" width="12.77734375" style="23" customWidth="1"/>
    <col min="7" max="9" width="10.77734375" style="23" customWidth="1"/>
    <col min="10" max="16384" width="9.21875" style="23"/>
  </cols>
  <sheetData>
    <row r="1" spans="1:20" ht="36" customHeight="1" x14ac:dyDescent="0.3">
      <c r="A1" s="40"/>
      <c r="B1" s="40"/>
      <c r="C1" s="40"/>
      <c r="D1" s="40"/>
      <c r="E1" s="40"/>
      <c r="F1" s="40"/>
      <c r="G1" s="40"/>
      <c r="H1" s="40"/>
      <c r="I1" s="40"/>
      <c r="J1" s="40"/>
      <c r="K1" s="40"/>
      <c r="L1" s="40"/>
      <c r="M1" s="40"/>
      <c r="N1" s="40"/>
      <c r="O1" s="40"/>
      <c r="P1" s="40"/>
      <c r="Q1" s="40"/>
      <c r="R1" s="40"/>
      <c r="S1" s="40"/>
      <c r="T1" s="40"/>
    </row>
    <row r="2" spans="1:20" ht="36" customHeight="1" x14ac:dyDescent="0.3">
      <c r="A2" s="40"/>
      <c r="B2" s="128" t="s">
        <v>127</v>
      </c>
      <c r="C2" s="40"/>
      <c r="D2" s="40"/>
      <c r="E2" s="40"/>
      <c r="F2" s="40"/>
      <c r="G2" s="40"/>
      <c r="H2" s="40"/>
      <c r="I2" s="40"/>
      <c r="J2" s="40"/>
      <c r="K2" s="40"/>
      <c r="L2" s="40"/>
      <c r="M2" s="40"/>
      <c r="N2" s="40"/>
      <c r="O2" s="40"/>
      <c r="P2" s="40"/>
      <c r="Q2" s="40"/>
      <c r="R2" s="40"/>
      <c r="S2" s="40"/>
      <c r="T2" s="40"/>
    </row>
    <row r="3" spans="1:20" ht="36" customHeight="1" x14ac:dyDescent="0.3">
      <c r="A3" s="40"/>
      <c r="B3" s="40"/>
      <c r="C3" s="40"/>
      <c r="D3" s="40"/>
      <c r="E3" s="40"/>
      <c r="F3" s="40"/>
      <c r="G3" s="40"/>
      <c r="H3" s="40"/>
      <c r="I3" s="40"/>
      <c r="J3" s="40"/>
      <c r="K3" s="40"/>
      <c r="L3" s="40"/>
      <c r="M3" s="40"/>
      <c r="N3" s="40"/>
      <c r="O3" s="40"/>
      <c r="P3" s="40"/>
      <c r="Q3" s="40"/>
      <c r="R3" s="40"/>
      <c r="S3" s="40"/>
      <c r="T3" s="40"/>
    </row>
    <row r="6" spans="1:20" ht="25.2" x14ac:dyDescent="0.45">
      <c r="B6" s="180" t="s">
        <v>94</v>
      </c>
      <c r="C6" s="180"/>
      <c r="D6" s="180"/>
      <c r="E6" s="180"/>
      <c r="F6" s="180"/>
      <c r="G6" s="180"/>
      <c r="H6" s="180"/>
      <c r="I6" s="180"/>
      <c r="J6" s="180"/>
      <c r="K6" s="180"/>
      <c r="L6" s="180"/>
      <c r="M6" s="180"/>
      <c r="N6" s="180"/>
      <c r="O6" s="180"/>
    </row>
    <row r="8" spans="1:20" ht="16.8" x14ac:dyDescent="0.3">
      <c r="B8" s="117" t="s">
        <v>89</v>
      </c>
      <c r="C8" s="117" t="s">
        <v>90</v>
      </c>
      <c r="D8"/>
      <c r="E8"/>
      <c r="F8"/>
    </row>
    <row r="9" spans="1:20" ht="16.8" x14ac:dyDescent="0.3">
      <c r="B9" s="117" t="s">
        <v>0</v>
      </c>
      <c r="C9" s="75" t="s">
        <v>133</v>
      </c>
      <c r="D9"/>
      <c r="E9"/>
      <c r="F9"/>
    </row>
    <row r="10" spans="1:20" ht="16.8" x14ac:dyDescent="0.3">
      <c r="B10" s="75" t="s">
        <v>133</v>
      </c>
      <c r="C10" s="75"/>
      <c r="D10"/>
      <c r="E10"/>
      <c r="F10"/>
    </row>
    <row r="11" spans="1:20" x14ac:dyDescent="0.3">
      <c r="B11"/>
      <c r="C11"/>
      <c r="D11"/>
      <c r="E11"/>
      <c r="F11"/>
    </row>
    <row r="12" spans="1:20" x14ac:dyDescent="0.3">
      <c r="B12"/>
      <c r="C12"/>
      <c r="D12"/>
      <c r="E12"/>
      <c r="F12"/>
    </row>
    <row r="13" spans="1:20" x14ac:dyDescent="0.3">
      <c r="B13"/>
      <c r="C13"/>
      <c r="D13"/>
      <c r="E13"/>
      <c r="F13"/>
    </row>
    <row r="24" spans="2:15" ht="25.2" x14ac:dyDescent="0.45">
      <c r="B24" s="180" t="s">
        <v>95</v>
      </c>
      <c r="C24" s="180"/>
      <c r="D24" s="180"/>
      <c r="E24" s="180"/>
      <c r="F24" s="180"/>
      <c r="G24" s="180"/>
      <c r="H24" s="180"/>
      <c r="I24" s="180"/>
      <c r="J24" s="180"/>
      <c r="K24" s="180"/>
      <c r="L24" s="180"/>
      <c r="M24" s="180"/>
      <c r="N24" s="180"/>
      <c r="O24" s="180"/>
    </row>
    <row r="26" spans="2:15" ht="33.6" x14ac:dyDescent="0.3">
      <c r="B26" s="117" t="s">
        <v>92</v>
      </c>
      <c r="C26" s="122" t="s">
        <v>90</v>
      </c>
      <c r="D26"/>
      <c r="E26"/>
      <c r="F26"/>
    </row>
    <row r="27" spans="2:15" ht="16.8" x14ac:dyDescent="0.3">
      <c r="B27" s="122" t="s">
        <v>0</v>
      </c>
      <c r="C27" s="123" t="s">
        <v>133</v>
      </c>
      <c r="D27"/>
      <c r="E27"/>
      <c r="F27"/>
    </row>
    <row r="28" spans="2:15" ht="16.8" x14ac:dyDescent="0.3">
      <c r="B28" s="123" t="s">
        <v>133</v>
      </c>
      <c r="C28" s="123"/>
      <c r="D28"/>
      <c r="E28"/>
      <c r="F28"/>
    </row>
    <row r="29" spans="2:15" x14ac:dyDescent="0.3">
      <c r="B29"/>
      <c r="C29"/>
      <c r="D29"/>
      <c r="E29"/>
      <c r="F29"/>
    </row>
    <row r="30" spans="2:15" x14ac:dyDescent="0.3">
      <c r="B30"/>
      <c r="C30"/>
      <c r="D30"/>
      <c r="E30"/>
      <c r="F30"/>
    </row>
    <row r="31" spans="2:15" x14ac:dyDescent="0.3">
      <c r="B31"/>
      <c r="C31"/>
      <c r="D31"/>
      <c r="E31"/>
      <c r="F31"/>
    </row>
    <row r="40" spans="2:15" ht="25.2" x14ac:dyDescent="0.45">
      <c r="B40" s="180" t="s">
        <v>96</v>
      </c>
      <c r="C40" s="180"/>
      <c r="D40" s="180"/>
      <c r="E40" s="180"/>
      <c r="F40" s="180"/>
      <c r="G40" s="180"/>
      <c r="H40" s="180"/>
      <c r="I40" s="180"/>
      <c r="J40" s="180"/>
      <c r="K40" s="180"/>
      <c r="L40" s="180"/>
      <c r="M40" s="180"/>
      <c r="N40" s="180"/>
      <c r="O40" s="180"/>
    </row>
    <row r="41" spans="2:15" x14ac:dyDescent="0.3">
      <c r="B41"/>
      <c r="C41"/>
    </row>
    <row r="42" spans="2:15" ht="18" x14ac:dyDescent="0.3">
      <c r="B42" s="133" t="s">
        <v>139</v>
      </c>
      <c r="C42" s="133" t="s">
        <v>90</v>
      </c>
      <c r="D42"/>
      <c r="E42"/>
      <c r="F42"/>
      <c r="G42"/>
    </row>
    <row r="43" spans="2:15" ht="18" x14ac:dyDescent="0.3">
      <c r="B43" s="133" t="s">
        <v>0</v>
      </c>
      <c r="C43" s="134" t="s">
        <v>133</v>
      </c>
      <c r="D43"/>
      <c r="E43"/>
      <c r="F43"/>
      <c r="G43"/>
    </row>
    <row r="44" spans="2:15" ht="18" x14ac:dyDescent="0.3">
      <c r="B44" s="134" t="s">
        <v>133</v>
      </c>
      <c r="C44" s="134"/>
      <c r="D44"/>
      <c r="E44"/>
      <c r="F44"/>
      <c r="G44"/>
    </row>
    <row r="45" spans="2:15" x14ac:dyDescent="0.3">
      <c r="B45"/>
      <c r="C45"/>
      <c r="D45"/>
      <c r="E45"/>
      <c r="F45"/>
      <c r="G45"/>
    </row>
    <row r="46" spans="2:15" x14ac:dyDescent="0.3">
      <c r="B46"/>
      <c r="C46"/>
      <c r="D46"/>
      <c r="E46"/>
      <c r="F46"/>
      <c r="G46"/>
    </row>
    <row r="47" spans="2:15" x14ac:dyDescent="0.3">
      <c r="B47"/>
      <c r="C47"/>
      <c r="D47"/>
      <c r="E47"/>
      <c r="F47"/>
      <c r="G47"/>
    </row>
    <row r="48" spans="2:15" x14ac:dyDescent="0.3">
      <c r="B48"/>
      <c r="C48"/>
      <c r="D48"/>
    </row>
    <row r="49" spans="2:15" x14ac:dyDescent="0.3">
      <c r="B49"/>
      <c r="C49"/>
      <c r="D49"/>
    </row>
    <row r="50" spans="2:15" x14ac:dyDescent="0.3">
      <c r="B50"/>
      <c r="C50"/>
      <c r="D50"/>
    </row>
    <row r="51" spans="2:15" ht="25.2" x14ac:dyDescent="0.45">
      <c r="B51" s="180" t="s">
        <v>98</v>
      </c>
      <c r="C51" s="180"/>
      <c r="D51" s="180"/>
      <c r="E51" s="180"/>
      <c r="F51" s="180"/>
      <c r="G51" s="180"/>
      <c r="H51" s="180"/>
      <c r="I51" s="180"/>
      <c r="J51" s="180"/>
      <c r="K51" s="180"/>
      <c r="L51" s="180"/>
      <c r="M51" s="180"/>
      <c r="N51" s="180"/>
      <c r="O51" s="180"/>
    </row>
    <row r="52" spans="2:15" x14ac:dyDescent="0.3">
      <c r="B52"/>
      <c r="C52"/>
      <c r="D52"/>
    </row>
    <row r="53" spans="2:15" ht="18" x14ac:dyDescent="0.3">
      <c r="B53" s="133" t="s">
        <v>0</v>
      </c>
      <c r="C53" s="134" t="s">
        <v>93</v>
      </c>
      <c r="D53"/>
    </row>
    <row r="54" spans="2:15" ht="18" x14ac:dyDescent="0.3">
      <c r="B54" s="134" t="s">
        <v>122</v>
      </c>
      <c r="C54" s="134"/>
      <c r="D54"/>
    </row>
    <row r="55" spans="2:15" x14ac:dyDescent="0.3">
      <c r="B55"/>
      <c r="C55"/>
      <c r="D55"/>
    </row>
    <row r="56" spans="2:15" x14ac:dyDescent="0.3">
      <c r="B56"/>
      <c r="C56"/>
      <c r="D56"/>
    </row>
    <row r="57" spans="2:15" x14ac:dyDescent="0.3">
      <c r="B57"/>
      <c r="C57"/>
      <c r="D57"/>
    </row>
    <row r="58" spans="2:15" x14ac:dyDescent="0.3">
      <c r="B58"/>
      <c r="C58"/>
      <c r="D58"/>
    </row>
    <row r="59" spans="2:15" x14ac:dyDescent="0.3">
      <c r="B59"/>
      <c r="C59"/>
      <c r="D59"/>
    </row>
    <row r="60" spans="2:15" x14ac:dyDescent="0.3">
      <c r="B60"/>
      <c r="C60"/>
      <c r="D60"/>
    </row>
    <row r="61" spans="2:15" x14ac:dyDescent="0.3">
      <c r="B61"/>
      <c r="C61"/>
      <c r="D61"/>
    </row>
    <row r="62" spans="2:15" x14ac:dyDescent="0.3">
      <c r="B62"/>
      <c r="C62"/>
      <c r="D62"/>
    </row>
    <row r="63" spans="2:15" x14ac:dyDescent="0.3">
      <c r="B63"/>
      <c r="C63"/>
      <c r="D63"/>
    </row>
    <row r="64" spans="2:15" x14ac:dyDescent="0.3">
      <c r="B64"/>
      <c r="C64"/>
      <c r="D64"/>
    </row>
    <row r="65" spans="2:4" x14ac:dyDescent="0.3">
      <c r="B65"/>
      <c r="C65"/>
      <c r="D65"/>
    </row>
    <row r="66" spans="2:4" x14ac:dyDescent="0.3">
      <c r="B66"/>
      <c r="C66"/>
      <c r="D66"/>
    </row>
    <row r="67" spans="2:4" x14ac:dyDescent="0.3">
      <c r="B67"/>
      <c r="C67"/>
      <c r="D67"/>
    </row>
    <row r="68" spans="2:4" x14ac:dyDescent="0.3">
      <c r="B68"/>
      <c r="C68"/>
      <c r="D68"/>
    </row>
    <row r="69" spans="2:4" x14ac:dyDescent="0.3">
      <c r="B69"/>
      <c r="C69"/>
      <c r="D69"/>
    </row>
    <row r="70" spans="2:4" x14ac:dyDescent="0.3">
      <c r="B70"/>
      <c r="C70"/>
      <c r="D70"/>
    </row>
  </sheetData>
  <mergeCells count="4">
    <mergeCell ref="B6:O6"/>
    <mergeCell ref="B24:O24"/>
    <mergeCell ref="B40:O40"/>
    <mergeCell ref="B51:O51"/>
  </mergeCells>
  <pageMargins left="0.7" right="0.7" top="0.75" bottom="0.75" header="0.3" footer="0.3"/>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B13E8-2AF9-4BBC-995E-DAE888B18169}">
  <sheetPr codeName="Sheet12"/>
  <dimension ref="A1:Q67"/>
  <sheetViews>
    <sheetView showGridLines="0" showRowColHeaders="0" workbookViewId="0">
      <pane xSplit="2" ySplit="4" topLeftCell="C5" activePane="bottomRight" state="frozen"/>
      <selection pane="topRight" activeCell="C1" sqref="C1"/>
      <selection pane="bottomLeft" activeCell="A5" sqref="A5"/>
      <selection pane="bottomRight"/>
    </sheetView>
  </sheetViews>
  <sheetFormatPr defaultColWidth="9.21875" defaultRowHeight="14.4" x14ac:dyDescent="0.3"/>
  <cols>
    <col min="1" max="1" width="9.21875" style="23"/>
    <col min="2" max="2" width="16.21875" style="23" customWidth="1"/>
    <col min="3" max="3" width="10.77734375" style="23" bestFit="1" customWidth="1"/>
    <col min="4" max="7" width="12" style="23" customWidth="1"/>
    <col min="8" max="9" width="15.44140625" style="23" customWidth="1"/>
    <col min="10" max="16384" width="9.21875" style="23"/>
  </cols>
  <sheetData>
    <row r="1" spans="1:17" ht="35.25" customHeight="1" x14ac:dyDescent="0.3">
      <c r="A1" s="40"/>
      <c r="B1" s="40"/>
      <c r="C1" s="40"/>
      <c r="D1" s="40"/>
      <c r="E1" s="40"/>
      <c r="F1" s="40"/>
      <c r="G1" s="40"/>
      <c r="H1" s="40"/>
      <c r="I1" s="40"/>
      <c r="J1" s="40"/>
      <c r="K1" s="40"/>
      <c r="L1" s="40"/>
      <c r="M1" s="40"/>
      <c r="N1" s="40"/>
      <c r="O1" s="40"/>
      <c r="P1" s="40"/>
      <c r="Q1" s="40"/>
    </row>
    <row r="2" spans="1:17" ht="35.25" customHeight="1" x14ac:dyDescent="0.3">
      <c r="A2" s="40"/>
      <c r="B2" s="119" t="s">
        <v>128</v>
      </c>
      <c r="C2" s="40"/>
      <c r="D2" s="40"/>
      <c r="E2" s="40"/>
      <c r="F2" s="40"/>
      <c r="G2" s="40"/>
      <c r="H2" s="40"/>
      <c r="I2" s="40"/>
      <c r="J2" s="40"/>
      <c r="K2" s="40"/>
      <c r="L2" s="40"/>
      <c r="M2" s="40"/>
      <c r="N2" s="40"/>
      <c r="O2" s="40"/>
      <c r="P2" s="40"/>
      <c r="Q2" s="40"/>
    </row>
    <row r="3" spans="1:17" ht="35.25" customHeight="1" x14ac:dyDescent="0.3">
      <c r="A3" s="40"/>
      <c r="B3" s="40"/>
      <c r="C3" s="40"/>
      <c r="D3" s="40"/>
      <c r="E3" s="40"/>
      <c r="F3" s="40"/>
      <c r="G3" s="40"/>
      <c r="H3" s="40"/>
      <c r="I3" s="40"/>
      <c r="J3" s="40"/>
      <c r="K3" s="40"/>
      <c r="L3" s="40"/>
      <c r="M3" s="40"/>
      <c r="N3" s="40"/>
      <c r="O3" s="40"/>
      <c r="P3" s="40"/>
      <c r="Q3" s="40"/>
    </row>
    <row r="6" spans="1:17" ht="25.2" x14ac:dyDescent="0.45">
      <c r="B6" s="180" t="s">
        <v>94</v>
      </c>
      <c r="C6" s="180"/>
      <c r="D6" s="180"/>
      <c r="E6" s="180"/>
      <c r="F6" s="180"/>
      <c r="G6" s="180"/>
      <c r="H6" s="180"/>
      <c r="I6" s="180"/>
      <c r="J6" s="180"/>
      <c r="K6" s="180"/>
      <c r="L6" s="180"/>
      <c r="M6" s="180"/>
      <c r="N6" s="180"/>
      <c r="O6" s="180"/>
    </row>
    <row r="8" spans="1:17" ht="16.8" x14ac:dyDescent="0.3">
      <c r="B8" s="117" t="s">
        <v>89</v>
      </c>
      <c r="C8" s="117" t="s">
        <v>90</v>
      </c>
      <c r="D8"/>
      <c r="E8"/>
    </row>
    <row r="9" spans="1:17" ht="16.8" x14ac:dyDescent="0.3">
      <c r="B9" s="117" t="s">
        <v>0</v>
      </c>
      <c r="C9" s="75" t="s">
        <v>133</v>
      </c>
      <c r="D9"/>
      <c r="E9"/>
    </row>
    <row r="10" spans="1:17" ht="16.8" x14ac:dyDescent="0.3">
      <c r="B10" s="75" t="s">
        <v>133</v>
      </c>
      <c r="C10" s="75"/>
      <c r="D10"/>
      <c r="E10"/>
    </row>
    <row r="11" spans="1:17" x14ac:dyDescent="0.3">
      <c r="B11"/>
      <c r="C11"/>
      <c r="D11"/>
      <c r="E11"/>
    </row>
    <row r="12" spans="1:17" x14ac:dyDescent="0.3">
      <c r="B12"/>
      <c r="C12"/>
      <c r="D12"/>
      <c r="E12"/>
    </row>
    <row r="24" spans="2:15" ht="25.2" x14ac:dyDescent="0.45">
      <c r="B24" s="180" t="s">
        <v>95</v>
      </c>
      <c r="C24" s="180"/>
      <c r="D24" s="180"/>
      <c r="E24" s="180"/>
      <c r="F24" s="180"/>
      <c r="G24" s="180"/>
      <c r="H24" s="180"/>
      <c r="I24" s="180"/>
      <c r="J24" s="180"/>
      <c r="K24" s="180"/>
      <c r="L24" s="180"/>
      <c r="M24" s="180"/>
      <c r="N24" s="180"/>
      <c r="O24" s="180"/>
    </row>
    <row r="26" spans="2:15" ht="16.8" x14ac:dyDescent="0.3">
      <c r="B26" s="117" t="s">
        <v>92</v>
      </c>
      <c r="C26" s="145" t="s">
        <v>90</v>
      </c>
      <c r="D26"/>
      <c r="E26"/>
    </row>
    <row r="27" spans="2:15" ht="16.8" x14ac:dyDescent="0.3">
      <c r="B27" s="145" t="s">
        <v>0</v>
      </c>
      <c r="C27" s="146" t="s">
        <v>133</v>
      </c>
      <c r="D27"/>
      <c r="E27"/>
    </row>
    <row r="28" spans="2:15" ht="16.8" x14ac:dyDescent="0.3">
      <c r="B28" s="146" t="s">
        <v>133</v>
      </c>
      <c r="C28" s="146"/>
      <c r="D28"/>
      <c r="E28"/>
    </row>
    <row r="29" spans="2:15" x14ac:dyDescent="0.3">
      <c r="B29"/>
      <c r="C29"/>
      <c r="D29"/>
      <c r="E29"/>
    </row>
    <row r="30" spans="2:15" x14ac:dyDescent="0.3">
      <c r="B30"/>
      <c r="C30"/>
      <c r="D30"/>
      <c r="E30"/>
    </row>
    <row r="40" spans="2:15" ht="25.2" x14ac:dyDescent="0.45">
      <c r="B40" s="180" t="s">
        <v>96</v>
      </c>
      <c r="C40" s="180"/>
      <c r="D40" s="180"/>
      <c r="E40" s="180"/>
      <c r="F40" s="180"/>
      <c r="G40" s="180"/>
      <c r="H40" s="180"/>
      <c r="I40" s="180"/>
      <c r="J40" s="180"/>
      <c r="K40" s="180"/>
      <c r="L40" s="180"/>
      <c r="M40" s="180"/>
      <c r="N40" s="180"/>
      <c r="O40" s="180"/>
    </row>
    <row r="41" spans="2:15" x14ac:dyDescent="0.3">
      <c r="B41"/>
      <c r="C41"/>
    </row>
    <row r="42" spans="2:15" ht="18" x14ac:dyDescent="0.3">
      <c r="B42" s="133" t="s">
        <v>139</v>
      </c>
      <c r="C42" s="133" t="s">
        <v>90</v>
      </c>
      <c r="D42"/>
      <c r="E42"/>
      <c r="F42"/>
    </row>
    <row r="43" spans="2:15" ht="18" x14ac:dyDescent="0.3">
      <c r="B43" s="133" t="s">
        <v>0</v>
      </c>
      <c r="C43" s="134" t="s">
        <v>133</v>
      </c>
      <c r="D43"/>
      <c r="E43"/>
      <c r="F43"/>
    </row>
    <row r="44" spans="2:15" ht="18" x14ac:dyDescent="0.3">
      <c r="B44" s="134" t="s">
        <v>133</v>
      </c>
      <c r="C44" s="134"/>
      <c r="D44"/>
      <c r="E44"/>
      <c r="F44"/>
    </row>
    <row r="45" spans="2:15" x14ac:dyDescent="0.3">
      <c r="B45"/>
      <c r="C45"/>
      <c r="D45"/>
      <c r="E45"/>
      <c r="F45"/>
    </row>
    <row r="46" spans="2:15" x14ac:dyDescent="0.3">
      <c r="B46"/>
      <c r="C46"/>
      <c r="D46"/>
      <c r="E46"/>
      <c r="F46"/>
    </row>
    <row r="47" spans="2:15" x14ac:dyDescent="0.3">
      <c r="B47"/>
      <c r="C47"/>
      <c r="D47"/>
    </row>
    <row r="48" spans="2:15" ht="25.2" x14ac:dyDescent="0.45">
      <c r="B48" s="180" t="s">
        <v>98</v>
      </c>
      <c r="C48" s="180"/>
      <c r="D48" s="180"/>
      <c r="E48" s="180"/>
      <c r="F48" s="180"/>
      <c r="G48" s="180"/>
      <c r="H48" s="180"/>
      <c r="I48" s="180"/>
      <c r="J48" s="180"/>
      <c r="K48" s="180"/>
      <c r="L48" s="180"/>
      <c r="M48" s="180"/>
      <c r="N48" s="180"/>
      <c r="O48" s="180"/>
    </row>
    <row r="49" spans="2:4" x14ac:dyDescent="0.3">
      <c r="B49"/>
      <c r="C49"/>
      <c r="D49"/>
    </row>
    <row r="50" spans="2:4" ht="18" x14ac:dyDescent="0.3">
      <c r="B50" s="131" t="s">
        <v>0</v>
      </c>
      <c r="C50" s="132" t="s">
        <v>93</v>
      </c>
      <c r="D50"/>
    </row>
    <row r="51" spans="2:4" ht="18" x14ac:dyDescent="0.3">
      <c r="B51" s="132" t="s">
        <v>122</v>
      </c>
      <c r="C51" s="132"/>
      <c r="D51"/>
    </row>
    <row r="52" spans="2:4" x14ac:dyDescent="0.3">
      <c r="B52"/>
      <c r="C52"/>
      <c r="D52"/>
    </row>
    <row r="53" spans="2:4" x14ac:dyDescent="0.3">
      <c r="B53"/>
      <c r="C53"/>
      <c r="D53"/>
    </row>
    <row r="54" spans="2:4" x14ac:dyDescent="0.3">
      <c r="B54"/>
      <c r="C54"/>
      <c r="D54"/>
    </row>
    <row r="55" spans="2:4" x14ac:dyDescent="0.3">
      <c r="B55"/>
      <c r="C55"/>
      <c r="D55"/>
    </row>
    <row r="56" spans="2:4" x14ac:dyDescent="0.3">
      <c r="B56"/>
      <c r="C56"/>
      <c r="D56"/>
    </row>
    <row r="57" spans="2:4" x14ac:dyDescent="0.3">
      <c r="B57"/>
      <c r="C57"/>
      <c r="D57"/>
    </row>
    <row r="58" spans="2:4" x14ac:dyDescent="0.3">
      <c r="B58"/>
      <c r="C58"/>
      <c r="D58"/>
    </row>
    <row r="59" spans="2:4" x14ac:dyDescent="0.3">
      <c r="B59"/>
      <c r="C59"/>
      <c r="D59"/>
    </row>
    <row r="60" spans="2:4" x14ac:dyDescent="0.3">
      <c r="B60"/>
      <c r="C60"/>
      <c r="D60"/>
    </row>
    <row r="61" spans="2:4" x14ac:dyDescent="0.3">
      <c r="B61"/>
      <c r="C61"/>
      <c r="D61"/>
    </row>
    <row r="62" spans="2:4" x14ac:dyDescent="0.3">
      <c r="B62"/>
      <c r="C62"/>
      <c r="D62"/>
    </row>
    <row r="63" spans="2:4" x14ac:dyDescent="0.3">
      <c r="B63"/>
      <c r="C63"/>
      <c r="D63"/>
    </row>
    <row r="64" spans="2:4" x14ac:dyDescent="0.3">
      <c r="B64"/>
      <c r="C64"/>
      <c r="D64"/>
    </row>
    <row r="65" spans="2:4" x14ac:dyDescent="0.3">
      <c r="B65"/>
      <c r="C65"/>
      <c r="D65"/>
    </row>
    <row r="66" spans="2:4" x14ac:dyDescent="0.3">
      <c r="B66"/>
      <c r="C66"/>
      <c r="D66"/>
    </row>
    <row r="67" spans="2:4" x14ac:dyDescent="0.3">
      <c r="B67"/>
      <c r="C67"/>
      <c r="D67"/>
    </row>
  </sheetData>
  <mergeCells count="4">
    <mergeCell ref="B6:O6"/>
    <mergeCell ref="B24:O24"/>
    <mergeCell ref="B40:O40"/>
    <mergeCell ref="B48:O48"/>
  </mergeCells>
  <pageMargins left="0.7" right="0.7" top="0.75" bottom="0.75" header="0.3" footer="0.3"/>
  <drawing r:id="rId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3AEDD-7B63-4A1F-826F-2D1955BC4ECB}">
  <sheetPr codeName="Sheet13"/>
  <dimension ref="A1:Q69"/>
  <sheetViews>
    <sheetView showGridLines="0" showRowColHeaders="0" workbookViewId="0">
      <pane xSplit="2" ySplit="3" topLeftCell="C4" activePane="bottomRight" state="frozen"/>
      <selection pane="topRight" activeCell="C1" sqref="C1"/>
      <selection pane="bottomLeft" activeCell="A4" sqref="A4"/>
      <selection pane="bottomRight"/>
    </sheetView>
  </sheetViews>
  <sheetFormatPr defaultColWidth="9.21875" defaultRowHeight="14.4" x14ac:dyDescent="0.3"/>
  <cols>
    <col min="1" max="1" width="9.21875" style="23"/>
    <col min="2" max="2" width="12.5546875" style="23" bestFit="1" customWidth="1"/>
    <col min="3" max="6" width="12.44140625" style="23" customWidth="1"/>
    <col min="7" max="16384" width="9.21875" style="23"/>
  </cols>
  <sheetData>
    <row r="1" spans="1:17" ht="37.5" customHeight="1" x14ac:dyDescent="0.3">
      <c r="A1" s="40"/>
      <c r="B1" s="40"/>
      <c r="C1" s="40"/>
      <c r="D1" s="40"/>
      <c r="E1" s="40"/>
      <c r="F1" s="40"/>
      <c r="G1" s="40"/>
      <c r="H1" s="40"/>
      <c r="I1" s="40"/>
      <c r="J1" s="40"/>
      <c r="K1" s="40"/>
      <c r="L1" s="40"/>
      <c r="M1" s="40"/>
      <c r="N1" s="40"/>
      <c r="O1" s="40"/>
      <c r="P1" s="40"/>
      <c r="Q1" s="40"/>
    </row>
    <row r="2" spans="1:17" ht="37.5" customHeight="1" x14ac:dyDescent="0.3">
      <c r="A2" s="40"/>
      <c r="B2" s="128" t="s">
        <v>129</v>
      </c>
      <c r="C2" s="40"/>
      <c r="D2" s="40"/>
      <c r="E2" s="40"/>
      <c r="F2" s="40"/>
      <c r="G2" s="40"/>
      <c r="H2" s="40"/>
      <c r="I2" s="40"/>
      <c r="J2" s="40"/>
      <c r="K2" s="40"/>
      <c r="L2" s="40"/>
      <c r="M2" s="40"/>
      <c r="N2" s="40"/>
      <c r="O2" s="40"/>
      <c r="P2" s="40"/>
      <c r="Q2" s="40"/>
    </row>
    <row r="3" spans="1:17" ht="37.5" customHeight="1" x14ac:dyDescent="0.3">
      <c r="A3" s="40"/>
      <c r="B3" s="40"/>
      <c r="C3" s="40"/>
      <c r="D3" s="40"/>
      <c r="E3" s="40"/>
      <c r="F3" s="40"/>
      <c r="G3" s="40"/>
      <c r="H3" s="40"/>
      <c r="I3" s="40"/>
      <c r="J3" s="40"/>
      <c r="K3" s="40"/>
      <c r="L3" s="40"/>
      <c r="M3" s="40"/>
      <c r="N3" s="40"/>
      <c r="O3" s="40"/>
      <c r="P3" s="40"/>
      <c r="Q3" s="40"/>
    </row>
    <row r="6" spans="1:17" ht="25.2" x14ac:dyDescent="0.45">
      <c r="B6" s="180" t="s">
        <v>94</v>
      </c>
      <c r="C6" s="180"/>
      <c r="D6" s="180"/>
      <c r="E6" s="180"/>
      <c r="F6" s="180"/>
      <c r="G6" s="180"/>
      <c r="H6" s="180"/>
      <c r="I6" s="180"/>
      <c r="J6" s="180"/>
      <c r="K6" s="180"/>
      <c r="L6" s="180"/>
      <c r="M6" s="180"/>
      <c r="N6" s="180"/>
      <c r="O6" s="180"/>
    </row>
    <row r="8" spans="1:17" ht="16.8" x14ac:dyDescent="0.3">
      <c r="B8" s="117" t="s">
        <v>89</v>
      </c>
      <c r="C8" s="117" t="s">
        <v>90</v>
      </c>
      <c r="D8"/>
      <c r="E8"/>
      <c r="F8"/>
    </row>
    <row r="9" spans="1:17" ht="16.8" x14ac:dyDescent="0.3">
      <c r="B9" s="117" t="s">
        <v>0</v>
      </c>
      <c r="C9" s="75" t="s">
        <v>133</v>
      </c>
      <c r="D9"/>
      <c r="E9"/>
      <c r="F9"/>
    </row>
    <row r="10" spans="1:17" ht="16.8" x14ac:dyDescent="0.3">
      <c r="B10" s="75" t="s">
        <v>133</v>
      </c>
      <c r="C10" s="75"/>
      <c r="D10"/>
      <c r="E10"/>
      <c r="F10"/>
    </row>
    <row r="11" spans="1:17" x14ac:dyDescent="0.3">
      <c r="B11"/>
      <c r="C11"/>
      <c r="D11"/>
      <c r="E11"/>
      <c r="F11"/>
    </row>
    <row r="12" spans="1:17" x14ac:dyDescent="0.3">
      <c r="B12"/>
      <c r="C12"/>
      <c r="D12"/>
      <c r="E12"/>
      <c r="F12"/>
    </row>
    <row r="13" spans="1:17" x14ac:dyDescent="0.3">
      <c r="B13"/>
      <c r="C13"/>
      <c r="D13"/>
      <c r="E13"/>
      <c r="F13"/>
    </row>
    <row r="24" spans="2:15" ht="25.2" x14ac:dyDescent="0.45">
      <c r="B24" s="180" t="s">
        <v>95</v>
      </c>
      <c r="C24" s="180"/>
      <c r="D24" s="180"/>
      <c r="E24" s="180"/>
      <c r="F24" s="180"/>
      <c r="G24" s="180"/>
      <c r="H24" s="180"/>
      <c r="I24" s="180"/>
      <c r="J24" s="180"/>
      <c r="K24" s="180"/>
      <c r="L24" s="180"/>
      <c r="M24" s="180"/>
      <c r="N24" s="180"/>
      <c r="O24" s="180"/>
    </row>
    <row r="26" spans="2:15" ht="33.6" x14ac:dyDescent="0.3">
      <c r="B26" s="117" t="s">
        <v>92</v>
      </c>
      <c r="C26" s="145" t="s">
        <v>90</v>
      </c>
      <c r="D26"/>
      <c r="E26"/>
      <c r="F26"/>
    </row>
    <row r="27" spans="2:15" ht="16.8" x14ac:dyDescent="0.3">
      <c r="B27" s="145" t="s">
        <v>0</v>
      </c>
      <c r="C27" s="146" t="s">
        <v>133</v>
      </c>
      <c r="D27"/>
      <c r="E27"/>
      <c r="F27"/>
    </row>
    <row r="28" spans="2:15" ht="16.8" x14ac:dyDescent="0.3">
      <c r="B28" s="146" t="s">
        <v>133</v>
      </c>
      <c r="C28" s="146"/>
      <c r="D28"/>
      <c r="E28"/>
      <c r="F28"/>
    </row>
    <row r="29" spans="2:15" x14ac:dyDescent="0.3">
      <c r="B29"/>
      <c r="C29"/>
      <c r="D29"/>
      <c r="E29"/>
      <c r="F29"/>
    </row>
    <row r="30" spans="2:15" x14ac:dyDescent="0.3">
      <c r="B30"/>
      <c r="C30"/>
      <c r="D30"/>
      <c r="E30"/>
      <c r="F30"/>
    </row>
    <row r="31" spans="2:15" x14ac:dyDescent="0.3">
      <c r="B31"/>
      <c r="C31"/>
      <c r="D31"/>
      <c r="E31"/>
      <c r="F31"/>
    </row>
    <row r="40" spans="2:15" ht="25.2" x14ac:dyDescent="0.45">
      <c r="B40" s="180" t="s">
        <v>96</v>
      </c>
      <c r="C40" s="180"/>
      <c r="D40" s="180"/>
      <c r="E40" s="180"/>
      <c r="F40" s="180"/>
      <c r="G40" s="180"/>
      <c r="H40" s="180"/>
      <c r="I40" s="180"/>
      <c r="J40" s="180"/>
      <c r="K40" s="180"/>
      <c r="L40" s="180"/>
      <c r="M40" s="180"/>
      <c r="N40" s="180"/>
      <c r="O40" s="180"/>
    </row>
    <row r="42" spans="2:15" ht="18" x14ac:dyDescent="0.3">
      <c r="B42" s="131" t="s">
        <v>139</v>
      </c>
      <c r="C42" s="131" t="s">
        <v>90</v>
      </c>
      <c r="D42"/>
      <c r="E42"/>
      <c r="F42"/>
    </row>
    <row r="43" spans="2:15" ht="18" x14ac:dyDescent="0.3">
      <c r="B43" s="131" t="s">
        <v>0</v>
      </c>
      <c r="C43" s="132" t="s">
        <v>133</v>
      </c>
      <c r="D43"/>
      <c r="E43"/>
      <c r="F43"/>
    </row>
    <row r="44" spans="2:15" ht="18" x14ac:dyDescent="0.3">
      <c r="B44" s="132" t="s">
        <v>133</v>
      </c>
      <c r="C44" s="132"/>
      <c r="D44"/>
      <c r="E44"/>
      <c r="F44"/>
    </row>
    <row r="45" spans="2:15" x14ac:dyDescent="0.3">
      <c r="B45"/>
      <c r="C45"/>
      <c r="D45"/>
      <c r="E45"/>
      <c r="F45"/>
    </row>
    <row r="46" spans="2:15" x14ac:dyDescent="0.3">
      <c r="B46"/>
      <c r="C46"/>
      <c r="D46"/>
      <c r="E46"/>
      <c r="F46"/>
    </row>
    <row r="47" spans="2:15" x14ac:dyDescent="0.3">
      <c r="B47"/>
      <c r="C47"/>
      <c r="D47"/>
    </row>
    <row r="48" spans="2:15" x14ac:dyDescent="0.3">
      <c r="B48"/>
      <c r="C48"/>
      <c r="D48"/>
    </row>
    <row r="49" spans="2:15" x14ac:dyDescent="0.3">
      <c r="B49"/>
      <c r="C49"/>
      <c r="D49"/>
    </row>
    <row r="50" spans="2:15" ht="25.2" x14ac:dyDescent="0.45">
      <c r="B50" s="180" t="s">
        <v>98</v>
      </c>
      <c r="C50" s="180"/>
      <c r="D50" s="180"/>
      <c r="E50" s="180"/>
      <c r="F50" s="180"/>
      <c r="G50" s="180"/>
      <c r="H50" s="180"/>
      <c r="I50" s="180"/>
      <c r="J50" s="180"/>
      <c r="K50" s="180"/>
      <c r="L50" s="180"/>
      <c r="M50" s="180"/>
      <c r="N50" s="180"/>
      <c r="O50" s="180"/>
    </row>
    <row r="51" spans="2:15" x14ac:dyDescent="0.3">
      <c r="B51"/>
      <c r="C51"/>
      <c r="D51"/>
    </row>
    <row r="52" spans="2:15" ht="18" x14ac:dyDescent="0.3">
      <c r="B52" s="131" t="s">
        <v>0</v>
      </c>
      <c r="C52" s="132" t="s">
        <v>93</v>
      </c>
      <c r="D52"/>
    </row>
    <row r="53" spans="2:15" ht="18" x14ac:dyDescent="0.3">
      <c r="B53" s="132" t="s">
        <v>122</v>
      </c>
      <c r="C53" s="132"/>
      <c r="D53"/>
    </row>
    <row r="54" spans="2:15" x14ac:dyDescent="0.3">
      <c r="B54"/>
      <c r="C54"/>
      <c r="D54"/>
    </row>
    <row r="55" spans="2:15" x14ac:dyDescent="0.3">
      <c r="B55"/>
      <c r="C55"/>
      <c r="D55"/>
    </row>
    <row r="56" spans="2:15" x14ac:dyDescent="0.3">
      <c r="B56"/>
      <c r="C56"/>
      <c r="D56"/>
    </row>
    <row r="57" spans="2:15" x14ac:dyDescent="0.3">
      <c r="B57"/>
      <c r="C57"/>
      <c r="D57"/>
    </row>
    <row r="58" spans="2:15" x14ac:dyDescent="0.3">
      <c r="B58"/>
      <c r="C58"/>
      <c r="D58"/>
    </row>
    <row r="59" spans="2:15" x14ac:dyDescent="0.3">
      <c r="B59"/>
      <c r="C59"/>
      <c r="D59"/>
    </row>
    <row r="60" spans="2:15" x14ac:dyDescent="0.3">
      <c r="B60"/>
      <c r="C60"/>
      <c r="D60"/>
    </row>
    <row r="61" spans="2:15" x14ac:dyDescent="0.3">
      <c r="B61"/>
      <c r="C61"/>
      <c r="D61"/>
    </row>
    <row r="62" spans="2:15" x14ac:dyDescent="0.3">
      <c r="B62"/>
      <c r="C62"/>
      <c r="D62"/>
    </row>
    <row r="63" spans="2:15" x14ac:dyDescent="0.3">
      <c r="B63"/>
      <c r="C63"/>
      <c r="D63"/>
    </row>
    <row r="64" spans="2:15" x14ac:dyDescent="0.3">
      <c r="B64"/>
      <c r="C64"/>
      <c r="D64"/>
    </row>
    <row r="65" spans="2:4" x14ac:dyDescent="0.3">
      <c r="B65"/>
      <c r="C65"/>
      <c r="D65"/>
    </row>
    <row r="66" spans="2:4" x14ac:dyDescent="0.3">
      <c r="B66"/>
      <c r="C66"/>
      <c r="D66"/>
    </row>
    <row r="67" spans="2:4" x14ac:dyDescent="0.3">
      <c r="B67"/>
      <c r="C67"/>
      <c r="D67"/>
    </row>
    <row r="68" spans="2:4" x14ac:dyDescent="0.3">
      <c r="B68"/>
      <c r="C68"/>
      <c r="D68"/>
    </row>
    <row r="69" spans="2:4" x14ac:dyDescent="0.3">
      <c r="B69"/>
      <c r="C69"/>
      <c r="D69"/>
    </row>
  </sheetData>
  <mergeCells count="4">
    <mergeCell ref="B6:O6"/>
    <mergeCell ref="B24:O24"/>
    <mergeCell ref="B40:O40"/>
    <mergeCell ref="B50:O50"/>
  </mergeCells>
  <pageMargins left="0.7" right="0.7" top="0.75" bottom="0.75" header="0.3" footer="0.3"/>
  <pageSetup paperSize="9" orientation="portrait" verticalDpi="0" r:id="rId5"/>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5658F-019A-47A9-A25C-375ACC37AE33}">
  <dimension ref="A1:O41"/>
  <sheetViews>
    <sheetView showGridLines="0" showRowColHeaders="0" workbookViewId="0">
      <pane xSplit="2" ySplit="5" topLeftCell="C6" activePane="bottomRight" state="frozen"/>
      <selection pane="topRight" activeCell="C1" sqref="C1"/>
      <selection pane="bottomLeft" activeCell="A6" sqref="A6"/>
      <selection pane="bottomRight"/>
    </sheetView>
  </sheetViews>
  <sheetFormatPr defaultRowHeight="14.4" x14ac:dyDescent="0.3"/>
  <cols>
    <col min="1" max="1" width="15.21875" customWidth="1"/>
    <col min="2" max="2" width="14" customWidth="1"/>
    <col min="3" max="11" width="9.77734375" customWidth="1"/>
    <col min="12" max="16" width="10.77734375" customWidth="1"/>
    <col min="17" max="17" width="7" bestFit="1" customWidth="1"/>
    <col min="18" max="18" width="8" bestFit="1" customWidth="1"/>
    <col min="19" max="19" width="7.77734375" bestFit="1" customWidth="1"/>
    <col min="20" max="20" width="10.44140625" bestFit="1" customWidth="1"/>
    <col min="21" max="21" width="9" bestFit="1" customWidth="1"/>
    <col min="22" max="22" width="11.77734375" bestFit="1" customWidth="1"/>
    <col min="23" max="23" width="10.77734375" bestFit="1" customWidth="1"/>
  </cols>
  <sheetData>
    <row r="1" spans="1:15" x14ac:dyDescent="0.3">
      <c r="A1" s="118"/>
      <c r="B1" s="118"/>
      <c r="C1" s="118"/>
      <c r="D1" s="118"/>
      <c r="E1" s="118"/>
      <c r="F1" s="118"/>
      <c r="G1" s="118"/>
      <c r="H1" s="118"/>
      <c r="I1" s="118"/>
      <c r="J1" s="118"/>
      <c r="K1" s="118"/>
      <c r="L1" s="118"/>
      <c r="M1" s="118"/>
      <c r="N1" s="118"/>
      <c r="O1" s="116"/>
    </row>
    <row r="2" spans="1:15" ht="32.4" x14ac:dyDescent="0.3">
      <c r="A2" s="118"/>
      <c r="B2" s="128" t="s">
        <v>130</v>
      </c>
      <c r="C2" s="118"/>
      <c r="D2" s="118"/>
      <c r="E2" s="118"/>
      <c r="F2" s="118"/>
      <c r="G2" s="118"/>
      <c r="H2" s="118"/>
      <c r="I2" s="118"/>
      <c r="J2" s="118"/>
      <c r="K2" s="118"/>
      <c r="L2" s="118"/>
      <c r="M2" s="118"/>
      <c r="N2" s="118"/>
      <c r="O2" s="116"/>
    </row>
    <row r="3" spans="1:15" ht="35.4" x14ac:dyDescent="0.6">
      <c r="A3" s="118"/>
      <c r="B3" s="118"/>
      <c r="C3" s="121"/>
      <c r="D3" s="121"/>
      <c r="E3" s="121"/>
      <c r="F3" s="121"/>
      <c r="G3" s="121"/>
      <c r="H3" s="121"/>
      <c r="I3" s="121"/>
      <c r="J3" s="121"/>
      <c r="K3" s="121"/>
      <c r="L3" s="121"/>
      <c r="M3" s="121"/>
      <c r="N3" s="121"/>
      <c r="O3" s="120"/>
    </row>
    <row r="4" spans="1:15" x14ac:dyDescent="0.3">
      <c r="A4" s="116"/>
      <c r="B4" s="116"/>
      <c r="C4" s="116"/>
      <c r="D4" s="116"/>
      <c r="E4" s="116"/>
      <c r="F4" s="116"/>
      <c r="G4" s="116"/>
      <c r="H4" s="116"/>
      <c r="I4" s="116"/>
      <c r="J4" s="116"/>
      <c r="K4" s="116"/>
      <c r="L4" s="116"/>
      <c r="M4" s="116"/>
      <c r="N4" s="116"/>
      <c r="O4" s="116"/>
    </row>
    <row r="5" spans="1:15" x14ac:dyDescent="0.3">
      <c r="A5" s="116"/>
      <c r="B5" s="116"/>
      <c r="C5" s="116"/>
      <c r="D5" s="116"/>
      <c r="E5" s="116"/>
      <c r="F5" s="116"/>
      <c r="G5" s="116"/>
      <c r="H5" s="116"/>
      <c r="I5" s="116"/>
      <c r="J5" s="116"/>
      <c r="K5" s="116"/>
      <c r="L5" s="116"/>
      <c r="M5" s="116"/>
      <c r="N5" s="116"/>
      <c r="O5" s="116"/>
    </row>
    <row r="6" spans="1:15" ht="25.2" x14ac:dyDescent="0.45">
      <c r="A6" s="116"/>
      <c r="C6" s="180" t="s">
        <v>94</v>
      </c>
      <c r="D6" s="180"/>
      <c r="E6" s="180"/>
      <c r="F6" s="180"/>
      <c r="G6" s="180"/>
      <c r="H6" s="180"/>
      <c r="I6" s="180"/>
      <c r="J6" s="180"/>
      <c r="K6" s="180"/>
      <c r="L6" s="180"/>
      <c r="M6" s="180"/>
      <c r="N6" s="180"/>
      <c r="O6" s="180"/>
    </row>
    <row r="8" spans="1:15" ht="18" x14ac:dyDescent="0.3">
      <c r="B8" s="133" t="s">
        <v>89</v>
      </c>
      <c r="C8" s="133" t="s">
        <v>132</v>
      </c>
    </row>
    <row r="9" spans="1:15" ht="18" x14ac:dyDescent="0.3">
      <c r="B9" s="133" t="s">
        <v>131</v>
      </c>
      <c r="C9" s="134" t="s">
        <v>133</v>
      </c>
    </row>
    <row r="10" spans="1:15" ht="18" x14ac:dyDescent="0.3">
      <c r="B10" s="134" t="s">
        <v>133</v>
      </c>
      <c r="C10" s="134"/>
    </row>
    <row r="24" spans="2:15" ht="25.2" x14ac:dyDescent="0.45">
      <c r="B24" s="180" t="s">
        <v>95</v>
      </c>
      <c r="C24" s="180"/>
      <c r="D24" s="180"/>
      <c r="E24" s="180"/>
      <c r="F24" s="180"/>
      <c r="G24" s="180"/>
      <c r="H24" s="180"/>
      <c r="I24" s="180"/>
      <c r="J24" s="180"/>
      <c r="K24" s="180"/>
      <c r="L24" s="180"/>
      <c r="M24" s="180"/>
      <c r="N24" s="180"/>
      <c r="O24" s="180"/>
    </row>
    <row r="26" spans="2:15" ht="36" x14ac:dyDescent="0.3">
      <c r="B26" s="133" t="s">
        <v>92</v>
      </c>
      <c r="C26" s="133" t="s">
        <v>132</v>
      </c>
    </row>
    <row r="27" spans="2:15" ht="36" x14ac:dyDescent="0.3">
      <c r="B27" s="133" t="s">
        <v>16</v>
      </c>
      <c r="C27" s="134" t="s">
        <v>133</v>
      </c>
    </row>
    <row r="28" spans="2:15" ht="18" x14ac:dyDescent="0.3">
      <c r="B28" s="134" t="s">
        <v>133</v>
      </c>
      <c r="C28" s="134"/>
    </row>
    <row r="37" spans="2:15" ht="25.2" x14ac:dyDescent="0.45">
      <c r="B37" s="180" t="s">
        <v>96</v>
      </c>
      <c r="C37" s="180"/>
      <c r="D37" s="180"/>
      <c r="E37" s="180"/>
      <c r="F37" s="180"/>
      <c r="G37" s="180"/>
      <c r="H37" s="180"/>
      <c r="I37" s="180"/>
      <c r="J37" s="180"/>
      <c r="K37" s="180"/>
      <c r="L37" s="180"/>
      <c r="M37" s="180"/>
      <c r="N37" s="180"/>
      <c r="O37" s="180"/>
    </row>
    <row r="39" spans="2:15" ht="18" x14ac:dyDescent="0.3">
      <c r="B39" s="133" t="s">
        <v>93</v>
      </c>
      <c r="C39" s="133" t="s">
        <v>132</v>
      </c>
    </row>
    <row r="40" spans="2:15" ht="18" x14ac:dyDescent="0.3">
      <c r="B40" s="133" t="s">
        <v>43</v>
      </c>
      <c r="C40" s="134" t="s">
        <v>133</v>
      </c>
    </row>
    <row r="41" spans="2:15" ht="18" x14ac:dyDescent="0.3">
      <c r="B41" s="134" t="s">
        <v>133</v>
      </c>
      <c r="C41" s="134"/>
    </row>
  </sheetData>
  <mergeCells count="3">
    <mergeCell ref="B24:O24"/>
    <mergeCell ref="B37:O37"/>
    <mergeCell ref="C6:O6"/>
  </mergeCells>
  <pageMargins left="0.7" right="0.7" top="0.75" bottom="0.75" header="0.3" footer="0.3"/>
  <pageSetup orientation="portrait" r:id="rId4"/>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01C06-42CE-4CBA-AD82-8672342EC92C}">
  <dimension ref="A1:Q39"/>
  <sheetViews>
    <sheetView showGridLines="0" showRowColHeaders="0" workbookViewId="0">
      <pane xSplit="2" ySplit="4" topLeftCell="C9" activePane="bottomRight" state="frozen"/>
      <selection pane="topRight" activeCell="C1" sqref="C1"/>
      <selection pane="bottomLeft" activeCell="A5" sqref="A5"/>
      <selection pane="bottomRight"/>
    </sheetView>
  </sheetViews>
  <sheetFormatPr defaultRowHeight="14.4" x14ac:dyDescent="0.3"/>
  <cols>
    <col min="1" max="1" width="14.44140625" bestFit="1" customWidth="1"/>
    <col min="2" max="2" width="14.77734375" customWidth="1"/>
    <col min="3" max="9" width="10.21875" customWidth="1"/>
  </cols>
  <sheetData>
    <row r="1" spans="1:17" x14ac:dyDescent="0.3">
      <c r="A1" s="118"/>
      <c r="B1" s="118"/>
      <c r="C1" s="118"/>
      <c r="D1" s="118"/>
      <c r="E1" s="118"/>
      <c r="F1" s="118"/>
      <c r="G1" s="118"/>
      <c r="H1" s="118"/>
      <c r="I1" s="118"/>
      <c r="J1" s="118"/>
      <c r="K1" s="118"/>
      <c r="L1" s="118"/>
      <c r="M1" s="118"/>
      <c r="N1" s="118"/>
      <c r="O1" s="118"/>
      <c r="P1" s="118"/>
      <c r="Q1" s="118"/>
    </row>
    <row r="2" spans="1:17" ht="32.4" x14ac:dyDescent="0.3">
      <c r="A2" s="118"/>
      <c r="B2" s="128" t="s">
        <v>134</v>
      </c>
      <c r="C2" s="118"/>
      <c r="D2" s="118"/>
      <c r="E2" s="118"/>
      <c r="F2" s="118"/>
      <c r="G2" s="118"/>
      <c r="H2" s="118"/>
      <c r="I2" s="118"/>
      <c r="J2" s="118"/>
      <c r="K2" s="118"/>
      <c r="L2" s="118"/>
      <c r="M2" s="118"/>
      <c r="N2" s="118"/>
      <c r="O2" s="118"/>
      <c r="P2" s="118"/>
      <c r="Q2" s="118"/>
    </row>
    <row r="3" spans="1:17" ht="35.4" x14ac:dyDescent="0.3">
      <c r="A3" s="118"/>
      <c r="B3" s="118"/>
      <c r="C3" s="119"/>
      <c r="D3" s="119"/>
      <c r="E3" s="119"/>
      <c r="F3" s="119"/>
      <c r="G3" s="119"/>
      <c r="H3" s="119"/>
      <c r="I3" s="119"/>
      <c r="J3" s="119"/>
      <c r="K3" s="119"/>
      <c r="L3" s="119"/>
      <c r="M3" s="119"/>
      <c r="N3" s="119"/>
      <c r="O3" s="119"/>
      <c r="P3" s="118"/>
      <c r="Q3" s="118"/>
    </row>
    <row r="4" spans="1:17" x14ac:dyDescent="0.3">
      <c r="A4" s="116"/>
      <c r="B4" s="116"/>
      <c r="C4" s="116"/>
      <c r="D4" s="116"/>
      <c r="E4" s="116"/>
      <c r="F4" s="116"/>
      <c r="G4" s="116"/>
      <c r="H4" s="116"/>
      <c r="I4" s="116"/>
      <c r="J4" s="116"/>
      <c r="K4" s="116"/>
      <c r="L4" s="116"/>
      <c r="M4" s="116"/>
      <c r="N4" s="116"/>
      <c r="O4" s="116"/>
      <c r="P4" s="116"/>
      <c r="Q4" s="116"/>
    </row>
    <row r="5" spans="1:17" x14ac:dyDescent="0.3">
      <c r="A5" s="116"/>
      <c r="B5" s="116"/>
      <c r="C5" s="116"/>
      <c r="D5" s="116"/>
      <c r="E5" s="116"/>
      <c r="F5" s="116"/>
      <c r="G5" s="116"/>
      <c r="H5" s="116"/>
      <c r="I5" s="116"/>
      <c r="J5" s="116"/>
      <c r="K5" s="116"/>
      <c r="L5" s="116"/>
      <c r="M5" s="116"/>
      <c r="N5" s="116"/>
      <c r="O5" s="116"/>
      <c r="P5" s="116"/>
      <c r="Q5" s="116"/>
    </row>
    <row r="6" spans="1:17" ht="25.2" x14ac:dyDescent="0.45">
      <c r="A6" s="116"/>
      <c r="B6" s="180" t="s">
        <v>94</v>
      </c>
      <c r="C6" s="180"/>
      <c r="D6" s="180"/>
      <c r="E6" s="180"/>
      <c r="F6" s="180"/>
      <c r="G6" s="180"/>
      <c r="H6" s="180"/>
      <c r="I6" s="180"/>
      <c r="J6" s="180"/>
      <c r="K6" s="180"/>
      <c r="L6" s="180"/>
      <c r="M6" s="180"/>
      <c r="N6" s="180"/>
      <c r="O6" s="180"/>
      <c r="P6" s="116"/>
      <c r="Q6" s="116"/>
    </row>
    <row r="8" spans="1:17" ht="18" x14ac:dyDescent="0.3">
      <c r="B8" s="133" t="s">
        <v>89</v>
      </c>
      <c r="C8" s="133" t="s">
        <v>132</v>
      </c>
      <c r="D8" s="134"/>
      <c r="E8" s="134"/>
      <c r="F8" s="134"/>
      <c r="G8" s="134"/>
      <c r="H8" s="134"/>
      <c r="I8" s="134"/>
      <c r="J8" s="134"/>
    </row>
    <row r="9" spans="1:17" ht="18" x14ac:dyDescent="0.3">
      <c r="B9" s="133" t="s">
        <v>0</v>
      </c>
      <c r="C9" s="134">
        <v>3</v>
      </c>
      <c r="D9" s="134">
        <v>8</v>
      </c>
      <c r="E9" s="134">
        <v>9</v>
      </c>
      <c r="F9" s="134">
        <v>15</v>
      </c>
      <c r="G9" s="134">
        <v>23</v>
      </c>
      <c r="H9" s="134">
        <v>27</v>
      </c>
      <c r="I9" s="134">
        <v>28</v>
      </c>
      <c r="J9" s="134" t="s">
        <v>133</v>
      </c>
    </row>
    <row r="10" spans="1:17" ht="18" x14ac:dyDescent="0.3">
      <c r="B10" s="134" t="s">
        <v>44</v>
      </c>
      <c r="C10" s="134"/>
      <c r="D10" s="134"/>
      <c r="E10" s="134"/>
      <c r="F10" s="134"/>
      <c r="G10" s="134"/>
      <c r="H10" s="134"/>
      <c r="I10" s="134">
        <v>2</v>
      </c>
      <c r="J10" s="134">
        <v>2</v>
      </c>
    </row>
    <row r="11" spans="1:17" ht="18" x14ac:dyDescent="0.3">
      <c r="B11" s="134" t="s">
        <v>1</v>
      </c>
      <c r="C11" s="134"/>
      <c r="D11" s="134"/>
      <c r="E11" s="134"/>
      <c r="F11" s="134"/>
      <c r="G11" s="134">
        <v>1</v>
      </c>
      <c r="H11" s="134">
        <v>1</v>
      </c>
      <c r="I11" s="134"/>
      <c r="J11" s="134">
        <v>2</v>
      </c>
    </row>
    <row r="12" spans="1:17" ht="18" x14ac:dyDescent="0.3">
      <c r="B12" s="134" t="s">
        <v>40</v>
      </c>
      <c r="C12" s="134">
        <v>1</v>
      </c>
      <c r="D12" s="134">
        <v>1</v>
      </c>
      <c r="E12" s="134"/>
      <c r="F12" s="134"/>
      <c r="G12" s="134"/>
      <c r="H12" s="134"/>
      <c r="I12" s="134"/>
      <c r="J12" s="134">
        <v>2</v>
      </c>
    </row>
    <row r="13" spans="1:17" ht="18" x14ac:dyDescent="0.3">
      <c r="B13" s="134" t="s">
        <v>45</v>
      </c>
      <c r="C13" s="134"/>
      <c r="D13" s="134"/>
      <c r="E13" s="134">
        <v>1</v>
      </c>
      <c r="F13" s="134">
        <v>1</v>
      </c>
      <c r="G13" s="134"/>
      <c r="H13" s="134"/>
      <c r="I13" s="134"/>
      <c r="J13" s="134">
        <v>2</v>
      </c>
    </row>
    <row r="14" spans="1:17" ht="18" x14ac:dyDescent="0.3">
      <c r="B14" s="134" t="s">
        <v>133</v>
      </c>
      <c r="C14" s="134">
        <v>1</v>
      </c>
      <c r="D14" s="134">
        <v>1</v>
      </c>
      <c r="E14" s="134">
        <v>1</v>
      </c>
      <c r="F14" s="134">
        <v>1</v>
      </c>
      <c r="G14" s="134">
        <v>1</v>
      </c>
      <c r="H14" s="134">
        <v>1</v>
      </c>
      <c r="I14" s="134">
        <v>2</v>
      </c>
      <c r="J14" s="134">
        <v>8</v>
      </c>
    </row>
    <row r="24" spans="2:15" s="116" customFormat="1" ht="25.2" x14ac:dyDescent="0.45">
      <c r="B24" s="180" t="s">
        <v>95</v>
      </c>
      <c r="C24" s="180"/>
      <c r="D24" s="180"/>
      <c r="E24" s="180"/>
      <c r="F24" s="180"/>
      <c r="G24" s="180"/>
      <c r="H24" s="180"/>
      <c r="I24" s="180"/>
      <c r="J24" s="180"/>
      <c r="K24" s="180"/>
      <c r="L24" s="180"/>
      <c r="M24" s="180"/>
      <c r="N24" s="180"/>
      <c r="O24" s="180"/>
    </row>
    <row r="26" spans="2:15" ht="36" x14ac:dyDescent="0.3">
      <c r="B26" s="133" t="s">
        <v>92</v>
      </c>
      <c r="C26" s="133" t="s">
        <v>132</v>
      </c>
      <c r="D26" s="134"/>
      <c r="E26" s="134"/>
      <c r="F26" s="134"/>
      <c r="G26" s="134"/>
    </row>
    <row r="27" spans="2:15" ht="36" x14ac:dyDescent="0.3">
      <c r="B27" s="133" t="s">
        <v>136</v>
      </c>
      <c r="C27" s="134">
        <v>23</v>
      </c>
      <c r="D27" s="134">
        <v>26</v>
      </c>
      <c r="E27" s="134">
        <v>30</v>
      </c>
      <c r="F27" s="134">
        <v>41</v>
      </c>
      <c r="G27" s="134" t="s">
        <v>133</v>
      </c>
    </row>
    <row r="28" spans="2:15" ht="18" x14ac:dyDescent="0.3">
      <c r="B28" s="134" t="s">
        <v>2</v>
      </c>
      <c r="C28" s="134">
        <v>1</v>
      </c>
      <c r="D28" s="134"/>
      <c r="E28" s="134"/>
      <c r="F28" s="134"/>
      <c r="G28" s="134">
        <v>1</v>
      </c>
    </row>
    <row r="29" spans="2:15" ht="18" x14ac:dyDescent="0.3">
      <c r="B29" s="134" t="s">
        <v>11</v>
      </c>
      <c r="C29" s="134"/>
      <c r="D29" s="134"/>
      <c r="E29" s="134">
        <v>1</v>
      </c>
      <c r="F29" s="134"/>
      <c r="G29" s="134">
        <v>1</v>
      </c>
    </row>
    <row r="30" spans="2:15" ht="18" x14ac:dyDescent="0.3">
      <c r="B30" s="134" t="s">
        <v>10</v>
      </c>
      <c r="C30" s="134"/>
      <c r="D30" s="134">
        <v>1</v>
      </c>
      <c r="E30" s="134"/>
      <c r="F30" s="134"/>
      <c r="G30" s="134">
        <v>1</v>
      </c>
    </row>
    <row r="31" spans="2:15" ht="18" x14ac:dyDescent="0.3">
      <c r="B31" s="134" t="s">
        <v>8</v>
      </c>
      <c r="C31" s="134"/>
      <c r="D31" s="134"/>
      <c r="E31" s="134"/>
      <c r="F31" s="134">
        <v>1</v>
      </c>
      <c r="G31" s="134">
        <v>1</v>
      </c>
    </row>
    <row r="32" spans="2:15" ht="36" x14ac:dyDescent="0.3">
      <c r="B32" s="134" t="s">
        <v>68</v>
      </c>
      <c r="C32" s="134"/>
      <c r="D32" s="134">
        <v>1</v>
      </c>
      <c r="E32" s="134"/>
      <c r="F32" s="134"/>
      <c r="G32" s="134">
        <v>1</v>
      </c>
    </row>
    <row r="33" spans="2:7" ht="18" x14ac:dyDescent="0.3">
      <c r="B33" s="134" t="s">
        <v>133</v>
      </c>
      <c r="C33" s="134">
        <v>1</v>
      </c>
      <c r="D33" s="134">
        <v>2</v>
      </c>
      <c r="E33" s="134">
        <v>1</v>
      </c>
      <c r="F33" s="134">
        <v>1</v>
      </c>
      <c r="G33" s="134">
        <v>5</v>
      </c>
    </row>
    <row r="36" spans="2:7" ht="18" x14ac:dyDescent="0.3">
      <c r="B36" s="131" t="s">
        <v>139</v>
      </c>
      <c r="C36" s="131" t="s">
        <v>132</v>
      </c>
      <c r="D36" s="132"/>
    </row>
    <row r="37" spans="2:7" ht="18" x14ac:dyDescent="0.3">
      <c r="B37" s="131" t="s">
        <v>0</v>
      </c>
      <c r="C37" s="132">
        <v>23</v>
      </c>
      <c r="D37" s="132" t="s">
        <v>133</v>
      </c>
    </row>
    <row r="38" spans="2:7" ht="18" x14ac:dyDescent="0.3">
      <c r="B38" s="132" t="s">
        <v>155</v>
      </c>
      <c r="C38" s="132">
        <v>1</v>
      </c>
      <c r="D38" s="132">
        <v>1</v>
      </c>
    </row>
    <row r="39" spans="2:7" ht="18" x14ac:dyDescent="0.3">
      <c r="B39" s="132" t="s">
        <v>133</v>
      </c>
      <c r="C39" s="132">
        <v>1</v>
      </c>
      <c r="D39" s="132">
        <v>1</v>
      </c>
    </row>
  </sheetData>
  <mergeCells count="2">
    <mergeCell ref="B6:O6"/>
    <mergeCell ref="B24:O24"/>
  </mergeCells>
  <pageMargins left="0.7" right="0.7" top="0.75" bottom="0.75" header="0.3" footer="0.3"/>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34C20-F14C-4C78-B072-AFC0A9A138FD}">
  <dimension ref="A1:T39"/>
  <sheetViews>
    <sheetView showGridLines="0" workbookViewId="0">
      <pane xSplit="2" ySplit="4" topLeftCell="C9" activePane="bottomRight" state="frozen"/>
      <selection pane="topRight" activeCell="C1" sqref="C1"/>
      <selection pane="bottomLeft" activeCell="A5" sqref="A5"/>
      <selection pane="bottomRight" activeCell="Q18" sqref="Q18"/>
    </sheetView>
  </sheetViews>
  <sheetFormatPr defaultRowHeight="14.4" x14ac:dyDescent="0.3"/>
  <cols>
    <col min="1" max="1" width="17" customWidth="1"/>
    <col min="2" max="2" width="12.5546875" bestFit="1" customWidth="1"/>
    <col min="3" max="8" width="13.21875" customWidth="1"/>
  </cols>
  <sheetData>
    <row r="1" spans="1:20" s="23" customFormat="1" ht="36" customHeight="1" x14ac:dyDescent="0.3">
      <c r="A1" s="40"/>
      <c r="B1" s="40"/>
      <c r="C1" s="40"/>
      <c r="D1" s="40"/>
      <c r="E1" s="40"/>
      <c r="F1" s="40"/>
      <c r="G1" s="40"/>
      <c r="H1" s="40"/>
      <c r="I1" s="40"/>
      <c r="J1" s="40"/>
      <c r="K1" s="40"/>
      <c r="L1" s="40"/>
      <c r="M1" s="40"/>
      <c r="N1" s="40"/>
      <c r="O1" s="40"/>
      <c r="P1" s="40"/>
      <c r="Q1" s="40"/>
      <c r="R1" s="40"/>
      <c r="S1" s="40"/>
      <c r="T1" s="40"/>
    </row>
    <row r="2" spans="1:20" s="23" customFormat="1" ht="36" customHeight="1" x14ac:dyDescent="0.3">
      <c r="A2" s="40"/>
      <c r="B2" s="139" t="s">
        <v>137</v>
      </c>
      <c r="C2" s="40"/>
      <c r="D2" s="40"/>
      <c r="E2" s="40"/>
      <c r="F2" s="40"/>
      <c r="G2" s="40"/>
      <c r="H2" s="40"/>
      <c r="I2" s="40"/>
      <c r="J2" s="40"/>
      <c r="K2" s="40"/>
      <c r="L2" s="40"/>
      <c r="M2" s="40"/>
      <c r="N2" s="40"/>
      <c r="O2" s="40"/>
      <c r="P2" s="40"/>
      <c r="Q2" s="40"/>
      <c r="R2" s="40"/>
      <c r="S2" s="40"/>
      <c r="T2" s="40"/>
    </row>
    <row r="3" spans="1:20" s="23" customFormat="1" ht="36" customHeight="1" x14ac:dyDescent="0.3">
      <c r="A3" s="40"/>
      <c r="B3" s="40"/>
      <c r="C3" s="40"/>
      <c r="D3" s="40"/>
      <c r="E3" s="40"/>
      <c r="F3" s="40"/>
      <c r="G3" s="40"/>
      <c r="H3" s="40"/>
      <c r="I3" s="40"/>
      <c r="J3" s="40"/>
      <c r="K3" s="40"/>
      <c r="L3" s="40"/>
      <c r="M3" s="40"/>
      <c r="N3" s="40"/>
      <c r="O3" s="40"/>
      <c r="P3" s="40"/>
      <c r="Q3" s="40"/>
      <c r="R3" s="40"/>
      <c r="S3" s="40"/>
      <c r="T3" s="40"/>
    </row>
    <row r="4" spans="1:20" s="23" customFormat="1" x14ac:dyDescent="0.3"/>
    <row r="5" spans="1:20" s="23" customFormat="1" x14ac:dyDescent="0.3"/>
    <row r="6" spans="1:20" s="23" customFormat="1" ht="25.2" x14ac:dyDescent="0.45">
      <c r="B6" s="180" t="s">
        <v>94</v>
      </c>
      <c r="C6" s="180"/>
      <c r="D6" s="180"/>
      <c r="E6" s="180"/>
      <c r="F6" s="180"/>
      <c r="G6" s="180"/>
      <c r="H6" s="180"/>
      <c r="I6" s="180"/>
      <c r="J6" s="180"/>
      <c r="K6" s="180"/>
      <c r="L6" s="180"/>
      <c r="M6" s="180"/>
      <c r="N6" s="180"/>
      <c r="O6" s="180"/>
    </row>
    <row r="8" spans="1:20" ht="18" x14ac:dyDescent="0.3">
      <c r="B8" s="133" t="s">
        <v>89</v>
      </c>
      <c r="C8" s="133" t="s">
        <v>132</v>
      </c>
    </row>
    <row r="9" spans="1:20" ht="18" x14ac:dyDescent="0.3">
      <c r="B9" s="133" t="s">
        <v>0</v>
      </c>
      <c r="C9" s="134" t="s">
        <v>133</v>
      </c>
    </row>
    <row r="10" spans="1:20" ht="18" x14ac:dyDescent="0.3">
      <c r="B10" s="134" t="s">
        <v>133</v>
      </c>
      <c r="C10" s="134"/>
    </row>
    <row r="24" spans="2:15" s="23" customFormat="1" ht="25.2" x14ac:dyDescent="0.45">
      <c r="B24" s="180" t="s">
        <v>95</v>
      </c>
      <c r="C24" s="180"/>
      <c r="D24" s="180"/>
      <c r="E24" s="180"/>
      <c r="F24" s="180"/>
      <c r="G24" s="180"/>
      <c r="H24" s="180"/>
      <c r="I24" s="180"/>
      <c r="J24" s="180"/>
      <c r="K24" s="180"/>
      <c r="L24" s="180"/>
      <c r="M24" s="180"/>
      <c r="N24" s="180"/>
      <c r="O24" s="180"/>
    </row>
    <row r="26" spans="2:15" ht="36" x14ac:dyDescent="0.3">
      <c r="B26" s="133" t="s">
        <v>92</v>
      </c>
      <c r="C26" s="133" t="s">
        <v>132</v>
      </c>
    </row>
    <row r="27" spans="2:15" ht="36" x14ac:dyDescent="0.3">
      <c r="B27" s="133" t="s">
        <v>16</v>
      </c>
      <c r="C27" s="134" t="s">
        <v>133</v>
      </c>
    </row>
    <row r="28" spans="2:15" ht="18" x14ac:dyDescent="0.3">
      <c r="B28" s="134" t="s">
        <v>133</v>
      </c>
      <c r="C28" s="134"/>
    </row>
    <row r="35" spans="2:15" ht="25.2" x14ac:dyDescent="0.45">
      <c r="B35" s="180" t="s">
        <v>96</v>
      </c>
      <c r="C35" s="180"/>
      <c r="D35" s="180"/>
      <c r="E35" s="180"/>
      <c r="F35" s="180"/>
      <c r="G35" s="180"/>
      <c r="H35" s="180"/>
      <c r="I35" s="180"/>
      <c r="J35" s="180"/>
      <c r="K35" s="180"/>
      <c r="L35" s="180"/>
      <c r="M35" s="180"/>
      <c r="N35" s="180"/>
      <c r="O35" s="180"/>
    </row>
    <row r="37" spans="2:15" ht="18" x14ac:dyDescent="0.3">
      <c r="B37" s="133" t="s">
        <v>139</v>
      </c>
      <c r="C37" s="133" t="s">
        <v>132</v>
      </c>
    </row>
    <row r="38" spans="2:15" ht="36" x14ac:dyDescent="0.3">
      <c r="B38" s="133" t="s">
        <v>0</v>
      </c>
      <c r="C38" s="134" t="s">
        <v>122</v>
      </c>
    </row>
    <row r="39" spans="2:15" ht="36" x14ac:dyDescent="0.3">
      <c r="B39" s="134" t="s">
        <v>122</v>
      </c>
      <c r="C39" s="134"/>
    </row>
  </sheetData>
  <mergeCells count="3">
    <mergeCell ref="B6:O6"/>
    <mergeCell ref="B24:O24"/>
    <mergeCell ref="B35:O35"/>
  </mergeCells>
  <pageMargins left="0.7" right="0.7" top="0.75" bottom="0.75" header="0.3" footer="0.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A2960-5C68-48BC-9B8F-9AA1C101A453}">
  <dimension ref="A1:Q40"/>
  <sheetViews>
    <sheetView showGridLines="0" showRowColHeaders="0" workbookViewId="0">
      <pane xSplit="2" ySplit="4" topLeftCell="C5" activePane="bottomRight" state="frozen"/>
      <selection pane="topRight" activeCell="C1" sqref="C1"/>
      <selection pane="bottomLeft" activeCell="A5" sqref="A5"/>
      <selection pane="bottomRight"/>
    </sheetView>
  </sheetViews>
  <sheetFormatPr defaultRowHeight="14.4" x14ac:dyDescent="0.3"/>
  <cols>
    <col min="2" max="2" width="16.77734375" customWidth="1"/>
    <col min="3" max="6" width="11.44140625" customWidth="1"/>
  </cols>
  <sheetData>
    <row r="1" spans="1:17" s="23" customFormat="1" ht="35.25" customHeight="1" x14ac:dyDescent="0.3">
      <c r="A1" s="40"/>
      <c r="B1" s="40"/>
      <c r="C1" s="40"/>
      <c r="D1" s="40"/>
      <c r="E1" s="40"/>
      <c r="F1" s="40"/>
      <c r="G1" s="40"/>
      <c r="H1" s="40"/>
      <c r="I1" s="40"/>
      <c r="J1" s="40"/>
      <c r="K1" s="40"/>
      <c r="L1" s="40"/>
      <c r="M1" s="40"/>
      <c r="N1" s="40"/>
      <c r="O1" s="40"/>
      <c r="P1" s="40"/>
      <c r="Q1" s="40"/>
    </row>
    <row r="2" spans="1:17" s="23" customFormat="1" ht="35.25" customHeight="1" x14ac:dyDescent="0.3">
      <c r="A2" s="40"/>
      <c r="B2" s="119" t="s">
        <v>138</v>
      </c>
      <c r="C2" s="40"/>
      <c r="D2" s="40"/>
      <c r="E2" s="40"/>
      <c r="F2" s="40"/>
      <c r="G2" s="40"/>
      <c r="H2" s="40"/>
      <c r="I2" s="40"/>
      <c r="J2" s="40"/>
      <c r="K2" s="40"/>
      <c r="L2" s="40"/>
      <c r="M2" s="40"/>
      <c r="N2" s="40"/>
      <c r="O2" s="40"/>
      <c r="P2" s="40"/>
      <c r="Q2" s="40"/>
    </row>
    <row r="3" spans="1:17" s="23" customFormat="1" ht="35.25" customHeight="1" x14ac:dyDescent="0.3">
      <c r="A3" s="40"/>
      <c r="B3" s="40"/>
      <c r="C3" s="40"/>
      <c r="D3" s="40"/>
      <c r="E3" s="40"/>
      <c r="F3" s="40"/>
      <c r="G3" s="40"/>
      <c r="H3" s="40"/>
      <c r="I3" s="40"/>
      <c r="J3" s="40"/>
      <c r="K3" s="40"/>
      <c r="L3" s="40"/>
      <c r="M3" s="40"/>
      <c r="N3" s="40"/>
      <c r="O3" s="40"/>
      <c r="P3" s="40"/>
      <c r="Q3" s="40"/>
    </row>
    <row r="4" spans="1:17" s="23" customFormat="1" x14ac:dyDescent="0.3"/>
    <row r="5" spans="1:17" s="23" customFormat="1" x14ac:dyDescent="0.3"/>
    <row r="6" spans="1:17" s="23" customFormat="1" ht="25.2" x14ac:dyDescent="0.45">
      <c r="B6" s="180" t="s">
        <v>94</v>
      </c>
      <c r="C6" s="180"/>
      <c r="D6" s="180"/>
      <c r="E6" s="180"/>
      <c r="F6" s="180"/>
      <c r="G6" s="180"/>
      <c r="H6" s="180"/>
      <c r="I6" s="180"/>
      <c r="J6" s="180"/>
      <c r="K6" s="180"/>
      <c r="L6" s="180"/>
      <c r="M6" s="180"/>
      <c r="N6" s="180"/>
      <c r="O6" s="180"/>
    </row>
    <row r="8" spans="1:17" ht="18" x14ac:dyDescent="0.3">
      <c r="B8" s="133" t="s">
        <v>89</v>
      </c>
      <c r="C8" s="133" t="s">
        <v>132</v>
      </c>
    </row>
    <row r="9" spans="1:17" ht="18" x14ac:dyDescent="0.3">
      <c r="B9" s="133" t="s">
        <v>0</v>
      </c>
      <c r="C9" s="134" t="s">
        <v>133</v>
      </c>
    </row>
    <row r="10" spans="1:17" ht="18" x14ac:dyDescent="0.3">
      <c r="B10" s="134" t="s">
        <v>133</v>
      </c>
      <c r="C10" s="134"/>
    </row>
    <row r="24" spans="2:15" s="23" customFormat="1" ht="25.2" x14ac:dyDescent="0.45">
      <c r="B24" s="180" t="s">
        <v>95</v>
      </c>
      <c r="C24" s="180"/>
      <c r="D24" s="180"/>
      <c r="E24" s="180"/>
      <c r="F24" s="180"/>
      <c r="G24" s="180"/>
      <c r="H24" s="180"/>
      <c r="I24" s="180"/>
      <c r="J24" s="180"/>
      <c r="K24" s="180"/>
      <c r="L24" s="180"/>
      <c r="M24" s="180"/>
      <c r="N24" s="180"/>
      <c r="O24" s="180"/>
    </row>
    <row r="26" spans="2:15" ht="18" x14ac:dyDescent="0.3">
      <c r="B26" s="133" t="s">
        <v>92</v>
      </c>
      <c r="C26" s="133" t="s">
        <v>132</v>
      </c>
    </row>
    <row r="27" spans="2:15" ht="18" x14ac:dyDescent="0.3">
      <c r="B27" s="133" t="s">
        <v>16</v>
      </c>
      <c r="C27" s="134" t="s">
        <v>133</v>
      </c>
    </row>
    <row r="28" spans="2:15" ht="18" x14ac:dyDescent="0.3">
      <c r="B28" s="134" t="s">
        <v>133</v>
      </c>
      <c r="C28" s="134"/>
    </row>
    <row r="36" spans="2:15" ht="25.2" x14ac:dyDescent="0.45">
      <c r="B36" s="180" t="s">
        <v>96</v>
      </c>
      <c r="C36" s="180"/>
      <c r="D36" s="180"/>
      <c r="E36" s="180"/>
      <c r="F36" s="180"/>
      <c r="G36" s="180"/>
      <c r="H36" s="180"/>
      <c r="I36" s="180"/>
      <c r="J36" s="180"/>
      <c r="K36" s="180"/>
      <c r="L36" s="180"/>
      <c r="M36" s="180"/>
      <c r="N36" s="180"/>
      <c r="O36" s="180"/>
    </row>
    <row r="38" spans="2:15" ht="18" x14ac:dyDescent="0.3">
      <c r="B38" s="133" t="s">
        <v>139</v>
      </c>
      <c r="C38" s="133" t="s">
        <v>132</v>
      </c>
    </row>
    <row r="39" spans="2:15" ht="18" x14ac:dyDescent="0.3">
      <c r="B39" s="133" t="s">
        <v>0</v>
      </c>
      <c r="C39" s="134" t="s">
        <v>133</v>
      </c>
    </row>
    <row r="40" spans="2:15" ht="18" x14ac:dyDescent="0.3">
      <c r="B40" s="134" t="s">
        <v>133</v>
      </c>
      <c r="C40" s="134"/>
    </row>
  </sheetData>
  <mergeCells count="3">
    <mergeCell ref="B6:O6"/>
    <mergeCell ref="B24:O24"/>
    <mergeCell ref="B36:O36"/>
  </mergeCells>
  <pageMargins left="0.7" right="0.7" top="0.75" bottom="0.75" header="0.3" footer="0.3"/>
  <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AF503-759D-4A47-9902-52779F77388C}">
  <dimension ref="A1:Q42"/>
  <sheetViews>
    <sheetView showGridLines="0" showRowColHeaders="0" workbookViewId="0">
      <pane xSplit="2" ySplit="4" topLeftCell="C5" activePane="bottomRight" state="frozen"/>
      <selection pane="topRight" activeCell="C1" sqref="C1"/>
      <selection pane="bottomLeft" activeCell="A5" sqref="A5"/>
      <selection pane="bottomRight" activeCell="Q11" sqref="Q11"/>
    </sheetView>
  </sheetViews>
  <sheetFormatPr defaultRowHeight="14.4" x14ac:dyDescent="0.3"/>
  <cols>
    <col min="2" max="2" width="20.44140625" bestFit="1" customWidth="1"/>
    <col min="3" max="6" width="10.77734375" customWidth="1"/>
  </cols>
  <sheetData>
    <row r="1" spans="1:17" s="23" customFormat="1" ht="37.5" customHeight="1" x14ac:dyDescent="0.3">
      <c r="A1" s="40"/>
      <c r="B1" s="40"/>
      <c r="C1" s="40"/>
      <c r="D1" s="40"/>
      <c r="E1" s="40"/>
      <c r="F1" s="40"/>
      <c r="G1" s="40"/>
      <c r="H1" s="40"/>
      <c r="I1" s="40"/>
      <c r="J1" s="40"/>
      <c r="K1" s="40"/>
      <c r="L1" s="40"/>
      <c r="M1" s="40"/>
      <c r="N1" s="40"/>
      <c r="O1" s="40"/>
      <c r="P1" s="40"/>
      <c r="Q1" s="40"/>
    </row>
    <row r="2" spans="1:17" s="23" customFormat="1" ht="37.5" customHeight="1" x14ac:dyDescent="0.3">
      <c r="A2" s="40"/>
      <c r="B2" s="128" t="s">
        <v>140</v>
      </c>
      <c r="C2" s="40"/>
      <c r="D2" s="40"/>
      <c r="E2" s="40"/>
      <c r="F2" s="40"/>
      <c r="G2" s="40"/>
      <c r="H2" s="40"/>
      <c r="I2" s="40"/>
      <c r="J2" s="40"/>
      <c r="K2" s="40"/>
      <c r="L2" s="40"/>
      <c r="M2" s="40"/>
      <c r="N2" s="40"/>
      <c r="O2" s="40"/>
      <c r="P2" s="40"/>
      <c r="Q2" s="40"/>
    </row>
    <row r="3" spans="1:17" s="23" customFormat="1" ht="37.5" customHeight="1" x14ac:dyDescent="0.3">
      <c r="A3" s="40"/>
      <c r="B3" s="40"/>
      <c r="C3" s="40"/>
      <c r="D3" s="40"/>
      <c r="E3" s="40"/>
      <c r="F3" s="40"/>
      <c r="G3" s="40"/>
      <c r="H3" s="40"/>
      <c r="I3" s="40"/>
      <c r="J3" s="40"/>
      <c r="K3" s="40"/>
      <c r="L3" s="40"/>
      <c r="M3" s="40"/>
      <c r="N3" s="40"/>
      <c r="O3" s="40"/>
      <c r="P3" s="40"/>
      <c r="Q3" s="40"/>
    </row>
    <row r="6" spans="1:17" s="23" customFormat="1" ht="25.2" x14ac:dyDescent="0.45">
      <c r="B6" s="180" t="s">
        <v>94</v>
      </c>
      <c r="C6" s="180"/>
      <c r="D6" s="180"/>
      <c r="E6" s="180"/>
      <c r="F6" s="180"/>
      <c r="G6" s="180"/>
      <c r="H6" s="180"/>
      <c r="I6" s="180"/>
      <c r="J6" s="180"/>
      <c r="K6" s="180"/>
      <c r="L6" s="180"/>
      <c r="M6" s="180"/>
      <c r="N6" s="180"/>
      <c r="O6" s="180"/>
    </row>
    <row r="8" spans="1:17" ht="18" x14ac:dyDescent="0.3">
      <c r="B8" s="131" t="s">
        <v>89</v>
      </c>
      <c r="C8" s="131" t="s">
        <v>132</v>
      </c>
    </row>
    <row r="9" spans="1:17" ht="18" x14ac:dyDescent="0.3">
      <c r="B9" s="131" t="s">
        <v>0</v>
      </c>
      <c r="C9" s="132" t="s">
        <v>133</v>
      </c>
    </row>
    <row r="10" spans="1:17" ht="18" x14ac:dyDescent="0.3">
      <c r="B10" s="132" t="s">
        <v>133</v>
      </c>
      <c r="C10" s="132"/>
    </row>
    <row r="24" spans="2:15" ht="25.2" x14ac:dyDescent="0.45">
      <c r="B24" s="180" t="s">
        <v>95</v>
      </c>
      <c r="C24" s="180"/>
      <c r="D24" s="180"/>
      <c r="E24" s="180"/>
      <c r="F24" s="180"/>
      <c r="G24" s="180"/>
      <c r="H24" s="180"/>
      <c r="I24" s="180"/>
      <c r="J24" s="180"/>
      <c r="K24" s="180"/>
      <c r="L24" s="180"/>
      <c r="M24" s="180"/>
      <c r="N24" s="180"/>
      <c r="O24" s="180"/>
    </row>
    <row r="26" spans="2:15" ht="18" x14ac:dyDescent="0.3">
      <c r="B26" s="131" t="s">
        <v>92</v>
      </c>
      <c r="C26" s="131" t="s">
        <v>132</v>
      </c>
    </row>
    <row r="27" spans="2:15" ht="18" x14ac:dyDescent="0.3">
      <c r="B27" s="131" t="s">
        <v>16</v>
      </c>
      <c r="C27" s="132" t="s">
        <v>133</v>
      </c>
    </row>
    <row r="28" spans="2:15" ht="18" x14ac:dyDescent="0.3">
      <c r="B28" s="132" t="s">
        <v>133</v>
      </c>
      <c r="C28" s="132"/>
    </row>
    <row r="38" spans="2:15" ht="25.2" x14ac:dyDescent="0.45">
      <c r="B38" s="180" t="s">
        <v>96</v>
      </c>
      <c r="C38" s="180"/>
      <c r="D38" s="180"/>
      <c r="E38" s="180"/>
      <c r="F38" s="180"/>
      <c r="G38" s="180"/>
      <c r="H38" s="180"/>
      <c r="I38" s="180"/>
      <c r="J38" s="180"/>
      <c r="K38" s="180"/>
      <c r="L38" s="180"/>
      <c r="M38" s="180"/>
      <c r="N38" s="180"/>
      <c r="O38" s="180"/>
    </row>
    <row r="40" spans="2:15" ht="18" x14ac:dyDescent="0.3">
      <c r="B40" s="131" t="s">
        <v>139</v>
      </c>
      <c r="C40" s="131" t="s">
        <v>132</v>
      </c>
    </row>
    <row r="41" spans="2:15" ht="18" x14ac:dyDescent="0.3">
      <c r="B41" s="131" t="s">
        <v>0</v>
      </c>
      <c r="C41" s="132" t="s">
        <v>133</v>
      </c>
    </row>
    <row r="42" spans="2:15" ht="18" x14ac:dyDescent="0.3">
      <c r="B42" s="132" t="s">
        <v>133</v>
      </c>
      <c r="C42" s="132"/>
    </row>
  </sheetData>
  <mergeCells count="3">
    <mergeCell ref="B6:O6"/>
    <mergeCell ref="B24:O24"/>
    <mergeCell ref="B38:O38"/>
  </mergeCells>
  <pageMargins left="0.7" right="0.7" top="0.75" bottom="0.75" header="0.3" footer="0.3"/>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B4081-21B3-421C-93D2-8A9D0FDB03E3}">
  <sheetPr codeName="Sheet8"/>
  <dimension ref="A3:F25"/>
  <sheetViews>
    <sheetView showGridLines="0" workbookViewId="0">
      <selection activeCell="J16" sqref="J16"/>
    </sheetView>
  </sheetViews>
  <sheetFormatPr defaultColWidth="9.21875" defaultRowHeight="13.8" x14ac:dyDescent="0.25"/>
  <cols>
    <col min="1" max="1" width="41.44140625" style="9" customWidth="1"/>
    <col min="2" max="2" width="15.5546875" style="9" customWidth="1"/>
    <col min="3" max="3" width="10.77734375" style="9" customWidth="1"/>
    <col min="4" max="16384" width="9.21875" style="9"/>
  </cols>
  <sheetData>
    <row r="3" spans="1:6" ht="14.4" thickBot="1" x14ac:dyDescent="0.3"/>
    <row r="4" spans="1:6" ht="18" x14ac:dyDescent="0.35">
      <c r="A4" s="15" t="s">
        <v>66</v>
      </c>
      <c r="B4" s="16" t="s">
        <v>19</v>
      </c>
      <c r="C4" s="17" t="s">
        <v>65</v>
      </c>
      <c r="F4" s="13" t="s">
        <v>103</v>
      </c>
    </row>
    <row r="5" spans="1:6" ht="18" x14ac:dyDescent="0.35">
      <c r="A5" s="7" t="s">
        <v>141</v>
      </c>
      <c r="B5" s="8">
        <v>45658</v>
      </c>
      <c r="C5" s="18">
        <f>IF(B5="","",WEEKDAY(B5,1))</f>
        <v>4</v>
      </c>
      <c r="F5" s="13" t="s">
        <v>105</v>
      </c>
    </row>
    <row r="6" spans="1:6" ht="18" x14ac:dyDescent="0.35">
      <c r="A6" s="7" t="s">
        <v>64</v>
      </c>
      <c r="B6" s="8">
        <v>45684</v>
      </c>
      <c r="C6" s="18">
        <f t="shared" ref="C6:C25" si="0">IF(B6="","",WEEKDAY(B6,1))</f>
        <v>2</v>
      </c>
    </row>
    <row r="7" spans="1:6" ht="18" x14ac:dyDescent="0.35">
      <c r="A7" s="7" t="s">
        <v>64</v>
      </c>
      <c r="B7" s="8">
        <v>45685</v>
      </c>
      <c r="C7" s="18">
        <f t="shared" si="0"/>
        <v>3</v>
      </c>
    </row>
    <row r="8" spans="1:6" ht="18" x14ac:dyDescent="0.35">
      <c r="A8" s="7" t="s">
        <v>64</v>
      </c>
      <c r="B8" s="8">
        <v>45686</v>
      </c>
      <c r="C8" s="18">
        <f t="shared" si="0"/>
        <v>4</v>
      </c>
    </row>
    <row r="9" spans="1:6" ht="18" x14ac:dyDescent="0.35">
      <c r="A9" s="7" t="s">
        <v>64</v>
      </c>
      <c r="B9" s="8">
        <v>45687</v>
      </c>
      <c r="C9" s="18">
        <f t="shared" si="0"/>
        <v>5</v>
      </c>
    </row>
    <row r="10" spans="1:6" ht="18" x14ac:dyDescent="0.35">
      <c r="A10" s="7" t="s">
        <v>64</v>
      </c>
      <c r="B10" s="8">
        <v>45688</v>
      </c>
      <c r="C10" s="18">
        <f t="shared" si="0"/>
        <v>6</v>
      </c>
    </row>
    <row r="11" spans="1:6" ht="18" x14ac:dyDescent="0.35">
      <c r="A11" s="7" t="s">
        <v>142</v>
      </c>
      <c r="B11" s="8">
        <v>45754</v>
      </c>
      <c r="C11" s="18">
        <f t="shared" si="0"/>
        <v>2</v>
      </c>
    </row>
    <row r="12" spans="1:6" ht="18" x14ac:dyDescent="0.35">
      <c r="A12" s="7" t="s">
        <v>143</v>
      </c>
      <c r="B12" s="8">
        <v>45777</v>
      </c>
      <c r="C12" s="18">
        <f t="shared" si="0"/>
        <v>4</v>
      </c>
    </row>
    <row r="13" spans="1:6" ht="18" x14ac:dyDescent="0.35">
      <c r="A13" s="7" t="s">
        <v>144</v>
      </c>
      <c r="B13" s="8">
        <v>45778</v>
      </c>
      <c r="C13" s="18">
        <f t="shared" si="0"/>
        <v>5</v>
      </c>
    </row>
    <row r="14" spans="1:6" ht="18" x14ac:dyDescent="0.35">
      <c r="A14" s="7" t="s">
        <v>144</v>
      </c>
      <c r="B14" s="8">
        <v>45779</v>
      </c>
      <c r="C14" s="18">
        <f t="shared" si="0"/>
        <v>6</v>
      </c>
    </row>
    <row r="15" spans="1:6" ht="18" x14ac:dyDescent="0.35">
      <c r="A15" s="7" t="s">
        <v>145</v>
      </c>
      <c r="B15" s="8">
        <v>45901</v>
      </c>
      <c r="C15" s="18">
        <f t="shared" si="0"/>
        <v>2</v>
      </c>
    </row>
    <row r="16" spans="1:6" ht="18" x14ac:dyDescent="0.35">
      <c r="A16" s="7" t="s">
        <v>146</v>
      </c>
      <c r="B16" s="8">
        <v>45902</v>
      </c>
      <c r="C16" s="18">
        <f t="shared" si="0"/>
        <v>3</v>
      </c>
    </row>
    <row r="17" spans="1:3" ht="18" x14ac:dyDescent="0.35">
      <c r="A17" s="19"/>
      <c r="B17" s="12"/>
      <c r="C17" s="18" t="str">
        <f t="shared" si="0"/>
        <v/>
      </c>
    </row>
    <row r="18" spans="1:3" ht="18" x14ac:dyDescent="0.35">
      <c r="A18" s="19"/>
      <c r="B18" s="12"/>
      <c r="C18" s="18" t="str">
        <f t="shared" si="0"/>
        <v/>
      </c>
    </row>
    <row r="19" spans="1:3" ht="18" x14ac:dyDescent="0.35">
      <c r="A19" s="19"/>
      <c r="B19" s="12"/>
      <c r="C19" s="18" t="str">
        <f t="shared" si="0"/>
        <v/>
      </c>
    </row>
    <row r="20" spans="1:3" ht="18" x14ac:dyDescent="0.35">
      <c r="A20" s="19"/>
      <c r="B20" s="12"/>
      <c r="C20" s="18" t="str">
        <f t="shared" si="0"/>
        <v/>
      </c>
    </row>
    <row r="21" spans="1:3" ht="18" x14ac:dyDescent="0.35">
      <c r="A21" s="19"/>
      <c r="B21" s="12"/>
      <c r="C21" s="18" t="str">
        <f t="shared" si="0"/>
        <v/>
      </c>
    </row>
    <row r="22" spans="1:3" ht="18" x14ac:dyDescent="0.35">
      <c r="A22" s="19"/>
      <c r="B22" s="12"/>
      <c r="C22" s="18" t="str">
        <f t="shared" si="0"/>
        <v/>
      </c>
    </row>
    <row r="23" spans="1:3" ht="18" x14ac:dyDescent="0.35">
      <c r="A23" s="19"/>
      <c r="B23" s="12"/>
      <c r="C23" s="18" t="str">
        <f t="shared" si="0"/>
        <v/>
      </c>
    </row>
    <row r="24" spans="1:3" ht="18" x14ac:dyDescent="0.35">
      <c r="A24" s="19"/>
      <c r="B24" s="12"/>
      <c r="C24" s="18" t="str">
        <f t="shared" si="0"/>
        <v/>
      </c>
    </row>
    <row r="25" spans="1:3" ht="18.600000000000001" thickBot="1" x14ac:dyDescent="0.4">
      <c r="A25" s="20"/>
      <c r="B25" s="21"/>
      <c r="C25" s="22" t="str">
        <f t="shared" si="0"/>
        <v/>
      </c>
    </row>
  </sheetData>
  <pageMargins left="0.7" right="0.7" top="0.75" bottom="0.75" header="0.3" footer="0.3"/>
  <pageSetup paperSize="9" orientation="portrait"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82560-F54B-477F-8FBB-3B1AF24A1C5F}">
  <sheetPr codeName="Sheet7"/>
  <dimension ref="A1:L27"/>
  <sheetViews>
    <sheetView workbookViewId="0"/>
  </sheetViews>
  <sheetFormatPr defaultRowHeight="14.4" x14ac:dyDescent="0.3"/>
  <cols>
    <col min="1" max="1" width="26" customWidth="1"/>
    <col min="2" max="2" width="9.21875" style="4"/>
    <col min="3" max="3" width="16.44140625" customWidth="1"/>
    <col min="4" max="4" width="26" customWidth="1"/>
    <col min="7" max="7" width="28.44140625" customWidth="1"/>
  </cols>
  <sheetData>
    <row r="1" spans="1:12" s="1" customFormat="1" x14ac:dyDescent="0.3">
      <c r="A1" s="2" t="s">
        <v>1</v>
      </c>
      <c r="B1" s="3">
        <v>4</v>
      </c>
      <c r="C1" s="10" t="s">
        <v>104</v>
      </c>
      <c r="D1" s="2" t="s">
        <v>1</v>
      </c>
      <c r="E1" s="3">
        <v>2</v>
      </c>
      <c r="F1" s="10" t="s">
        <v>104</v>
      </c>
      <c r="G1" s="2" t="s">
        <v>53</v>
      </c>
      <c r="H1" s="3">
        <v>4</v>
      </c>
      <c r="I1" s="10" t="s">
        <v>104</v>
      </c>
    </row>
    <row r="2" spans="1:12" s="1" customFormat="1" x14ac:dyDescent="0.3">
      <c r="A2" s="2" t="s">
        <v>44</v>
      </c>
      <c r="B2" s="3">
        <v>1</v>
      </c>
      <c r="C2" s="10" t="s">
        <v>104</v>
      </c>
      <c r="D2" s="2" t="s">
        <v>44</v>
      </c>
      <c r="E2" s="3">
        <v>1</v>
      </c>
      <c r="F2" s="10" t="s">
        <v>104</v>
      </c>
      <c r="G2" s="2" t="s">
        <v>54</v>
      </c>
      <c r="H2" s="3">
        <v>2</v>
      </c>
      <c r="I2" s="10" t="s">
        <v>104</v>
      </c>
    </row>
    <row r="3" spans="1:12" s="1" customFormat="1" x14ac:dyDescent="0.3">
      <c r="A3" s="2" t="s">
        <v>40</v>
      </c>
      <c r="B3" s="3">
        <v>4</v>
      </c>
      <c r="C3" s="10" t="s">
        <v>104</v>
      </c>
      <c r="D3" s="2" t="s">
        <v>40</v>
      </c>
      <c r="E3" s="3">
        <v>2</v>
      </c>
      <c r="F3" s="10" t="s">
        <v>104</v>
      </c>
      <c r="G3" s="2" t="s">
        <v>55</v>
      </c>
      <c r="H3" s="3">
        <v>4</v>
      </c>
      <c r="I3" s="10" t="s">
        <v>104</v>
      </c>
    </row>
    <row r="4" spans="1:12" s="1" customFormat="1" x14ac:dyDescent="0.3">
      <c r="A4" s="2" t="s">
        <v>45</v>
      </c>
      <c r="B4" s="3">
        <v>1</v>
      </c>
      <c r="C4" s="10" t="s">
        <v>104</v>
      </c>
      <c r="D4" s="2" t="s">
        <v>45</v>
      </c>
      <c r="E4" s="3">
        <v>1</v>
      </c>
      <c r="F4" s="10" t="s">
        <v>104</v>
      </c>
      <c r="G4" s="2" t="s">
        <v>56</v>
      </c>
      <c r="H4" s="3">
        <v>2</v>
      </c>
      <c r="I4" s="10" t="s">
        <v>104</v>
      </c>
    </row>
    <row r="5" spans="1:12" s="1" customFormat="1" x14ac:dyDescent="0.3">
      <c r="A5" s="2" t="s">
        <v>111</v>
      </c>
      <c r="B5" s="3">
        <v>4</v>
      </c>
      <c r="C5" s="10" t="s">
        <v>104</v>
      </c>
      <c r="D5" s="2" t="s">
        <v>111</v>
      </c>
      <c r="E5" s="3">
        <v>4</v>
      </c>
      <c r="F5" s="10" t="s">
        <v>104</v>
      </c>
      <c r="G5" s="2" t="s">
        <v>114</v>
      </c>
      <c r="H5" s="3">
        <v>4</v>
      </c>
      <c r="I5" s="10" t="s">
        <v>104</v>
      </c>
    </row>
    <row r="6" spans="1:12" s="1" customFormat="1" x14ac:dyDescent="0.3">
      <c r="A6" s="2" t="s">
        <v>112</v>
      </c>
      <c r="B6" s="3">
        <v>1</v>
      </c>
      <c r="C6" s="10" t="s">
        <v>104</v>
      </c>
      <c r="D6" s="2" t="s">
        <v>112</v>
      </c>
      <c r="E6" s="3">
        <v>1</v>
      </c>
      <c r="F6" s="10" t="s">
        <v>104</v>
      </c>
      <c r="G6" s="2" t="s">
        <v>115</v>
      </c>
      <c r="H6" s="3">
        <v>2</v>
      </c>
      <c r="I6" s="10" t="s">
        <v>104</v>
      </c>
    </row>
    <row r="7" spans="1:12" ht="18" x14ac:dyDescent="0.35">
      <c r="A7" s="5" t="s">
        <v>42</v>
      </c>
      <c r="B7" s="6">
        <v>4</v>
      </c>
      <c r="C7" s="10" t="s">
        <v>104</v>
      </c>
      <c r="D7" s="5" t="s">
        <v>42</v>
      </c>
      <c r="E7" s="6">
        <v>2</v>
      </c>
      <c r="F7" s="10" t="s">
        <v>104</v>
      </c>
      <c r="G7" s="5" t="s">
        <v>51</v>
      </c>
      <c r="H7" s="6">
        <v>4</v>
      </c>
      <c r="I7" s="10" t="s">
        <v>104</v>
      </c>
      <c r="L7" s="13" t="s">
        <v>121</v>
      </c>
    </row>
    <row r="8" spans="1:12" x14ac:dyDescent="0.3">
      <c r="A8" s="5" t="s">
        <v>72</v>
      </c>
      <c r="B8" s="6">
        <v>4</v>
      </c>
      <c r="C8" s="10" t="s">
        <v>104</v>
      </c>
      <c r="D8" s="5" t="s">
        <v>72</v>
      </c>
      <c r="E8" s="6">
        <v>2</v>
      </c>
      <c r="F8" s="10" t="s">
        <v>104</v>
      </c>
      <c r="G8" s="5"/>
      <c r="H8" s="6"/>
      <c r="I8" s="10"/>
    </row>
    <row r="9" spans="1:12" x14ac:dyDescent="0.3">
      <c r="A9" s="5" t="s">
        <v>73</v>
      </c>
      <c r="B9" s="6">
        <v>4</v>
      </c>
      <c r="C9" s="10" t="s">
        <v>104</v>
      </c>
      <c r="D9" s="5" t="s">
        <v>73</v>
      </c>
      <c r="E9" s="6">
        <v>2</v>
      </c>
      <c r="F9" s="10" t="s">
        <v>104</v>
      </c>
      <c r="G9" s="5"/>
      <c r="H9" s="6"/>
      <c r="I9" s="10"/>
    </row>
    <row r="10" spans="1:12" s="1" customFormat="1" x14ac:dyDescent="0.3">
      <c r="A10" s="2" t="s">
        <v>38</v>
      </c>
      <c r="B10" s="3">
        <v>4</v>
      </c>
      <c r="C10" s="10" t="s">
        <v>104</v>
      </c>
      <c r="D10" s="2" t="s">
        <v>38</v>
      </c>
      <c r="E10" s="3">
        <v>2</v>
      </c>
      <c r="F10" s="10" t="s">
        <v>104</v>
      </c>
      <c r="G10" s="5" t="s">
        <v>57</v>
      </c>
      <c r="H10" s="3">
        <v>2</v>
      </c>
      <c r="I10" s="10" t="s">
        <v>104</v>
      </c>
    </row>
    <row r="11" spans="1:12" x14ac:dyDescent="0.3">
      <c r="E11" s="4"/>
      <c r="G11" s="2" t="s">
        <v>58</v>
      </c>
      <c r="H11" s="6">
        <v>4</v>
      </c>
      <c r="I11" s="10" t="s">
        <v>104</v>
      </c>
    </row>
    <row r="12" spans="1:12" x14ac:dyDescent="0.3">
      <c r="E12" s="4"/>
      <c r="G12" s="2" t="s">
        <v>59</v>
      </c>
      <c r="H12" s="6">
        <v>2</v>
      </c>
      <c r="I12" s="10" t="s">
        <v>104</v>
      </c>
    </row>
    <row r="13" spans="1:12" x14ac:dyDescent="0.3">
      <c r="A13" s="181" t="s">
        <v>50</v>
      </c>
      <c r="B13" s="181"/>
      <c r="D13" s="181" t="s">
        <v>49</v>
      </c>
      <c r="E13" s="181"/>
      <c r="G13" s="181" t="s">
        <v>52</v>
      </c>
      <c r="H13" s="181"/>
    </row>
    <row r="15" spans="1:12" ht="31.5" customHeight="1" x14ac:dyDescent="0.3">
      <c r="A15" s="1"/>
      <c r="B15" s="1"/>
    </row>
    <row r="17" spans="1:6" x14ac:dyDescent="0.3">
      <c r="A17" s="2" t="s">
        <v>2</v>
      </c>
      <c r="B17" s="3">
        <v>10</v>
      </c>
      <c r="C17" s="14" t="s">
        <v>19</v>
      </c>
      <c r="D17" s="2" t="s">
        <v>2</v>
      </c>
      <c r="E17" s="3">
        <v>7</v>
      </c>
      <c r="F17" t="s">
        <v>109</v>
      </c>
    </row>
    <row r="18" spans="1:6" x14ac:dyDescent="0.3">
      <c r="A18" s="2" t="s">
        <v>8</v>
      </c>
      <c r="B18" s="3">
        <v>5</v>
      </c>
      <c r="C18" s="11" t="s">
        <v>78</v>
      </c>
      <c r="D18" s="2" t="s">
        <v>11</v>
      </c>
      <c r="E18" s="3">
        <v>3</v>
      </c>
      <c r="F18" t="s">
        <v>108</v>
      </c>
    </row>
    <row r="19" spans="1:6" x14ac:dyDescent="0.3">
      <c r="A19" s="2" t="s">
        <v>11</v>
      </c>
      <c r="B19" s="3">
        <v>3</v>
      </c>
      <c r="C19" s="11" t="s">
        <v>78</v>
      </c>
      <c r="D19" s="2" t="s">
        <v>10</v>
      </c>
      <c r="E19" s="3">
        <v>3</v>
      </c>
      <c r="F19" t="s">
        <v>108</v>
      </c>
    </row>
    <row r="20" spans="1:6" x14ac:dyDescent="0.3">
      <c r="A20" s="2" t="s">
        <v>34</v>
      </c>
      <c r="B20" s="3">
        <v>5</v>
      </c>
      <c r="C20" s="11" t="s">
        <v>78</v>
      </c>
      <c r="D20" s="2" t="s">
        <v>33</v>
      </c>
      <c r="E20" s="3">
        <v>3</v>
      </c>
      <c r="F20" t="s">
        <v>108</v>
      </c>
    </row>
    <row r="21" spans="1:6" x14ac:dyDescent="0.3">
      <c r="A21" s="2" t="s">
        <v>33</v>
      </c>
      <c r="B21" s="3">
        <v>3</v>
      </c>
      <c r="C21" s="11" t="s">
        <v>78</v>
      </c>
      <c r="D21" s="2" t="s">
        <v>34</v>
      </c>
      <c r="E21" s="3" t="s">
        <v>80</v>
      </c>
    </row>
    <row r="22" spans="1:6" x14ac:dyDescent="0.3">
      <c r="A22" s="2" t="s">
        <v>10</v>
      </c>
      <c r="B22" s="3">
        <v>3</v>
      </c>
      <c r="C22" s="11" t="s">
        <v>78</v>
      </c>
      <c r="D22" s="2" t="s">
        <v>110</v>
      </c>
      <c r="E22" s="3" t="s">
        <v>80</v>
      </c>
    </row>
    <row r="23" spans="1:6" x14ac:dyDescent="0.3">
      <c r="A23" s="2" t="s">
        <v>68</v>
      </c>
      <c r="B23" s="3">
        <v>5</v>
      </c>
      <c r="C23" s="11" t="s">
        <v>78</v>
      </c>
      <c r="D23" s="2" t="s">
        <v>79</v>
      </c>
      <c r="E23" s="6" t="s">
        <v>80</v>
      </c>
    </row>
    <row r="24" spans="1:6" x14ac:dyDescent="0.3">
      <c r="A24" s="2" t="s">
        <v>79</v>
      </c>
      <c r="B24" s="6" t="s">
        <v>80</v>
      </c>
      <c r="D24" s="2" t="s">
        <v>81</v>
      </c>
      <c r="E24" s="6" t="s">
        <v>80</v>
      </c>
    </row>
    <row r="25" spans="1:6" x14ac:dyDescent="0.3">
      <c r="A25" s="2" t="s">
        <v>81</v>
      </c>
      <c r="B25" s="6" t="s">
        <v>80</v>
      </c>
    </row>
    <row r="27" spans="1:6" ht="36.75" customHeight="1" x14ac:dyDescent="0.3">
      <c r="A27" s="182" t="s">
        <v>84</v>
      </c>
      <c r="B27" s="182"/>
      <c r="D27" s="182" t="s">
        <v>107</v>
      </c>
      <c r="E27" s="182"/>
    </row>
  </sheetData>
  <mergeCells count="5">
    <mergeCell ref="A13:B13"/>
    <mergeCell ref="D13:E13"/>
    <mergeCell ref="G13:H13"/>
    <mergeCell ref="A27:B27"/>
    <mergeCell ref="D27:E2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Trang chủ</vt:lpstr>
      <vt:lpstr>HNGĐ</vt:lpstr>
      <vt:lpstr>DS</vt:lpstr>
      <vt:lpstr>KDTM</vt:lpstr>
      <vt:lpstr>LĐ</vt:lpstr>
      <vt:lpstr>HC</vt:lpstr>
      <vt:lpstr>Thống kê HNGĐ tháng</vt:lpstr>
      <vt:lpstr>Thống kê DS tháng</vt:lpstr>
      <vt:lpstr>Thống kê KDTM tháng</vt:lpstr>
      <vt:lpstr>Thống kê LĐ tháng</vt:lpstr>
      <vt:lpstr>Thống kê HC tháng</vt:lpstr>
      <vt:lpstr>Thống kê HNGĐ tuần</vt:lpstr>
      <vt:lpstr>Thống kê DS tuần</vt:lpstr>
      <vt:lpstr>Thống kê KDTM tuần</vt:lpstr>
      <vt:lpstr>Thống kê LĐ tuần</vt:lpstr>
      <vt:lpstr>Thống kê HC tuần</vt:lpstr>
      <vt:lpstr>Danh sách ngày nghỉ lễ</vt:lpstr>
      <vt:lpstr>Thời hạn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2025-08-03T14:20:39Z</dcterms:modified>
</cp:coreProperties>
</file>